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82816-Z100\Documents\2023上期プロジェクト\トラック積載率効率化\VRAINさん_共有\"/>
    </mc:Choice>
  </mc:AlternateContent>
  <xr:revisionPtr revIDLastSave="0" documentId="13_ncr:1_{39D71F53-D262-412B-A06B-A5DB51B79C9D}" xr6:coauthVersionLast="47" xr6:coauthVersionMax="47" xr10:uidLastSave="{00000000-0000-0000-0000-000000000000}"/>
  <bookViews>
    <workbookView xWindow="28680" yWindow="-120" windowWidth="29040" windowHeight="17640" tabRatio="810" xr2:uid="{00000000-000D-0000-FFFF-FFFF00000000}"/>
  </bookViews>
  <sheets>
    <sheet name="まとめ" sheetId="20" r:id="rId1"/>
    <sheet name="DB→" sheetId="24" r:id="rId2"/>
    <sheet name="①荷姿情報" sheetId="22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2" hidden="1">①荷姿情報!$A$4:$AX$251</definedName>
    <definedName name="_xlnm._FilterDatabase" localSheetId="0" hidden="1">まとめ!$A$96:$BR$131</definedName>
    <definedName name="\a">#REF!</definedName>
    <definedName name="\b">#REF!</definedName>
    <definedName name="￥BM選範">[1]BMW!$B$13:$B$1218</definedName>
    <definedName name="￥BM全範">[1]BMW!$B$13:$AI$1218</definedName>
    <definedName name="\c">#REF!</definedName>
    <definedName name="\d">#REF!</definedName>
    <definedName name="\PSA選範">[1]PSA!$B$9:$B$865</definedName>
    <definedName name="￥PSA全範">[1]PSA!$B$9:$AI$865</definedName>
    <definedName name="￥VO選範">[1]VOLVO!$B$13:$B$353</definedName>
    <definedName name="￥VO全範">[1]VOLVO!$B$13:$AI$353</definedName>
    <definedName name="_xlnm.Database">#REF!</definedName>
    <definedName name="DDD">#N/A</definedName>
    <definedName name="Eパーセル用配分案子供作成">#N/A</definedName>
    <definedName name="FIAT">#REF!</definedName>
    <definedName name="FORDﾒｷｼｺ">#REF!</definedName>
    <definedName name="GM">#REF!</definedName>
    <definedName name="GMPT">#REF!</definedName>
    <definedName name="GMﾀｲﾗﾝﾄﾞ">#REF!</definedName>
    <definedName name="GMﾌﾞﾗｼﾞﾙ">#REF!</definedName>
    <definedName name="GMﾎｰﾙﾃﾞﾝ">#REF!</definedName>
    <definedName name="GM台湾">#REF!</definedName>
    <definedName name="GM大宇">#REF!</definedName>
    <definedName name="MAZDA">#REF!</definedName>
    <definedName name="nnnn">#N/A</definedName>
    <definedName name="N情報機種別">#REF!</definedName>
    <definedName name="OPEL">#REF!</definedName>
    <definedName name="_xlnm.Print_Area" localSheetId="2">①荷姿情報!$A$1:$AP$251</definedName>
    <definedName name="_xlnm.Print_Area">#REF!</definedName>
    <definedName name="PRINT_AREA_MI">#REF!</definedName>
    <definedName name="PSA">#REF!</definedName>
    <definedName name="Q">#REF!</definedName>
    <definedName name="RENAURT">#REF!</definedName>
    <definedName name="SAAB">#REF!</definedName>
    <definedName name="SINN">#REF!</definedName>
    <definedName name="USFORD">#REF!</definedName>
    <definedName name="VOLVO">#REF!</definedName>
    <definedName name="ｵ･ﾎﾞｸﾞ">#REF!</definedName>
    <definedName name="オーダ1取込">#N/A</definedName>
    <definedName name="おかだ">#N/A</definedName>
    <definedName name="ｵﾍﾟﾙ">#REF!</definedName>
    <definedName name="コメントなし">#REF!</definedName>
    <definedName name="ｻｰﾌﾞ">#REF!</definedName>
    <definedName name="ｽｽﾞｷ">#REF!</definedName>
    <definedName name="データ">#N/A</definedName>
    <definedName name="トヨタデータ">#N/A</definedName>
    <definedName name="トヨタ車種別差異">#N/A</definedName>
    <definedName name="ﾈｯﾄﾞｶｰ">#REF!</definedName>
    <definedName name="ﾌｨｱｯﾄ">#REF!</definedName>
    <definedName name="ﾍﾞﾙﾄｰﾈ">#REF!</definedName>
    <definedName name="ﾎﾞｸﾞｿﾞｰﾙ">#REF!</definedName>
    <definedName name="ﾎﾞﾙﾎﾞ">#REF!</definedName>
    <definedName name="ﾏｸﾛ.子供→ライン別へ直数">#N/A</definedName>
    <definedName name="ﾏｸﾛ.子供→ライン別へ配分案稼働">#N/A</definedName>
    <definedName name="ﾙﾉｰ">#REF!</definedName>
    <definedName name="ﾙﾉｰ三星">#REF!</definedName>
    <definedName name="印刷">[2]可動時間2!$F$5:$AP$190,[2]可動時間2!$F$193:$AP$551,[2]可動時間2!$F$654:$AP$838,[2]可動時間2!$F$919:$AP$949</definedName>
    <definedName name="印刷範囲">#REF!</definedName>
    <definedName name="運送業者群">[3]運送ｺｰﾄﾞ!$G$5:$G$14</definedName>
    <definedName name="稼働ﾏｽﾀ">[2]可動時間2!$A$1:$B$65536</definedName>
    <definedName name="稼働ﾏｽﾀ2">[2]可動時間2!$A$1:$B$65536</definedName>
    <definedName name="稼働日">[4]カレンダー!$A$3:$AG$263</definedName>
    <definedName name="顔ナシ">#REF!</definedName>
    <definedName name="起亞">#REF!</definedName>
    <definedName name="計画Z">#REF!</definedName>
    <definedName name="計画と実績1から6月">#REF!,#REF!</definedName>
    <definedName name="計画と実績7から12月">#REF!,#REF!</definedName>
    <definedName name="顧客品番">#REF!</definedName>
    <definedName name="顧客品番2">#REF!</definedName>
    <definedName name="顧客別差異">#N/A</definedName>
    <definedName name="梱包計画">[1]日程!$C$6:$BA$193</definedName>
    <definedName name="混流">#REF!</definedName>
    <definedName name="差異グラフ">#N/A</definedName>
    <definedName name="三星">#REF!</definedName>
    <definedName name="子供→ライン別へフォロｰ稼働">#N/A</definedName>
    <definedName name="子供→ライン別へフォロｰ平日パタｰン">#N/A</definedName>
    <definedName name="子供→ライン別へ確定稼働">#N/A</definedName>
    <definedName name="子供→ライン別へ確定平日パタｰン">#N/A</definedName>
    <definedName name="子供→ライン別へ直数">#N/A</definedName>
    <definedName name="子供→ライン別へ配分案稼働">#N/A</definedName>
    <definedName name="子供→ライン別へ配分案平日パタｰン">#N/A</definedName>
    <definedName name="社内在庫">[1]★社内在庫!$B$20:$AG$169</definedName>
    <definedName name="出荷実績">[1]★出荷実績!$B$20:$AG$169</definedName>
    <definedName name="振替">[1]★振替!$B$20:$AG$174</definedName>
    <definedName name="新月末必要在庫">[5]月末在庫集計!$A$12:$AL$79</definedName>
    <definedName name="新出荷">[5]出荷ｽｹｼﾞｭｰﾙ集計!$A$21:$BQ$83</definedName>
    <definedName name="新製品2">#REF!</definedName>
    <definedName name="大宇">#REF!</definedName>
    <definedName name="端数">#REF!</definedName>
    <definedName name="日産">#REF!</definedName>
    <definedName name="日程GM">#REF!</definedName>
    <definedName name="日程ＧＭＰＴ">#REF!</definedName>
    <definedName name="日程ｵ･ﾎﾞｸﾞ">#REF!</definedName>
    <definedName name="日程ｵﾍﾟﾙ">#REF!</definedName>
    <definedName name="日程ｻｰﾌﾞ">#REF!</definedName>
    <definedName name="日程ｽｽﾞｷ">#REF!</definedName>
    <definedName name="日程ﾈｯﾄﾞｶｰ">#REF!</definedName>
    <definedName name="日程ﾌｨｱｯﾄ">#REF!</definedName>
    <definedName name="日程ﾎﾞﾙﾎﾞ">#REF!</definedName>
    <definedName name="日程ﾙﾉｰ">#REF!</definedName>
    <definedName name="日程ﾙﾉｰ三星">#REF!</definedName>
    <definedName name="日程起亞">#REF!</definedName>
    <definedName name="日程混流">#REF!</definedName>
    <definedName name="日程三星">#REF!</definedName>
    <definedName name="日程大宇">#REF!</definedName>
    <definedName name="日程日産">#REF!</definedName>
    <definedName name="年計">[6]年計!$B:$O</definedName>
    <definedName name="配分会議用">#REF!</definedName>
    <definedName name="販計">#REF!</definedName>
    <definedName name="品番別生計">[1]品番別生計E8!$B$6:$AM$153</definedName>
    <definedName name="目次">#N/A</definedName>
    <definedName name="累計見直し_機種別">#N/A</definedName>
    <definedName name="累計見直し_顧客別_機種別">#N/A</definedName>
    <definedName name="累計見直し_車種別_機種別_トヨタ">#N/A</definedName>
    <definedName name="類別選択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20" l="1"/>
  <c r="H39" i="20"/>
  <c r="I39" i="20"/>
  <c r="J39" i="20"/>
  <c r="K39" i="20"/>
  <c r="L39" i="20"/>
  <c r="M39" i="20"/>
  <c r="N39" i="20"/>
  <c r="O39" i="20"/>
  <c r="P39" i="20"/>
  <c r="Q39" i="20"/>
  <c r="R39" i="20"/>
  <c r="S39" i="20"/>
  <c r="T39" i="20"/>
  <c r="U39" i="20"/>
  <c r="V39" i="20"/>
  <c r="W39" i="20"/>
  <c r="X39" i="20"/>
  <c r="Y39" i="20"/>
  <c r="Z39" i="20"/>
  <c r="AA39" i="20"/>
  <c r="AB39" i="20"/>
  <c r="AC39" i="20"/>
  <c r="AD39" i="20"/>
  <c r="AE39" i="20"/>
  <c r="AF39" i="20"/>
  <c r="AG39" i="20"/>
  <c r="AH39" i="20"/>
  <c r="AI39" i="20"/>
  <c r="AJ39" i="20"/>
  <c r="AK39" i="20"/>
  <c r="AL39" i="20"/>
  <c r="AM39" i="20"/>
  <c r="AN39" i="20"/>
  <c r="AO39" i="20"/>
  <c r="AP39" i="20"/>
  <c r="AQ39" i="20"/>
  <c r="AR39" i="20"/>
  <c r="AS39" i="20"/>
  <c r="AT39" i="20"/>
  <c r="AU39" i="20"/>
  <c r="AV39" i="20"/>
  <c r="AW39" i="20"/>
  <c r="AX39" i="20"/>
  <c r="AY39" i="20"/>
  <c r="AZ39" i="20"/>
  <c r="BA39" i="20"/>
  <c r="BB39" i="20"/>
  <c r="BC39" i="20"/>
  <c r="BD39" i="20"/>
  <c r="BE39" i="20"/>
  <c r="BF39" i="20"/>
  <c r="BG39" i="20"/>
  <c r="BH39" i="20"/>
  <c r="BI39" i="20"/>
  <c r="BJ39" i="20"/>
  <c r="BK39" i="20"/>
  <c r="BL39" i="20"/>
  <c r="BM39" i="20"/>
  <c r="BN39" i="20"/>
  <c r="BO39" i="20"/>
  <c r="BP39" i="20"/>
  <c r="BQ39" i="20"/>
  <c r="BR39" i="20"/>
  <c r="H38" i="20" l="1"/>
  <c r="I38" i="20"/>
  <c r="J38" i="20"/>
  <c r="K38" i="20"/>
  <c r="L38" i="20"/>
  <c r="M38" i="20"/>
  <c r="N38" i="20"/>
  <c r="O38" i="20"/>
  <c r="P38" i="20"/>
  <c r="Q38" i="20"/>
  <c r="R38" i="20"/>
  <c r="S38" i="20"/>
  <c r="T38" i="20"/>
  <c r="U38" i="20"/>
  <c r="V38" i="20"/>
  <c r="W38" i="20"/>
  <c r="X38" i="20"/>
  <c r="Y38" i="20"/>
  <c r="Z38" i="20"/>
  <c r="AA38" i="20"/>
  <c r="AB38" i="20"/>
  <c r="AC38" i="20"/>
  <c r="AD38" i="20"/>
  <c r="AE38" i="20"/>
  <c r="AF38" i="20"/>
  <c r="AG38" i="20"/>
  <c r="AH38" i="20"/>
  <c r="AI38" i="20"/>
  <c r="AJ38" i="20"/>
  <c r="AK38" i="20"/>
  <c r="AL38" i="20"/>
  <c r="AM38" i="20"/>
  <c r="AN38" i="20"/>
  <c r="AO38" i="20"/>
  <c r="AP38" i="20"/>
  <c r="AQ38" i="20"/>
  <c r="AR38" i="20"/>
  <c r="AS38" i="20"/>
  <c r="AT38" i="20"/>
  <c r="AU38" i="20"/>
  <c r="AV38" i="20"/>
  <c r="AW38" i="20"/>
  <c r="AX38" i="20"/>
  <c r="AY38" i="20"/>
  <c r="AZ38" i="20"/>
  <c r="BA38" i="20"/>
  <c r="BB38" i="20"/>
  <c r="BC38" i="20"/>
  <c r="BD38" i="20"/>
  <c r="BE38" i="20"/>
  <c r="BF38" i="20"/>
  <c r="BG38" i="20"/>
  <c r="BH38" i="20"/>
  <c r="BI38" i="20"/>
  <c r="BJ38" i="20"/>
  <c r="BK38" i="20"/>
  <c r="BL38" i="20"/>
  <c r="BM38" i="20"/>
  <c r="BN38" i="20"/>
  <c r="BO38" i="20"/>
  <c r="BP38" i="20"/>
  <c r="BQ38" i="20"/>
  <c r="BR38" i="20"/>
  <c r="G38" i="20"/>
  <c r="G225" i="20"/>
  <c r="J232" i="20"/>
  <c r="M233" i="20"/>
  <c r="Q234" i="20"/>
  <c r="I236" i="20"/>
  <c r="M237" i="20"/>
  <c r="Q238" i="20"/>
  <c r="I240" i="20"/>
  <c r="M241" i="20"/>
  <c r="Q242" i="20"/>
  <c r="I244" i="20"/>
  <c r="H245" i="20"/>
  <c r="H246" i="20"/>
  <c r="H247" i="20"/>
  <c r="AV215" i="20"/>
  <c r="AN98" i="20"/>
  <c r="AN137" i="20" s="1"/>
  <c r="AN99" i="20"/>
  <c r="AN138" i="20" s="1"/>
  <c r="AN100" i="20"/>
  <c r="AN139" i="20" s="1"/>
  <c r="AN101" i="20"/>
  <c r="AN140" i="20" s="1"/>
  <c r="AN102" i="20"/>
  <c r="AN141" i="20" s="1"/>
  <c r="AN103" i="20"/>
  <c r="AN142" i="20" s="1"/>
  <c r="AN104" i="20"/>
  <c r="AN143" i="20" s="1"/>
  <c r="AN105" i="20"/>
  <c r="AN144" i="20" s="1"/>
  <c r="AN106" i="20"/>
  <c r="AN145" i="20" s="1"/>
  <c r="AN107" i="20"/>
  <c r="AN146" i="20" s="1"/>
  <c r="AN108" i="20"/>
  <c r="AN147" i="20" s="1"/>
  <c r="AN109" i="20"/>
  <c r="AN148" i="20" s="1"/>
  <c r="AN110" i="20"/>
  <c r="AN149" i="20" s="1"/>
  <c r="AN111" i="20"/>
  <c r="AN150" i="20" s="1"/>
  <c r="AN112" i="20"/>
  <c r="AN151" i="20" s="1"/>
  <c r="AN113" i="20"/>
  <c r="AN152" i="20" s="1"/>
  <c r="AN114" i="20"/>
  <c r="AN153" i="20" s="1"/>
  <c r="AN115" i="20"/>
  <c r="AN154" i="20" s="1"/>
  <c r="AN116" i="20"/>
  <c r="AN155" i="20" s="1"/>
  <c r="AN117" i="20"/>
  <c r="AN156" i="20" s="1"/>
  <c r="AN118" i="20"/>
  <c r="AN157" i="20" s="1"/>
  <c r="AN119" i="20"/>
  <c r="AN158" i="20" s="1"/>
  <c r="AN120" i="20"/>
  <c r="AN159" i="20" s="1"/>
  <c r="AN121" i="20"/>
  <c r="AN160" i="20" s="1"/>
  <c r="AN122" i="20"/>
  <c r="AN161" i="20" s="1"/>
  <c r="AN123" i="20"/>
  <c r="AN162" i="20" s="1"/>
  <c r="AN124" i="20"/>
  <c r="AN163" i="20" s="1"/>
  <c r="AN125" i="20"/>
  <c r="AN164" i="20" s="1"/>
  <c r="AN126" i="20"/>
  <c r="AN165" i="20" s="1"/>
  <c r="AN127" i="20"/>
  <c r="AN166" i="20" s="1"/>
  <c r="AN128" i="20"/>
  <c r="AN167" i="20" s="1"/>
  <c r="AN129" i="20"/>
  <c r="AN168" i="20" s="1"/>
  <c r="AN130" i="20"/>
  <c r="AN169" i="20" s="1"/>
  <c r="AN131" i="20"/>
  <c r="AN170" i="20" s="1"/>
  <c r="AM98" i="20"/>
  <c r="AM137" i="20" s="1"/>
  <c r="AM99" i="20"/>
  <c r="AM138" i="20" s="1"/>
  <c r="AM100" i="20"/>
  <c r="AM139" i="20" s="1"/>
  <c r="AM101" i="20"/>
  <c r="AM140" i="20" s="1"/>
  <c r="AM102" i="20"/>
  <c r="AM141" i="20" s="1"/>
  <c r="AM103" i="20"/>
  <c r="AM142" i="20" s="1"/>
  <c r="AM104" i="20"/>
  <c r="AM143" i="20" s="1"/>
  <c r="AM105" i="20"/>
  <c r="AM144" i="20" s="1"/>
  <c r="AM106" i="20"/>
  <c r="AM145" i="20" s="1"/>
  <c r="AM107" i="20"/>
  <c r="AM146" i="20" s="1"/>
  <c r="AM108" i="20"/>
  <c r="AM147" i="20" s="1"/>
  <c r="AM109" i="20"/>
  <c r="AM148" i="20" s="1"/>
  <c r="AM110" i="20"/>
  <c r="AM149" i="20" s="1"/>
  <c r="AM111" i="20"/>
  <c r="AM150" i="20" s="1"/>
  <c r="AM112" i="20"/>
  <c r="AM151" i="20" s="1"/>
  <c r="AM113" i="20"/>
  <c r="AM152" i="20" s="1"/>
  <c r="AM114" i="20"/>
  <c r="AM153" i="20" s="1"/>
  <c r="AM115" i="20"/>
  <c r="AM154" i="20" s="1"/>
  <c r="AM116" i="20"/>
  <c r="AM155" i="20" s="1"/>
  <c r="AM117" i="20"/>
  <c r="AM156" i="20" s="1"/>
  <c r="AM118" i="20"/>
  <c r="AM157" i="20" s="1"/>
  <c r="AM119" i="20"/>
  <c r="AM158" i="20" s="1"/>
  <c r="AM120" i="20"/>
  <c r="AM159" i="20" s="1"/>
  <c r="AM121" i="20"/>
  <c r="AM160" i="20" s="1"/>
  <c r="AM122" i="20"/>
  <c r="AM161" i="20" s="1"/>
  <c r="AM123" i="20"/>
  <c r="AM162" i="20" s="1"/>
  <c r="AM124" i="20"/>
  <c r="AM163" i="20" s="1"/>
  <c r="AM125" i="20"/>
  <c r="AM164" i="20" s="1"/>
  <c r="AM126" i="20"/>
  <c r="AM165" i="20" s="1"/>
  <c r="AM127" i="20"/>
  <c r="AM166" i="20" s="1"/>
  <c r="AM128" i="20"/>
  <c r="AM167" i="20" s="1"/>
  <c r="AM129" i="20"/>
  <c r="AM168" i="20" s="1"/>
  <c r="AM130" i="20"/>
  <c r="AM169" i="20" s="1"/>
  <c r="AM131" i="20"/>
  <c r="AM170" i="20" s="1"/>
  <c r="AL98" i="20"/>
  <c r="AL137" i="20" s="1"/>
  <c r="AL99" i="20"/>
  <c r="AL138" i="20" s="1"/>
  <c r="AL100" i="20"/>
  <c r="AL139" i="20" s="1"/>
  <c r="AL101" i="20"/>
  <c r="AL140" i="20" s="1"/>
  <c r="AL102" i="20"/>
  <c r="AL141" i="20" s="1"/>
  <c r="AL103" i="20"/>
  <c r="AL142" i="20" s="1"/>
  <c r="AL104" i="20"/>
  <c r="AL143" i="20" s="1"/>
  <c r="AL105" i="20"/>
  <c r="AL144" i="20" s="1"/>
  <c r="AL106" i="20"/>
  <c r="AL145" i="20" s="1"/>
  <c r="AL107" i="20"/>
  <c r="AL146" i="20" s="1"/>
  <c r="AL108" i="20"/>
  <c r="AL147" i="20" s="1"/>
  <c r="AL109" i="20"/>
  <c r="AL148" i="20" s="1"/>
  <c r="AL110" i="20"/>
  <c r="AL149" i="20" s="1"/>
  <c r="AL111" i="20"/>
  <c r="AL150" i="20" s="1"/>
  <c r="AL112" i="20"/>
  <c r="AL151" i="20" s="1"/>
  <c r="AL113" i="20"/>
  <c r="AL152" i="20" s="1"/>
  <c r="AL114" i="20"/>
  <c r="AL153" i="20" s="1"/>
  <c r="AL115" i="20"/>
  <c r="AL154" i="20" s="1"/>
  <c r="AL116" i="20"/>
  <c r="AL155" i="20" s="1"/>
  <c r="AL117" i="20"/>
  <c r="AL156" i="20" s="1"/>
  <c r="AL118" i="20"/>
  <c r="AL157" i="20" s="1"/>
  <c r="AL119" i="20"/>
  <c r="AL158" i="20" s="1"/>
  <c r="AL120" i="20"/>
  <c r="AL159" i="20" s="1"/>
  <c r="AL121" i="20"/>
  <c r="AL160" i="20" s="1"/>
  <c r="AL122" i="20"/>
  <c r="AL161" i="20" s="1"/>
  <c r="AL123" i="20"/>
  <c r="AL162" i="20" s="1"/>
  <c r="AL124" i="20"/>
  <c r="AL163" i="20" s="1"/>
  <c r="AL125" i="20"/>
  <c r="AL164" i="20" s="1"/>
  <c r="AL126" i="20"/>
  <c r="AL165" i="20" s="1"/>
  <c r="AL127" i="20"/>
  <c r="AL166" i="20" s="1"/>
  <c r="AL128" i="20"/>
  <c r="AL167" i="20" s="1"/>
  <c r="AL129" i="20"/>
  <c r="AL168" i="20" s="1"/>
  <c r="AL130" i="20"/>
  <c r="AL169" i="20" s="1"/>
  <c r="AL131" i="20"/>
  <c r="AL170" i="20" s="1"/>
  <c r="AK98" i="20"/>
  <c r="AK137" i="20" s="1"/>
  <c r="AK99" i="20"/>
  <c r="AK138" i="20" s="1"/>
  <c r="AK100" i="20"/>
  <c r="AK139" i="20" s="1"/>
  <c r="AK101" i="20"/>
  <c r="AK140" i="20" s="1"/>
  <c r="AK102" i="20"/>
  <c r="AK141" i="20" s="1"/>
  <c r="AK103" i="20"/>
  <c r="AK142" i="20" s="1"/>
  <c r="AK104" i="20"/>
  <c r="AK143" i="20" s="1"/>
  <c r="AK105" i="20"/>
  <c r="AK144" i="20" s="1"/>
  <c r="AK106" i="20"/>
  <c r="AK145" i="20" s="1"/>
  <c r="AK107" i="20"/>
  <c r="AK146" i="20" s="1"/>
  <c r="AK108" i="20"/>
  <c r="AK147" i="20" s="1"/>
  <c r="AK109" i="20"/>
  <c r="AK148" i="20" s="1"/>
  <c r="AK110" i="20"/>
  <c r="AK149" i="20" s="1"/>
  <c r="AK111" i="20"/>
  <c r="AK150" i="20" s="1"/>
  <c r="AK112" i="20"/>
  <c r="AK151" i="20" s="1"/>
  <c r="AK113" i="20"/>
  <c r="AK152" i="20" s="1"/>
  <c r="AK114" i="20"/>
  <c r="AK153" i="20" s="1"/>
  <c r="AK115" i="20"/>
  <c r="AK154" i="20" s="1"/>
  <c r="AK116" i="20"/>
  <c r="AK155" i="20" s="1"/>
  <c r="AK117" i="20"/>
  <c r="AK156" i="20" s="1"/>
  <c r="AK118" i="20"/>
  <c r="AK157" i="20" s="1"/>
  <c r="AK119" i="20"/>
  <c r="AK158" i="20" s="1"/>
  <c r="AK120" i="20"/>
  <c r="AK159" i="20" s="1"/>
  <c r="AK121" i="20"/>
  <c r="AK160" i="20" s="1"/>
  <c r="AK122" i="20"/>
  <c r="AK161" i="20" s="1"/>
  <c r="AK123" i="20"/>
  <c r="AK162" i="20" s="1"/>
  <c r="AK124" i="20"/>
  <c r="AK163" i="20" s="1"/>
  <c r="AK125" i="20"/>
  <c r="AK164" i="20" s="1"/>
  <c r="AK126" i="20"/>
  <c r="AK165" i="20" s="1"/>
  <c r="AK127" i="20"/>
  <c r="AK166" i="20" s="1"/>
  <c r="AK128" i="20"/>
  <c r="AK167" i="20" s="1"/>
  <c r="AK129" i="20"/>
  <c r="AK168" i="20" s="1"/>
  <c r="AK130" i="20"/>
  <c r="AK169" i="20" s="1"/>
  <c r="AK131" i="20"/>
  <c r="AK170" i="20" s="1"/>
  <c r="AJ98" i="20"/>
  <c r="AJ137" i="20" s="1"/>
  <c r="AJ99" i="20"/>
  <c r="AJ138" i="20" s="1"/>
  <c r="AJ100" i="20"/>
  <c r="AJ139" i="20" s="1"/>
  <c r="AJ101" i="20"/>
  <c r="AJ140" i="20" s="1"/>
  <c r="AJ102" i="20"/>
  <c r="AJ141" i="20" s="1"/>
  <c r="AJ103" i="20"/>
  <c r="AJ142" i="20" s="1"/>
  <c r="AJ104" i="20"/>
  <c r="AJ143" i="20" s="1"/>
  <c r="AJ105" i="20"/>
  <c r="AJ144" i="20" s="1"/>
  <c r="AJ106" i="20"/>
  <c r="AJ145" i="20" s="1"/>
  <c r="AJ107" i="20"/>
  <c r="AJ146" i="20" s="1"/>
  <c r="AJ108" i="20"/>
  <c r="AJ147" i="20" s="1"/>
  <c r="AJ109" i="20"/>
  <c r="AJ148" i="20" s="1"/>
  <c r="AJ110" i="20"/>
  <c r="AJ149" i="20" s="1"/>
  <c r="AJ111" i="20"/>
  <c r="AJ150" i="20" s="1"/>
  <c r="AJ112" i="20"/>
  <c r="AJ151" i="20" s="1"/>
  <c r="AJ113" i="20"/>
  <c r="AJ152" i="20" s="1"/>
  <c r="AJ114" i="20"/>
  <c r="AJ153" i="20" s="1"/>
  <c r="AJ115" i="20"/>
  <c r="AJ154" i="20" s="1"/>
  <c r="AJ116" i="20"/>
  <c r="AJ155" i="20" s="1"/>
  <c r="AJ117" i="20"/>
  <c r="AJ156" i="20" s="1"/>
  <c r="AJ118" i="20"/>
  <c r="AJ157" i="20" s="1"/>
  <c r="AJ119" i="20"/>
  <c r="AJ158" i="20" s="1"/>
  <c r="AJ120" i="20"/>
  <c r="AJ159" i="20" s="1"/>
  <c r="AJ121" i="20"/>
  <c r="AJ160" i="20" s="1"/>
  <c r="AJ122" i="20"/>
  <c r="AJ161" i="20" s="1"/>
  <c r="AJ123" i="20"/>
  <c r="AJ162" i="20" s="1"/>
  <c r="AJ124" i="20"/>
  <c r="AJ163" i="20" s="1"/>
  <c r="AJ125" i="20"/>
  <c r="AJ164" i="20" s="1"/>
  <c r="AJ126" i="20"/>
  <c r="AJ165" i="20" s="1"/>
  <c r="AJ127" i="20"/>
  <c r="AJ166" i="20" s="1"/>
  <c r="AJ128" i="20"/>
  <c r="AJ167" i="20" s="1"/>
  <c r="AJ129" i="20"/>
  <c r="AJ168" i="20" s="1"/>
  <c r="AJ130" i="20"/>
  <c r="AJ169" i="20" s="1"/>
  <c r="AJ131" i="20"/>
  <c r="AJ170" i="20" s="1"/>
  <c r="AI98" i="20"/>
  <c r="AI137" i="20" s="1"/>
  <c r="AI99" i="20"/>
  <c r="AI138" i="20" s="1"/>
  <c r="AI100" i="20"/>
  <c r="AI139" i="20" s="1"/>
  <c r="AI101" i="20"/>
  <c r="AI140" i="20" s="1"/>
  <c r="AI102" i="20"/>
  <c r="AI141" i="20" s="1"/>
  <c r="AI103" i="20"/>
  <c r="AI142" i="20" s="1"/>
  <c r="AI104" i="20"/>
  <c r="AI143" i="20" s="1"/>
  <c r="AI105" i="20"/>
  <c r="AI144" i="20" s="1"/>
  <c r="AI106" i="20"/>
  <c r="AI145" i="20" s="1"/>
  <c r="AI107" i="20"/>
  <c r="AI146" i="20" s="1"/>
  <c r="AI108" i="20"/>
  <c r="AI147" i="20" s="1"/>
  <c r="AI109" i="20"/>
  <c r="AI148" i="20" s="1"/>
  <c r="AI110" i="20"/>
  <c r="AI149" i="20" s="1"/>
  <c r="AI111" i="20"/>
  <c r="AI150" i="20" s="1"/>
  <c r="AI112" i="20"/>
  <c r="AI151" i="20" s="1"/>
  <c r="AI113" i="20"/>
  <c r="AI152" i="20" s="1"/>
  <c r="AI114" i="20"/>
  <c r="AI153" i="20" s="1"/>
  <c r="AI115" i="20"/>
  <c r="AI154" i="20" s="1"/>
  <c r="AI116" i="20"/>
  <c r="AI155" i="20" s="1"/>
  <c r="AI117" i="20"/>
  <c r="AI156" i="20" s="1"/>
  <c r="AI118" i="20"/>
  <c r="AI157" i="20" s="1"/>
  <c r="AI119" i="20"/>
  <c r="AI158" i="20" s="1"/>
  <c r="AI120" i="20"/>
  <c r="AI159" i="20" s="1"/>
  <c r="AI121" i="20"/>
  <c r="AI160" i="20" s="1"/>
  <c r="AI122" i="20"/>
  <c r="AI161" i="20" s="1"/>
  <c r="AI123" i="20"/>
  <c r="AI162" i="20" s="1"/>
  <c r="AI124" i="20"/>
  <c r="AI163" i="20" s="1"/>
  <c r="AI125" i="20"/>
  <c r="AI164" i="20" s="1"/>
  <c r="AI126" i="20"/>
  <c r="AI165" i="20" s="1"/>
  <c r="AI127" i="20"/>
  <c r="AI166" i="20" s="1"/>
  <c r="AI128" i="20"/>
  <c r="AI167" i="20" s="1"/>
  <c r="AI129" i="20"/>
  <c r="AI168" i="20" s="1"/>
  <c r="AI130" i="20"/>
  <c r="AI169" i="20" s="1"/>
  <c r="AI131" i="20"/>
  <c r="AI170" i="20" s="1"/>
  <c r="AH98" i="20"/>
  <c r="AH137" i="20" s="1"/>
  <c r="AH99" i="20"/>
  <c r="AH138" i="20" s="1"/>
  <c r="AH100" i="20"/>
  <c r="AH139" i="20" s="1"/>
  <c r="AH101" i="20"/>
  <c r="AH140" i="20" s="1"/>
  <c r="AH102" i="20"/>
  <c r="AH141" i="20" s="1"/>
  <c r="AH103" i="20"/>
  <c r="AH142" i="20" s="1"/>
  <c r="AH104" i="20"/>
  <c r="AH143" i="20" s="1"/>
  <c r="AH105" i="20"/>
  <c r="AH144" i="20" s="1"/>
  <c r="AH106" i="20"/>
  <c r="AH145" i="20" s="1"/>
  <c r="AH107" i="20"/>
  <c r="AH146" i="20" s="1"/>
  <c r="AH108" i="20"/>
  <c r="AH147" i="20" s="1"/>
  <c r="AH109" i="20"/>
  <c r="AH148" i="20" s="1"/>
  <c r="AH110" i="20"/>
  <c r="AH149" i="20" s="1"/>
  <c r="AH111" i="20"/>
  <c r="AH150" i="20" s="1"/>
  <c r="AH112" i="20"/>
  <c r="AH151" i="20" s="1"/>
  <c r="AH113" i="20"/>
  <c r="AH152" i="20" s="1"/>
  <c r="AH114" i="20"/>
  <c r="AH153" i="20" s="1"/>
  <c r="AH115" i="20"/>
  <c r="AH154" i="20" s="1"/>
  <c r="AH116" i="20"/>
  <c r="AH155" i="20" s="1"/>
  <c r="AH117" i="20"/>
  <c r="AH156" i="20" s="1"/>
  <c r="AH118" i="20"/>
  <c r="AH157" i="20" s="1"/>
  <c r="AH119" i="20"/>
  <c r="AH158" i="20" s="1"/>
  <c r="AH120" i="20"/>
  <c r="AH159" i="20" s="1"/>
  <c r="AH121" i="20"/>
  <c r="AH160" i="20" s="1"/>
  <c r="AH122" i="20"/>
  <c r="AH161" i="20" s="1"/>
  <c r="AH123" i="20"/>
  <c r="AH162" i="20" s="1"/>
  <c r="AH124" i="20"/>
  <c r="AH163" i="20" s="1"/>
  <c r="AH125" i="20"/>
  <c r="AH164" i="20" s="1"/>
  <c r="AH126" i="20"/>
  <c r="AH165" i="20" s="1"/>
  <c r="AH127" i="20"/>
  <c r="AH166" i="20" s="1"/>
  <c r="AH128" i="20"/>
  <c r="AH167" i="20" s="1"/>
  <c r="AH129" i="20"/>
  <c r="AH168" i="20" s="1"/>
  <c r="AH130" i="20"/>
  <c r="AH169" i="20" s="1"/>
  <c r="AH131" i="20"/>
  <c r="AH170" i="20" s="1"/>
  <c r="AG98" i="20"/>
  <c r="AG137" i="20" s="1"/>
  <c r="AG99" i="20"/>
  <c r="AG138" i="20" s="1"/>
  <c r="AG100" i="20"/>
  <c r="AG139" i="20" s="1"/>
  <c r="AG101" i="20"/>
  <c r="AG140" i="20" s="1"/>
  <c r="AG102" i="20"/>
  <c r="AG141" i="20" s="1"/>
  <c r="AG103" i="20"/>
  <c r="AG142" i="20" s="1"/>
  <c r="AG104" i="20"/>
  <c r="AG143" i="20" s="1"/>
  <c r="AG105" i="20"/>
  <c r="AG144" i="20" s="1"/>
  <c r="AG106" i="20"/>
  <c r="AG145" i="20" s="1"/>
  <c r="AG107" i="20"/>
  <c r="AG146" i="20" s="1"/>
  <c r="AG108" i="20"/>
  <c r="AG147" i="20" s="1"/>
  <c r="AG109" i="20"/>
  <c r="AG148" i="20" s="1"/>
  <c r="AG110" i="20"/>
  <c r="AG149" i="20" s="1"/>
  <c r="AG111" i="20"/>
  <c r="AG150" i="20" s="1"/>
  <c r="AG112" i="20"/>
  <c r="AG151" i="20" s="1"/>
  <c r="AG113" i="20"/>
  <c r="AG152" i="20" s="1"/>
  <c r="AG114" i="20"/>
  <c r="AG153" i="20" s="1"/>
  <c r="AG115" i="20"/>
  <c r="AG154" i="20" s="1"/>
  <c r="AG116" i="20"/>
  <c r="AG155" i="20" s="1"/>
  <c r="AG117" i="20"/>
  <c r="AG156" i="20" s="1"/>
  <c r="AG118" i="20"/>
  <c r="AG157" i="20" s="1"/>
  <c r="AG119" i="20"/>
  <c r="AG158" i="20" s="1"/>
  <c r="AG120" i="20"/>
  <c r="AG159" i="20" s="1"/>
  <c r="AG121" i="20"/>
  <c r="AG160" i="20" s="1"/>
  <c r="AG122" i="20"/>
  <c r="AG161" i="20" s="1"/>
  <c r="AG123" i="20"/>
  <c r="AG162" i="20" s="1"/>
  <c r="AG124" i="20"/>
  <c r="AG163" i="20" s="1"/>
  <c r="AG125" i="20"/>
  <c r="AG164" i="20" s="1"/>
  <c r="AG126" i="20"/>
  <c r="AG165" i="20" s="1"/>
  <c r="AG127" i="20"/>
  <c r="AG166" i="20" s="1"/>
  <c r="AG128" i="20"/>
  <c r="AG167" i="20" s="1"/>
  <c r="AG129" i="20"/>
  <c r="AG168" i="20" s="1"/>
  <c r="AG130" i="20"/>
  <c r="AG169" i="20" s="1"/>
  <c r="AG131" i="20"/>
  <c r="AG170" i="20" s="1"/>
  <c r="AF98" i="20"/>
  <c r="AF137" i="20" s="1"/>
  <c r="AF99" i="20"/>
  <c r="AF138" i="20" s="1"/>
  <c r="AF100" i="20"/>
  <c r="AF139" i="20" s="1"/>
  <c r="AF101" i="20"/>
  <c r="AF140" i="20" s="1"/>
  <c r="AF102" i="20"/>
  <c r="AF141" i="20" s="1"/>
  <c r="AF103" i="20"/>
  <c r="AF142" i="20" s="1"/>
  <c r="AF104" i="20"/>
  <c r="AF143" i="20" s="1"/>
  <c r="AF105" i="20"/>
  <c r="AF144" i="20" s="1"/>
  <c r="AF106" i="20"/>
  <c r="AF145" i="20" s="1"/>
  <c r="AF107" i="20"/>
  <c r="AF146" i="20" s="1"/>
  <c r="AF108" i="20"/>
  <c r="AF147" i="20" s="1"/>
  <c r="AF109" i="20"/>
  <c r="AF148" i="20" s="1"/>
  <c r="AF110" i="20"/>
  <c r="AF149" i="20" s="1"/>
  <c r="AF111" i="20"/>
  <c r="AF150" i="20" s="1"/>
  <c r="AF112" i="20"/>
  <c r="AF151" i="20" s="1"/>
  <c r="AF113" i="20"/>
  <c r="AF152" i="20" s="1"/>
  <c r="AF114" i="20"/>
  <c r="AF153" i="20" s="1"/>
  <c r="AF115" i="20"/>
  <c r="AF154" i="20" s="1"/>
  <c r="AF116" i="20"/>
  <c r="AF155" i="20" s="1"/>
  <c r="AF117" i="20"/>
  <c r="AF156" i="20" s="1"/>
  <c r="AF118" i="20"/>
  <c r="AF157" i="20" s="1"/>
  <c r="AF119" i="20"/>
  <c r="AF158" i="20" s="1"/>
  <c r="AF120" i="20"/>
  <c r="AF159" i="20" s="1"/>
  <c r="AF121" i="20"/>
  <c r="AF160" i="20" s="1"/>
  <c r="AF122" i="20"/>
  <c r="AF161" i="20" s="1"/>
  <c r="AF123" i="20"/>
  <c r="AF162" i="20" s="1"/>
  <c r="AF124" i="20"/>
  <c r="AF163" i="20" s="1"/>
  <c r="AF125" i="20"/>
  <c r="AF164" i="20" s="1"/>
  <c r="AF126" i="20"/>
  <c r="AF165" i="20" s="1"/>
  <c r="AF127" i="20"/>
  <c r="AF166" i="20" s="1"/>
  <c r="AF128" i="20"/>
  <c r="AF167" i="20" s="1"/>
  <c r="AF129" i="20"/>
  <c r="AF168" i="20" s="1"/>
  <c r="AF130" i="20"/>
  <c r="AF169" i="20" s="1"/>
  <c r="AF131" i="20"/>
  <c r="AF170" i="20" s="1"/>
  <c r="AE98" i="20"/>
  <c r="AE137" i="20" s="1"/>
  <c r="AE99" i="20"/>
  <c r="AE138" i="20" s="1"/>
  <c r="AE100" i="20"/>
  <c r="AE139" i="20" s="1"/>
  <c r="AE101" i="20"/>
  <c r="AE140" i="20" s="1"/>
  <c r="AE102" i="20"/>
  <c r="AE141" i="20" s="1"/>
  <c r="AE103" i="20"/>
  <c r="AE142" i="20" s="1"/>
  <c r="AE104" i="20"/>
  <c r="AE143" i="20" s="1"/>
  <c r="AE105" i="20"/>
  <c r="AE144" i="20" s="1"/>
  <c r="AE106" i="20"/>
  <c r="AE145" i="20" s="1"/>
  <c r="AE107" i="20"/>
  <c r="AE146" i="20" s="1"/>
  <c r="AE108" i="20"/>
  <c r="AE147" i="20" s="1"/>
  <c r="AE109" i="20"/>
  <c r="AE148" i="20" s="1"/>
  <c r="AE110" i="20"/>
  <c r="AE149" i="20" s="1"/>
  <c r="AE111" i="20"/>
  <c r="AE150" i="20" s="1"/>
  <c r="AE112" i="20"/>
  <c r="AE151" i="20" s="1"/>
  <c r="AE113" i="20"/>
  <c r="AE152" i="20" s="1"/>
  <c r="AE114" i="20"/>
  <c r="AE153" i="20" s="1"/>
  <c r="AE115" i="20"/>
  <c r="AE154" i="20" s="1"/>
  <c r="AE116" i="20"/>
  <c r="AE155" i="20" s="1"/>
  <c r="AE117" i="20"/>
  <c r="AE156" i="20" s="1"/>
  <c r="AE118" i="20"/>
  <c r="AE157" i="20" s="1"/>
  <c r="AE119" i="20"/>
  <c r="AE158" i="20" s="1"/>
  <c r="AE120" i="20"/>
  <c r="AE159" i="20" s="1"/>
  <c r="AE121" i="20"/>
  <c r="AE160" i="20" s="1"/>
  <c r="AE122" i="20"/>
  <c r="AE161" i="20" s="1"/>
  <c r="AE123" i="20"/>
  <c r="AE162" i="20" s="1"/>
  <c r="AE124" i="20"/>
  <c r="AE163" i="20" s="1"/>
  <c r="AE125" i="20"/>
  <c r="AE164" i="20" s="1"/>
  <c r="AE126" i="20"/>
  <c r="AE165" i="20" s="1"/>
  <c r="AE127" i="20"/>
  <c r="AE166" i="20" s="1"/>
  <c r="AE128" i="20"/>
  <c r="AE167" i="20" s="1"/>
  <c r="AE129" i="20"/>
  <c r="AE168" i="20" s="1"/>
  <c r="AE130" i="20"/>
  <c r="AE169" i="20" s="1"/>
  <c r="AE131" i="20"/>
  <c r="AE170" i="20" s="1"/>
  <c r="AD98" i="20"/>
  <c r="AD137" i="20" s="1"/>
  <c r="AD99" i="20"/>
  <c r="AD138" i="20" s="1"/>
  <c r="AD100" i="20"/>
  <c r="AD139" i="20" s="1"/>
  <c r="AD101" i="20"/>
  <c r="AD140" i="20" s="1"/>
  <c r="AD102" i="20"/>
  <c r="AD141" i="20" s="1"/>
  <c r="AD103" i="20"/>
  <c r="AD142" i="20" s="1"/>
  <c r="AD104" i="20"/>
  <c r="AD143" i="20" s="1"/>
  <c r="AD105" i="20"/>
  <c r="AD144" i="20" s="1"/>
  <c r="AD106" i="20"/>
  <c r="AD145" i="20" s="1"/>
  <c r="AD107" i="20"/>
  <c r="AD146" i="20" s="1"/>
  <c r="AD108" i="20"/>
  <c r="AD147" i="20" s="1"/>
  <c r="AD109" i="20"/>
  <c r="AD148" i="20" s="1"/>
  <c r="AD110" i="20"/>
  <c r="AD149" i="20" s="1"/>
  <c r="AD111" i="20"/>
  <c r="AD150" i="20" s="1"/>
  <c r="AD112" i="20"/>
  <c r="AD151" i="20" s="1"/>
  <c r="AD113" i="20"/>
  <c r="AD152" i="20" s="1"/>
  <c r="AD114" i="20"/>
  <c r="AD153" i="20" s="1"/>
  <c r="AD115" i="20"/>
  <c r="AD154" i="20" s="1"/>
  <c r="AD116" i="20"/>
  <c r="AD155" i="20" s="1"/>
  <c r="AD117" i="20"/>
  <c r="AD156" i="20" s="1"/>
  <c r="AD118" i="20"/>
  <c r="AD157" i="20" s="1"/>
  <c r="AD119" i="20"/>
  <c r="AD158" i="20" s="1"/>
  <c r="AD120" i="20"/>
  <c r="AD159" i="20" s="1"/>
  <c r="AD121" i="20"/>
  <c r="AD160" i="20" s="1"/>
  <c r="AD122" i="20"/>
  <c r="AD161" i="20" s="1"/>
  <c r="AD123" i="20"/>
  <c r="AD162" i="20" s="1"/>
  <c r="AD124" i="20"/>
  <c r="AD163" i="20" s="1"/>
  <c r="AD125" i="20"/>
  <c r="AD164" i="20" s="1"/>
  <c r="AD126" i="20"/>
  <c r="AD165" i="20" s="1"/>
  <c r="AD127" i="20"/>
  <c r="AD166" i="20" s="1"/>
  <c r="AD128" i="20"/>
  <c r="AD167" i="20" s="1"/>
  <c r="AD129" i="20"/>
  <c r="AD168" i="20" s="1"/>
  <c r="AD130" i="20"/>
  <c r="AD169" i="20" s="1"/>
  <c r="AD131" i="20"/>
  <c r="AD170" i="20" s="1"/>
  <c r="AC98" i="20"/>
  <c r="AC137" i="20" s="1"/>
  <c r="AC99" i="20"/>
  <c r="AC138" i="20" s="1"/>
  <c r="AC100" i="20"/>
  <c r="AC139" i="20" s="1"/>
  <c r="AC101" i="20"/>
  <c r="AC140" i="20" s="1"/>
  <c r="AC102" i="20"/>
  <c r="AC141" i="20" s="1"/>
  <c r="AC103" i="20"/>
  <c r="AC142" i="20" s="1"/>
  <c r="AC104" i="20"/>
  <c r="AC143" i="20" s="1"/>
  <c r="AC105" i="20"/>
  <c r="AC144" i="20" s="1"/>
  <c r="AC106" i="20"/>
  <c r="AC145" i="20" s="1"/>
  <c r="AC107" i="20"/>
  <c r="AC146" i="20" s="1"/>
  <c r="AC108" i="20"/>
  <c r="AC147" i="20" s="1"/>
  <c r="AC109" i="20"/>
  <c r="AC148" i="20" s="1"/>
  <c r="AC110" i="20"/>
  <c r="AC149" i="20" s="1"/>
  <c r="AC111" i="20"/>
  <c r="AC150" i="20" s="1"/>
  <c r="AC112" i="20"/>
  <c r="AC151" i="20" s="1"/>
  <c r="AC113" i="20"/>
  <c r="AC152" i="20" s="1"/>
  <c r="AC114" i="20"/>
  <c r="AC153" i="20" s="1"/>
  <c r="AC115" i="20"/>
  <c r="AC154" i="20" s="1"/>
  <c r="AC116" i="20"/>
  <c r="AC155" i="20" s="1"/>
  <c r="AC117" i="20"/>
  <c r="AC156" i="20" s="1"/>
  <c r="AC118" i="20"/>
  <c r="AC157" i="20" s="1"/>
  <c r="AC119" i="20"/>
  <c r="AC158" i="20" s="1"/>
  <c r="AC120" i="20"/>
  <c r="AC159" i="20" s="1"/>
  <c r="AC121" i="20"/>
  <c r="AC160" i="20" s="1"/>
  <c r="AC122" i="20"/>
  <c r="AC161" i="20" s="1"/>
  <c r="AC123" i="20"/>
  <c r="AC162" i="20" s="1"/>
  <c r="AC124" i="20"/>
  <c r="AC163" i="20" s="1"/>
  <c r="AC125" i="20"/>
  <c r="AC164" i="20" s="1"/>
  <c r="AC126" i="20"/>
  <c r="AC165" i="20" s="1"/>
  <c r="AC127" i="20"/>
  <c r="AC166" i="20" s="1"/>
  <c r="AC128" i="20"/>
  <c r="AC167" i="20" s="1"/>
  <c r="AC129" i="20"/>
  <c r="AC168" i="20" s="1"/>
  <c r="AC130" i="20"/>
  <c r="AC169" i="20" s="1"/>
  <c r="AC131" i="20"/>
  <c r="AC170" i="20" s="1"/>
  <c r="AB98" i="20"/>
  <c r="AB137" i="20" s="1"/>
  <c r="AB99" i="20"/>
  <c r="AB138" i="20" s="1"/>
  <c r="AB100" i="20"/>
  <c r="AB139" i="20" s="1"/>
  <c r="AB101" i="20"/>
  <c r="AB140" i="20" s="1"/>
  <c r="AB102" i="20"/>
  <c r="AB141" i="20" s="1"/>
  <c r="AB103" i="20"/>
  <c r="AB142" i="20" s="1"/>
  <c r="AB104" i="20"/>
  <c r="AB143" i="20" s="1"/>
  <c r="AB105" i="20"/>
  <c r="AB144" i="20" s="1"/>
  <c r="AB106" i="20"/>
  <c r="AB145" i="20" s="1"/>
  <c r="AB107" i="20"/>
  <c r="AB146" i="20" s="1"/>
  <c r="AB108" i="20"/>
  <c r="AB147" i="20" s="1"/>
  <c r="AB109" i="20"/>
  <c r="AB148" i="20" s="1"/>
  <c r="AB110" i="20"/>
  <c r="AB149" i="20" s="1"/>
  <c r="AB111" i="20"/>
  <c r="AB150" i="20" s="1"/>
  <c r="AB112" i="20"/>
  <c r="AB151" i="20" s="1"/>
  <c r="AB113" i="20"/>
  <c r="AB152" i="20" s="1"/>
  <c r="AB114" i="20"/>
  <c r="AB153" i="20" s="1"/>
  <c r="AB115" i="20"/>
  <c r="AB154" i="20" s="1"/>
  <c r="AB116" i="20"/>
  <c r="AB155" i="20" s="1"/>
  <c r="AB117" i="20"/>
  <c r="AB156" i="20" s="1"/>
  <c r="AB118" i="20"/>
  <c r="AB157" i="20" s="1"/>
  <c r="AB119" i="20"/>
  <c r="AB158" i="20" s="1"/>
  <c r="AB120" i="20"/>
  <c r="AB159" i="20" s="1"/>
  <c r="AB121" i="20"/>
  <c r="AB160" i="20" s="1"/>
  <c r="AB122" i="20"/>
  <c r="AB161" i="20" s="1"/>
  <c r="AB123" i="20"/>
  <c r="AB162" i="20" s="1"/>
  <c r="AB124" i="20"/>
  <c r="AB163" i="20" s="1"/>
  <c r="AB125" i="20"/>
  <c r="AB164" i="20" s="1"/>
  <c r="AB126" i="20"/>
  <c r="AB165" i="20" s="1"/>
  <c r="AB127" i="20"/>
  <c r="AB166" i="20" s="1"/>
  <c r="AB128" i="20"/>
  <c r="AB167" i="20" s="1"/>
  <c r="AB129" i="20"/>
  <c r="AB168" i="20" s="1"/>
  <c r="AB130" i="20"/>
  <c r="AB169" i="20" s="1"/>
  <c r="AB131" i="20"/>
  <c r="AB170" i="20" s="1"/>
  <c r="AA98" i="20"/>
  <c r="AA137" i="20" s="1"/>
  <c r="AA99" i="20"/>
  <c r="AA138" i="20" s="1"/>
  <c r="AA100" i="20"/>
  <c r="AA139" i="20" s="1"/>
  <c r="AA101" i="20"/>
  <c r="AA140" i="20" s="1"/>
  <c r="AA102" i="20"/>
  <c r="AA141" i="20" s="1"/>
  <c r="AA103" i="20"/>
  <c r="AA142" i="20" s="1"/>
  <c r="AA104" i="20"/>
  <c r="AA143" i="20" s="1"/>
  <c r="AA105" i="20"/>
  <c r="AA144" i="20" s="1"/>
  <c r="AA106" i="20"/>
  <c r="AA145" i="20" s="1"/>
  <c r="AA107" i="20"/>
  <c r="AA146" i="20" s="1"/>
  <c r="AA108" i="20"/>
  <c r="AA147" i="20" s="1"/>
  <c r="AA109" i="20"/>
  <c r="AA148" i="20" s="1"/>
  <c r="AA110" i="20"/>
  <c r="AA149" i="20" s="1"/>
  <c r="AA111" i="20"/>
  <c r="AA150" i="20" s="1"/>
  <c r="AA112" i="20"/>
  <c r="AA151" i="20" s="1"/>
  <c r="AA113" i="20"/>
  <c r="AA152" i="20" s="1"/>
  <c r="AA114" i="20"/>
  <c r="AA153" i="20" s="1"/>
  <c r="AA115" i="20"/>
  <c r="AA154" i="20" s="1"/>
  <c r="AA116" i="20"/>
  <c r="AA155" i="20" s="1"/>
  <c r="AA117" i="20"/>
  <c r="AA156" i="20" s="1"/>
  <c r="AA118" i="20"/>
  <c r="AA157" i="20" s="1"/>
  <c r="AA119" i="20"/>
  <c r="AA158" i="20" s="1"/>
  <c r="AA120" i="20"/>
  <c r="AA159" i="20" s="1"/>
  <c r="AA121" i="20"/>
  <c r="AA160" i="20" s="1"/>
  <c r="AA122" i="20"/>
  <c r="AA161" i="20" s="1"/>
  <c r="AA123" i="20"/>
  <c r="AA162" i="20" s="1"/>
  <c r="AA124" i="20"/>
  <c r="AA163" i="20" s="1"/>
  <c r="AA125" i="20"/>
  <c r="AA164" i="20" s="1"/>
  <c r="AA126" i="20"/>
  <c r="AA165" i="20" s="1"/>
  <c r="AA127" i="20"/>
  <c r="AA166" i="20" s="1"/>
  <c r="AA128" i="20"/>
  <c r="AA167" i="20" s="1"/>
  <c r="AA129" i="20"/>
  <c r="AA168" i="20" s="1"/>
  <c r="AA130" i="20"/>
  <c r="AA169" i="20" s="1"/>
  <c r="AA131" i="20"/>
  <c r="AA170" i="20" s="1"/>
  <c r="Z98" i="20"/>
  <c r="Z137" i="20" s="1"/>
  <c r="Z99" i="20"/>
  <c r="Z138" i="20" s="1"/>
  <c r="Z100" i="20"/>
  <c r="Z139" i="20" s="1"/>
  <c r="Z101" i="20"/>
  <c r="Z140" i="20" s="1"/>
  <c r="Z102" i="20"/>
  <c r="Z141" i="20" s="1"/>
  <c r="Z103" i="20"/>
  <c r="Z142" i="20" s="1"/>
  <c r="Z104" i="20"/>
  <c r="Z143" i="20" s="1"/>
  <c r="Z105" i="20"/>
  <c r="Z144" i="20" s="1"/>
  <c r="Z106" i="20"/>
  <c r="Z145" i="20" s="1"/>
  <c r="Z107" i="20"/>
  <c r="Z146" i="20" s="1"/>
  <c r="Z108" i="20"/>
  <c r="Z147" i="20" s="1"/>
  <c r="Z109" i="20"/>
  <c r="Z148" i="20" s="1"/>
  <c r="Z110" i="20"/>
  <c r="Z149" i="20" s="1"/>
  <c r="Z111" i="20"/>
  <c r="Z150" i="20" s="1"/>
  <c r="Z112" i="20"/>
  <c r="Z151" i="20" s="1"/>
  <c r="Z113" i="20"/>
  <c r="Z152" i="20" s="1"/>
  <c r="Z114" i="20"/>
  <c r="Z153" i="20" s="1"/>
  <c r="Z115" i="20"/>
  <c r="Z154" i="20" s="1"/>
  <c r="Z116" i="20"/>
  <c r="Z155" i="20" s="1"/>
  <c r="Z117" i="20"/>
  <c r="Z156" i="20" s="1"/>
  <c r="Z118" i="20"/>
  <c r="Z157" i="20" s="1"/>
  <c r="Z119" i="20"/>
  <c r="Z158" i="20" s="1"/>
  <c r="Z120" i="20"/>
  <c r="Z159" i="20" s="1"/>
  <c r="Z121" i="20"/>
  <c r="Z160" i="20" s="1"/>
  <c r="Z122" i="20"/>
  <c r="Z161" i="20" s="1"/>
  <c r="Z123" i="20"/>
  <c r="Z162" i="20" s="1"/>
  <c r="Z124" i="20"/>
  <c r="Z163" i="20" s="1"/>
  <c r="Z125" i="20"/>
  <c r="Z164" i="20" s="1"/>
  <c r="Z126" i="20"/>
  <c r="Z165" i="20" s="1"/>
  <c r="Z127" i="20"/>
  <c r="Z166" i="20" s="1"/>
  <c r="Z128" i="20"/>
  <c r="Z167" i="20" s="1"/>
  <c r="Z129" i="20"/>
  <c r="Z168" i="20" s="1"/>
  <c r="Z130" i="20"/>
  <c r="Z169" i="20" s="1"/>
  <c r="Z131" i="20"/>
  <c r="Z170" i="20" s="1"/>
  <c r="Y98" i="20"/>
  <c r="Y137" i="20" s="1"/>
  <c r="Y99" i="20"/>
  <c r="Y138" i="20" s="1"/>
  <c r="Y100" i="20"/>
  <c r="Y139" i="20" s="1"/>
  <c r="Y101" i="20"/>
  <c r="Y140" i="20" s="1"/>
  <c r="Y102" i="20"/>
  <c r="Y141" i="20" s="1"/>
  <c r="Y103" i="20"/>
  <c r="Y142" i="20" s="1"/>
  <c r="Y104" i="20"/>
  <c r="Y143" i="20" s="1"/>
  <c r="Y105" i="20"/>
  <c r="Y144" i="20" s="1"/>
  <c r="Y106" i="20"/>
  <c r="Y145" i="20" s="1"/>
  <c r="Y107" i="20"/>
  <c r="Y146" i="20" s="1"/>
  <c r="Y108" i="20"/>
  <c r="Y147" i="20" s="1"/>
  <c r="Y109" i="20"/>
  <c r="Y148" i="20" s="1"/>
  <c r="Y110" i="20"/>
  <c r="Y149" i="20" s="1"/>
  <c r="Y111" i="20"/>
  <c r="Y150" i="20" s="1"/>
  <c r="Y112" i="20"/>
  <c r="Y151" i="20" s="1"/>
  <c r="Y113" i="20"/>
  <c r="Y152" i="20" s="1"/>
  <c r="Y114" i="20"/>
  <c r="Y153" i="20" s="1"/>
  <c r="Y115" i="20"/>
  <c r="Y154" i="20" s="1"/>
  <c r="Y116" i="20"/>
  <c r="Y155" i="20" s="1"/>
  <c r="Y117" i="20"/>
  <c r="Y156" i="20" s="1"/>
  <c r="Y118" i="20"/>
  <c r="Y157" i="20" s="1"/>
  <c r="Y119" i="20"/>
  <c r="Y158" i="20" s="1"/>
  <c r="Y120" i="20"/>
  <c r="Y159" i="20" s="1"/>
  <c r="Y121" i="20"/>
  <c r="Y160" i="20" s="1"/>
  <c r="Y122" i="20"/>
  <c r="Y161" i="20" s="1"/>
  <c r="Y123" i="20"/>
  <c r="Y162" i="20" s="1"/>
  <c r="Y124" i="20"/>
  <c r="Y163" i="20" s="1"/>
  <c r="Y125" i="20"/>
  <c r="Y164" i="20" s="1"/>
  <c r="Y126" i="20"/>
  <c r="Y165" i="20" s="1"/>
  <c r="Y127" i="20"/>
  <c r="Y166" i="20" s="1"/>
  <c r="Y128" i="20"/>
  <c r="Y167" i="20" s="1"/>
  <c r="Y129" i="20"/>
  <c r="Y168" i="20" s="1"/>
  <c r="Y130" i="20"/>
  <c r="Y169" i="20" s="1"/>
  <c r="Y131" i="20"/>
  <c r="Y170" i="20" s="1"/>
  <c r="V98" i="20"/>
  <c r="V137" i="20" s="1"/>
  <c r="V99" i="20"/>
  <c r="V138" i="20" s="1"/>
  <c r="V100" i="20"/>
  <c r="V139" i="20" s="1"/>
  <c r="V101" i="20"/>
  <c r="V140" i="20" s="1"/>
  <c r="V102" i="20"/>
  <c r="V141" i="20" s="1"/>
  <c r="V103" i="20"/>
  <c r="V142" i="20" s="1"/>
  <c r="V104" i="20"/>
  <c r="V143" i="20" s="1"/>
  <c r="V105" i="20"/>
  <c r="V144" i="20" s="1"/>
  <c r="V106" i="20"/>
  <c r="V145" i="20" s="1"/>
  <c r="V107" i="20"/>
  <c r="V146" i="20" s="1"/>
  <c r="V108" i="20"/>
  <c r="V147" i="20" s="1"/>
  <c r="V109" i="20"/>
  <c r="V148" i="20" s="1"/>
  <c r="V110" i="20"/>
  <c r="V149" i="20" s="1"/>
  <c r="V111" i="20"/>
  <c r="V150" i="20" s="1"/>
  <c r="V112" i="20"/>
  <c r="V151" i="20" s="1"/>
  <c r="V113" i="20"/>
  <c r="V152" i="20" s="1"/>
  <c r="V114" i="20"/>
  <c r="V153" i="20" s="1"/>
  <c r="V115" i="20"/>
  <c r="V154" i="20" s="1"/>
  <c r="V116" i="20"/>
  <c r="V155" i="20" s="1"/>
  <c r="V117" i="20"/>
  <c r="V156" i="20" s="1"/>
  <c r="V118" i="20"/>
  <c r="V157" i="20" s="1"/>
  <c r="V119" i="20"/>
  <c r="V158" i="20" s="1"/>
  <c r="V120" i="20"/>
  <c r="V159" i="20" s="1"/>
  <c r="V121" i="20"/>
  <c r="V160" i="20" s="1"/>
  <c r="V122" i="20"/>
  <c r="V161" i="20" s="1"/>
  <c r="V123" i="20"/>
  <c r="V162" i="20" s="1"/>
  <c r="V124" i="20"/>
  <c r="V163" i="20" s="1"/>
  <c r="V125" i="20"/>
  <c r="V164" i="20" s="1"/>
  <c r="V126" i="20"/>
  <c r="V165" i="20" s="1"/>
  <c r="V127" i="20"/>
  <c r="V166" i="20" s="1"/>
  <c r="V128" i="20"/>
  <c r="V167" i="20" s="1"/>
  <c r="V129" i="20"/>
  <c r="V168" i="20" s="1"/>
  <c r="V130" i="20"/>
  <c r="V169" i="20" s="1"/>
  <c r="V131" i="20"/>
  <c r="V170" i="20" s="1"/>
  <c r="U98" i="20"/>
  <c r="U137" i="20" s="1"/>
  <c r="U99" i="20"/>
  <c r="U138" i="20" s="1"/>
  <c r="U100" i="20"/>
  <c r="U139" i="20" s="1"/>
  <c r="U101" i="20"/>
  <c r="U140" i="20" s="1"/>
  <c r="U102" i="20"/>
  <c r="U141" i="20" s="1"/>
  <c r="U103" i="20"/>
  <c r="U142" i="20" s="1"/>
  <c r="U104" i="20"/>
  <c r="U143" i="20" s="1"/>
  <c r="U105" i="20"/>
  <c r="U144" i="20" s="1"/>
  <c r="U106" i="20"/>
  <c r="U145" i="20" s="1"/>
  <c r="U107" i="20"/>
  <c r="U146" i="20" s="1"/>
  <c r="U108" i="20"/>
  <c r="U147" i="20" s="1"/>
  <c r="U109" i="20"/>
  <c r="U148" i="20" s="1"/>
  <c r="U110" i="20"/>
  <c r="U149" i="20" s="1"/>
  <c r="U111" i="20"/>
  <c r="U150" i="20" s="1"/>
  <c r="U112" i="20"/>
  <c r="U151" i="20" s="1"/>
  <c r="U113" i="20"/>
  <c r="U152" i="20" s="1"/>
  <c r="U114" i="20"/>
  <c r="U153" i="20" s="1"/>
  <c r="U115" i="20"/>
  <c r="U154" i="20" s="1"/>
  <c r="U116" i="20"/>
  <c r="U155" i="20" s="1"/>
  <c r="U117" i="20"/>
  <c r="U156" i="20" s="1"/>
  <c r="U118" i="20"/>
  <c r="U157" i="20" s="1"/>
  <c r="U119" i="20"/>
  <c r="U158" i="20" s="1"/>
  <c r="U120" i="20"/>
  <c r="U159" i="20" s="1"/>
  <c r="U121" i="20"/>
  <c r="U160" i="20" s="1"/>
  <c r="U122" i="20"/>
  <c r="U161" i="20" s="1"/>
  <c r="U123" i="20"/>
  <c r="U162" i="20" s="1"/>
  <c r="U124" i="20"/>
  <c r="U163" i="20" s="1"/>
  <c r="U125" i="20"/>
  <c r="U164" i="20" s="1"/>
  <c r="U126" i="20"/>
  <c r="U165" i="20" s="1"/>
  <c r="U127" i="20"/>
  <c r="U166" i="20" s="1"/>
  <c r="U128" i="20"/>
  <c r="U167" i="20" s="1"/>
  <c r="U129" i="20"/>
  <c r="U168" i="20" s="1"/>
  <c r="U130" i="20"/>
  <c r="U169" i="20" s="1"/>
  <c r="U131" i="20"/>
  <c r="U170" i="20" s="1"/>
  <c r="T98" i="20"/>
  <c r="T137" i="20" s="1"/>
  <c r="T99" i="20"/>
  <c r="T138" i="20" s="1"/>
  <c r="T100" i="20"/>
  <c r="T139" i="20" s="1"/>
  <c r="T101" i="20"/>
  <c r="T140" i="20" s="1"/>
  <c r="T102" i="20"/>
  <c r="T141" i="20" s="1"/>
  <c r="T103" i="20"/>
  <c r="T142" i="20" s="1"/>
  <c r="T104" i="20"/>
  <c r="T143" i="20" s="1"/>
  <c r="T105" i="20"/>
  <c r="T144" i="20" s="1"/>
  <c r="T106" i="20"/>
  <c r="T145" i="20" s="1"/>
  <c r="T107" i="20"/>
  <c r="T146" i="20" s="1"/>
  <c r="T108" i="20"/>
  <c r="T147" i="20" s="1"/>
  <c r="T109" i="20"/>
  <c r="T148" i="20" s="1"/>
  <c r="T110" i="20"/>
  <c r="T149" i="20" s="1"/>
  <c r="T111" i="20"/>
  <c r="T150" i="20" s="1"/>
  <c r="T112" i="20"/>
  <c r="T151" i="20" s="1"/>
  <c r="T113" i="20"/>
  <c r="T152" i="20" s="1"/>
  <c r="T114" i="20"/>
  <c r="T153" i="20" s="1"/>
  <c r="T115" i="20"/>
  <c r="T154" i="20" s="1"/>
  <c r="T116" i="20"/>
  <c r="T155" i="20" s="1"/>
  <c r="T117" i="20"/>
  <c r="T156" i="20" s="1"/>
  <c r="T118" i="20"/>
  <c r="T157" i="20" s="1"/>
  <c r="T119" i="20"/>
  <c r="T158" i="20" s="1"/>
  <c r="T120" i="20"/>
  <c r="T159" i="20" s="1"/>
  <c r="T121" i="20"/>
  <c r="T160" i="20" s="1"/>
  <c r="T122" i="20"/>
  <c r="T161" i="20" s="1"/>
  <c r="T123" i="20"/>
  <c r="T162" i="20" s="1"/>
  <c r="T124" i="20"/>
  <c r="T163" i="20" s="1"/>
  <c r="T125" i="20"/>
  <c r="T164" i="20" s="1"/>
  <c r="T126" i="20"/>
  <c r="T165" i="20" s="1"/>
  <c r="T127" i="20"/>
  <c r="T166" i="20" s="1"/>
  <c r="T128" i="20"/>
  <c r="T167" i="20" s="1"/>
  <c r="T129" i="20"/>
  <c r="T168" i="20" s="1"/>
  <c r="T130" i="20"/>
  <c r="T169" i="20" s="1"/>
  <c r="T131" i="20"/>
  <c r="T170" i="20" s="1"/>
  <c r="S98" i="20"/>
  <c r="S137" i="20" s="1"/>
  <c r="S99" i="20"/>
  <c r="S138" i="20" s="1"/>
  <c r="S100" i="20"/>
  <c r="S139" i="20" s="1"/>
  <c r="S101" i="20"/>
  <c r="S140" i="20" s="1"/>
  <c r="S102" i="20"/>
  <c r="S141" i="20" s="1"/>
  <c r="S103" i="20"/>
  <c r="S142" i="20" s="1"/>
  <c r="S104" i="20"/>
  <c r="S143" i="20" s="1"/>
  <c r="S105" i="20"/>
  <c r="S144" i="20" s="1"/>
  <c r="S106" i="20"/>
  <c r="S145" i="20" s="1"/>
  <c r="S107" i="20"/>
  <c r="S146" i="20" s="1"/>
  <c r="S108" i="20"/>
  <c r="S147" i="20" s="1"/>
  <c r="S109" i="20"/>
  <c r="S148" i="20" s="1"/>
  <c r="S110" i="20"/>
  <c r="S149" i="20" s="1"/>
  <c r="S111" i="20"/>
  <c r="S150" i="20" s="1"/>
  <c r="S112" i="20"/>
  <c r="S151" i="20" s="1"/>
  <c r="S113" i="20"/>
  <c r="S152" i="20" s="1"/>
  <c r="S114" i="20"/>
  <c r="S153" i="20" s="1"/>
  <c r="S115" i="20"/>
  <c r="S154" i="20" s="1"/>
  <c r="S116" i="20"/>
  <c r="S155" i="20" s="1"/>
  <c r="S117" i="20"/>
  <c r="S156" i="20" s="1"/>
  <c r="S118" i="20"/>
  <c r="S157" i="20" s="1"/>
  <c r="S119" i="20"/>
  <c r="S158" i="20" s="1"/>
  <c r="S120" i="20"/>
  <c r="S159" i="20" s="1"/>
  <c r="S121" i="20"/>
  <c r="S160" i="20" s="1"/>
  <c r="S122" i="20"/>
  <c r="S161" i="20" s="1"/>
  <c r="S123" i="20"/>
  <c r="S162" i="20" s="1"/>
  <c r="S124" i="20"/>
  <c r="S163" i="20" s="1"/>
  <c r="S125" i="20"/>
  <c r="S164" i="20" s="1"/>
  <c r="S126" i="20"/>
  <c r="S165" i="20" s="1"/>
  <c r="S127" i="20"/>
  <c r="S166" i="20" s="1"/>
  <c r="S128" i="20"/>
  <c r="S167" i="20" s="1"/>
  <c r="S129" i="20"/>
  <c r="S168" i="20" s="1"/>
  <c r="S130" i="20"/>
  <c r="S169" i="20" s="1"/>
  <c r="S131" i="20"/>
  <c r="S170" i="20" s="1"/>
  <c r="R98" i="20"/>
  <c r="R137" i="20" s="1"/>
  <c r="R99" i="20"/>
  <c r="R138" i="20" s="1"/>
  <c r="R100" i="20"/>
  <c r="R139" i="20" s="1"/>
  <c r="R101" i="20"/>
  <c r="R140" i="20" s="1"/>
  <c r="R102" i="20"/>
  <c r="R141" i="20" s="1"/>
  <c r="R103" i="20"/>
  <c r="R142" i="20" s="1"/>
  <c r="R104" i="20"/>
  <c r="R143" i="20" s="1"/>
  <c r="R105" i="20"/>
  <c r="R144" i="20" s="1"/>
  <c r="R106" i="20"/>
  <c r="R145" i="20" s="1"/>
  <c r="R107" i="20"/>
  <c r="R146" i="20" s="1"/>
  <c r="R108" i="20"/>
  <c r="R147" i="20" s="1"/>
  <c r="R109" i="20"/>
  <c r="R148" i="20" s="1"/>
  <c r="R110" i="20"/>
  <c r="R149" i="20" s="1"/>
  <c r="R111" i="20"/>
  <c r="R150" i="20" s="1"/>
  <c r="R112" i="20"/>
  <c r="R151" i="20" s="1"/>
  <c r="R113" i="20"/>
  <c r="R152" i="20" s="1"/>
  <c r="R114" i="20"/>
  <c r="R153" i="20" s="1"/>
  <c r="R115" i="20"/>
  <c r="R154" i="20" s="1"/>
  <c r="R116" i="20"/>
  <c r="R155" i="20" s="1"/>
  <c r="R117" i="20"/>
  <c r="R156" i="20" s="1"/>
  <c r="R118" i="20"/>
  <c r="R157" i="20" s="1"/>
  <c r="R119" i="20"/>
  <c r="R158" i="20" s="1"/>
  <c r="R120" i="20"/>
  <c r="R159" i="20" s="1"/>
  <c r="R121" i="20"/>
  <c r="R160" i="20" s="1"/>
  <c r="R122" i="20"/>
  <c r="R161" i="20" s="1"/>
  <c r="R123" i="20"/>
  <c r="R162" i="20" s="1"/>
  <c r="R124" i="20"/>
  <c r="R163" i="20" s="1"/>
  <c r="R125" i="20"/>
  <c r="R164" i="20" s="1"/>
  <c r="R126" i="20"/>
  <c r="R165" i="20" s="1"/>
  <c r="R127" i="20"/>
  <c r="R166" i="20" s="1"/>
  <c r="R128" i="20"/>
  <c r="R167" i="20" s="1"/>
  <c r="R129" i="20"/>
  <c r="R168" i="20" s="1"/>
  <c r="R130" i="20"/>
  <c r="R169" i="20" s="1"/>
  <c r="R131" i="20"/>
  <c r="R170" i="20" s="1"/>
  <c r="Q98" i="20"/>
  <c r="Q137" i="20" s="1"/>
  <c r="Q99" i="20"/>
  <c r="Q138" i="20" s="1"/>
  <c r="Q100" i="20"/>
  <c r="Q139" i="20" s="1"/>
  <c r="Q101" i="20"/>
  <c r="Q140" i="20" s="1"/>
  <c r="Q102" i="20"/>
  <c r="Q141" i="20" s="1"/>
  <c r="Q103" i="20"/>
  <c r="Q142" i="20" s="1"/>
  <c r="Q104" i="20"/>
  <c r="Q143" i="20" s="1"/>
  <c r="Q105" i="20"/>
  <c r="Q144" i="20" s="1"/>
  <c r="Q106" i="20"/>
  <c r="Q145" i="20" s="1"/>
  <c r="Q107" i="20"/>
  <c r="Q146" i="20" s="1"/>
  <c r="Q108" i="20"/>
  <c r="Q147" i="20" s="1"/>
  <c r="Q109" i="20"/>
  <c r="Q148" i="20" s="1"/>
  <c r="Q110" i="20"/>
  <c r="Q149" i="20" s="1"/>
  <c r="Q111" i="20"/>
  <c r="Q150" i="20" s="1"/>
  <c r="Q112" i="20"/>
  <c r="Q151" i="20" s="1"/>
  <c r="Q113" i="20"/>
  <c r="Q152" i="20" s="1"/>
  <c r="Q114" i="20"/>
  <c r="Q153" i="20" s="1"/>
  <c r="Q115" i="20"/>
  <c r="Q154" i="20" s="1"/>
  <c r="Q116" i="20"/>
  <c r="Q155" i="20" s="1"/>
  <c r="Q117" i="20"/>
  <c r="Q156" i="20" s="1"/>
  <c r="Q118" i="20"/>
  <c r="Q157" i="20" s="1"/>
  <c r="Q119" i="20"/>
  <c r="Q158" i="20" s="1"/>
  <c r="Q120" i="20"/>
  <c r="Q159" i="20" s="1"/>
  <c r="Q121" i="20"/>
  <c r="Q160" i="20" s="1"/>
  <c r="Q122" i="20"/>
  <c r="Q161" i="20" s="1"/>
  <c r="Q123" i="20"/>
  <c r="Q162" i="20" s="1"/>
  <c r="Q124" i="20"/>
  <c r="Q163" i="20" s="1"/>
  <c r="Q125" i="20"/>
  <c r="Q164" i="20" s="1"/>
  <c r="Q126" i="20"/>
  <c r="Q165" i="20" s="1"/>
  <c r="Q127" i="20"/>
  <c r="Q166" i="20" s="1"/>
  <c r="Q128" i="20"/>
  <c r="Q167" i="20" s="1"/>
  <c r="Q129" i="20"/>
  <c r="Q168" i="20" s="1"/>
  <c r="Q130" i="20"/>
  <c r="Q169" i="20" s="1"/>
  <c r="Q131" i="20"/>
  <c r="Q170" i="20" s="1"/>
  <c r="P98" i="20"/>
  <c r="P137" i="20" s="1"/>
  <c r="P99" i="20"/>
  <c r="P138" i="20" s="1"/>
  <c r="P100" i="20"/>
  <c r="P139" i="20" s="1"/>
  <c r="P101" i="20"/>
  <c r="P140" i="20" s="1"/>
  <c r="P102" i="20"/>
  <c r="P141" i="20" s="1"/>
  <c r="P103" i="20"/>
  <c r="P142" i="20" s="1"/>
  <c r="P104" i="20"/>
  <c r="P143" i="20" s="1"/>
  <c r="P105" i="20"/>
  <c r="P144" i="20" s="1"/>
  <c r="P106" i="20"/>
  <c r="P145" i="20" s="1"/>
  <c r="P107" i="20"/>
  <c r="P146" i="20" s="1"/>
  <c r="P108" i="20"/>
  <c r="P147" i="20" s="1"/>
  <c r="P109" i="20"/>
  <c r="P148" i="20" s="1"/>
  <c r="P110" i="20"/>
  <c r="P149" i="20" s="1"/>
  <c r="P111" i="20"/>
  <c r="P150" i="20" s="1"/>
  <c r="P112" i="20"/>
  <c r="P151" i="20" s="1"/>
  <c r="P113" i="20"/>
  <c r="P152" i="20" s="1"/>
  <c r="P114" i="20"/>
  <c r="P153" i="20" s="1"/>
  <c r="P115" i="20"/>
  <c r="P154" i="20" s="1"/>
  <c r="P116" i="20"/>
  <c r="P155" i="20" s="1"/>
  <c r="P117" i="20"/>
  <c r="P156" i="20" s="1"/>
  <c r="P118" i="20"/>
  <c r="P157" i="20" s="1"/>
  <c r="P119" i="20"/>
  <c r="P158" i="20" s="1"/>
  <c r="P120" i="20"/>
  <c r="P159" i="20" s="1"/>
  <c r="P121" i="20"/>
  <c r="P160" i="20" s="1"/>
  <c r="P122" i="20"/>
  <c r="P161" i="20" s="1"/>
  <c r="P123" i="20"/>
  <c r="P162" i="20" s="1"/>
  <c r="P124" i="20"/>
  <c r="P163" i="20" s="1"/>
  <c r="P125" i="20"/>
  <c r="P164" i="20" s="1"/>
  <c r="P126" i="20"/>
  <c r="P165" i="20" s="1"/>
  <c r="P127" i="20"/>
  <c r="P166" i="20" s="1"/>
  <c r="P128" i="20"/>
  <c r="P167" i="20" s="1"/>
  <c r="P129" i="20"/>
  <c r="P168" i="20" s="1"/>
  <c r="P130" i="20"/>
  <c r="P169" i="20" s="1"/>
  <c r="P131" i="20"/>
  <c r="P170" i="20" s="1"/>
  <c r="O98" i="20"/>
  <c r="O137" i="20" s="1"/>
  <c r="O99" i="20"/>
  <c r="O138" i="20" s="1"/>
  <c r="O100" i="20"/>
  <c r="O139" i="20" s="1"/>
  <c r="O101" i="20"/>
  <c r="O140" i="20" s="1"/>
  <c r="O102" i="20"/>
  <c r="O141" i="20" s="1"/>
  <c r="O103" i="20"/>
  <c r="O142" i="20" s="1"/>
  <c r="O104" i="20"/>
  <c r="O143" i="20" s="1"/>
  <c r="O105" i="20"/>
  <c r="O144" i="20" s="1"/>
  <c r="O106" i="20"/>
  <c r="O145" i="20" s="1"/>
  <c r="O107" i="20"/>
  <c r="O146" i="20" s="1"/>
  <c r="O108" i="20"/>
  <c r="O147" i="20" s="1"/>
  <c r="O109" i="20"/>
  <c r="O148" i="20" s="1"/>
  <c r="O110" i="20"/>
  <c r="O149" i="20" s="1"/>
  <c r="O111" i="20"/>
  <c r="O150" i="20" s="1"/>
  <c r="O112" i="20"/>
  <c r="O151" i="20" s="1"/>
  <c r="O113" i="20"/>
  <c r="O152" i="20" s="1"/>
  <c r="O114" i="20"/>
  <c r="O153" i="20" s="1"/>
  <c r="O115" i="20"/>
  <c r="O154" i="20" s="1"/>
  <c r="O116" i="20"/>
  <c r="O155" i="20" s="1"/>
  <c r="O117" i="20"/>
  <c r="O156" i="20" s="1"/>
  <c r="O118" i="20"/>
  <c r="O157" i="20" s="1"/>
  <c r="O119" i="20"/>
  <c r="O158" i="20" s="1"/>
  <c r="O120" i="20"/>
  <c r="O159" i="20" s="1"/>
  <c r="O121" i="20"/>
  <c r="O160" i="20" s="1"/>
  <c r="O122" i="20"/>
  <c r="O161" i="20" s="1"/>
  <c r="O123" i="20"/>
  <c r="O162" i="20" s="1"/>
  <c r="O124" i="20"/>
  <c r="O163" i="20" s="1"/>
  <c r="O125" i="20"/>
  <c r="O164" i="20" s="1"/>
  <c r="O126" i="20"/>
  <c r="O165" i="20" s="1"/>
  <c r="O127" i="20"/>
  <c r="O166" i="20" s="1"/>
  <c r="O128" i="20"/>
  <c r="O167" i="20" s="1"/>
  <c r="O129" i="20"/>
  <c r="O168" i="20" s="1"/>
  <c r="O130" i="20"/>
  <c r="O169" i="20" s="1"/>
  <c r="O131" i="20"/>
  <c r="O170" i="20" s="1"/>
  <c r="N98" i="20"/>
  <c r="N137" i="20" s="1"/>
  <c r="N99" i="20"/>
  <c r="N138" i="20" s="1"/>
  <c r="N100" i="20"/>
  <c r="N139" i="20" s="1"/>
  <c r="N101" i="20"/>
  <c r="N140" i="20" s="1"/>
  <c r="N102" i="20"/>
  <c r="N141" i="20" s="1"/>
  <c r="N103" i="20"/>
  <c r="N142" i="20" s="1"/>
  <c r="N104" i="20"/>
  <c r="N143" i="20" s="1"/>
  <c r="N105" i="20"/>
  <c r="N144" i="20" s="1"/>
  <c r="N106" i="20"/>
  <c r="N145" i="20" s="1"/>
  <c r="N107" i="20"/>
  <c r="N146" i="20" s="1"/>
  <c r="N108" i="20"/>
  <c r="N147" i="20" s="1"/>
  <c r="N109" i="20"/>
  <c r="N148" i="20" s="1"/>
  <c r="N110" i="20"/>
  <c r="N149" i="20" s="1"/>
  <c r="N111" i="20"/>
  <c r="N150" i="20" s="1"/>
  <c r="N112" i="20"/>
  <c r="N151" i="20" s="1"/>
  <c r="N113" i="20"/>
  <c r="N152" i="20" s="1"/>
  <c r="N114" i="20"/>
  <c r="N153" i="20" s="1"/>
  <c r="N115" i="20"/>
  <c r="N154" i="20" s="1"/>
  <c r="N116" i="20"/>
  <c r="N155" i="20" s="1"/>
  <c r="N117" i="20"/>
  <c r="N156" i="20" s="1"/>
  <c r="N118" i="20"/>
  <c r="N157" i="20" s="1"/>
  <c r="N119" i="20"/>
  <c r="N158" i="20" s="1"/>
  <c r="N120" i="20"/>
  <c r="N159" i="20" s="1"/>
  <c r="N121" i="20"/>
  <c r="N160" i="20" s="1"/>
  <c r="N122" i="20"/>
  <c r="N161" i="20" s="1"/>
  <c r="N123" i="20"/>
  <c r="N162" i="20" s="1"/>
  <c r="N124" i="20"/>
  <c r="N163" i="20" s="1"/>
  <c r="N125" i="20"/>
  <c r="N164" i="20" s="1"/>
  <c r="N126" i="20"/>
  <c r="N165" i="20" s="1"/>
  <c r="N127" i="20"/>
  <c r="N166" i="20" s="1"/>
  <c r="N128" i="20"/>
  <c r="N167" i="20" s="1"/>
  <c r="N129" i="20"/>
  <c r="N168" i="20" s="1"/>
  <c r="N130" i="20"/>
  <c r="N169" i="20" s="1"/>
  <c r="N131" i="20"/>
  <c r="N170" i="20" s="1"/>
  <c r="M98" i="20"/>
  <c r="M137" i="20" s="1"/>
  <c r="M99" i="20"/>
  <c r="M138" i="20" s="1"/>
  <c r="M100" i="20"/>
  <c r="M139" i="20" s="1"/>
  <c r="M101" i="20"/>
  <c r="M140" i="20" s="1"/>
  <c r="M102" i="20"/>
  <c r="M141" i="20" s="1"/>
  <c r="M103" i="20"/>
  <c r="M142" i="20" s="1"/>
  <c r="M104" i="20"/>
  <c r="M143" i="20" s="1"/>
  <c r="M105" i="20"/>
  <c r="M144" i="20" s="1"/>
  <c r="M106" i="20"/>
  <c r="M145" i="20" s="1"/>
  <c r="M107" i="20"/>
  <c r="M146" i="20" s="1"/>
  <c r="M108" i="20"/>
  <c r="M147" i="20" s="1"/>
  <c r="M109" i="20"/>
  <c r="M148" i="20" s="1"/>
  <c r="M110" i="20"/>
  <c r="M149" i="20" s="1"/>
  <c r="M111" i="20"/>
  <c r="M150" i="20" s="1"/>
  <c r="M112" i="20"/>
  <c r="M151" i="20" s="1"/>
  <c r="M113" i="20"/>
  <c r="M152" i="20" s="1"/>
  <c r="M114" i="20"/>
  <c r="M153" i="20" s="1"/>
  <c r="M115" i="20"/>
  <c r="M154" i="20" s="1"/>
  <c r="M116" i="20"/>
  <c r="M155" i="20" s="1"/>
  <c r="M117" i="20"/>
  <c r="M156" i="20" s="1"/>
  <c r="M118" i="20"/>
  <c r="M157" i="20" s="1"/>
  <c r="M119" i="20"/>
  <c r="M158" i="20" s="1"/>
  <c r="M120" i="20"/>
  <c r="M159" i="20" s="1"/>
  <c r="M121" i="20"/>
  <c r="M160" i="20" s="1"/>
  <c r="M122" i="20"/>
  <c r="M161" i="20" s="1"/>
  <c r="M123" i="20"/>
  <c r="M162" i="20" s="1"/>
  <c r="M124" i="20"/>
  <c r="M163" i="20" s="1"/>
  <c r="M125" i="20"/>
  <c r="M164" i="20" s="1"/>
  <c r="M126" i="20"/>
  <c r="M165" i="20" s="1"/>
  <c r="M127" i="20"/>
  <c r="M166" i="20" s="1"/>
  <c r="M128" i="20"/>
  <c r="M167" i="20" s="1"/>
  <c r="M129" i="20"/>
  <c r="M168" i="20" s="1"/>
  <c r="M130" i="20"/>
  <c r="M169" i="20" s="1"/>
  <c r="M131" i="20"/>
  <c r="M170" i="20" s="1"/>
  <c r="L98" i="20"/>
  <c r="L137" i="20" s="1"/>
  <c r="L99" i="20"/>
  <c r="L138" i="20" s="1"/>
  <c r="L100" i="20"/>
  <c r="L139" i="20" s="1"/>
  <c r="L101" i="20"/>
  <c r="L140" i="20" s="1"/>
  <c r="L102" i="20"/>
  <c r="L141" i="20" s="1"/>
  <c r="L103" i="20"/>
  <c r="L142" i="20" s="1"/>
  <c r="L104" i="20"/>
  <c r="L143" i="20" s="1"/>
  <c r="L105" i="20"/>
  <c r="L144" i="20" s="1"/>
  <c r="L106" i="20"/>
  <c r="L145" i="20" s="1"/>
  <c r="L107" i="20"/>
  <c r="L146" i="20" s="1"/>
  <c r="L108" i="20"/>
  <c r="L147" i="20" s="1"/>
  <c r="L109" i="20"/>
  <c r="L148" i="20" s="1"/>
  <c r="L110" i="20"/>
  <c r="L149" i="20" s="1"/>
  <c r="L111" i="20"/>
  <c r="L150" i="20" s="1"/>
  <c r="L112" i="20"/>
  <c r="L151" i="20" s="1"/>
  <c r="L113" i="20"/>
  <c r="L152" i="20" s="1"/>
  <c r="L114" i="20"/>
  <c r="L153" i="20" s="1"/>
  <c r="L115" i="20"/>
  <c r="L154" i="20" s="1"/>
  <c r="L116" i="20"/>
  <c r="L155" i="20" s="1"/>
  <c r="L117" i="20"/>
  <c r="L156" i="20" s="1"/>
  <c r="L118" i="20"/>
  <c r="L157" i="20" s="1"/>
  <c r="L119" i="20"/>
  <c r="L158" i="20" s="1"/>
  <c r="L120" i="20"/>
  <c r="L159" i="20" s="1"/>
  <c r="L121" i="20"/>
  <c r="L160" i="20" s="1"/>
  <c r="L122" i="20"/>
  <c r="L161" i="20" s="1"/>
  <c r="L123" i="20"/>
  <c r="L162" i="20" s="1"/>
  <c r="L124" i="20"/>
  <c r="L163" i="20" s="1"/>
  <c r="L125" i="20"/>
  <c r="L164" i="20" s="1"/>
  <c r="L126" i="20"/>
  <c r="L165" i="20" s="1"/>
  <c r="L127" i="20"/>
  <c r="L166" i="20" s="1"/>
  <c r="L128" i="20"/>
  <c r="L167" i="20" s="1"/>
  <c r="L129" i="20"/>
  <c r="L168" i="20" s="1"/>
  <c r="L130" i="20"/>
  <c r="L169" i="20" s="1"/>
  <c r="L131" i="20"/>
  <c r="L170" i="20" s="1"/>
  <c r="W98" i="20"/>
  <c r="W137" i="20" s="1"/>
  <c r="X98" i="20"/>
  <c r="X137" i="20" s="1"/>
  <c r="L97" i="20"/>
  <c r="L136" i="20" s="1"/>
  <c r="M97" i="20"/>
  <c r="M136" i="20" s="1"/>
  <c r="N97" i="20"/>
  <c r="N136" i="20" s="1"/>
  <c r="O97" i="20"/>
  <c r="O136" i="20" s="1"/>
  <c r="P97" i="20"/>
  <c r="P136" i="20" s="1"/>
  <c r="Q97" i="20"/>
  <c r="Q136" i="20" s="1"/>
  <c r="R97" i="20"/>
  <c r="R136" i="20" s="1"/>
  <c r="S97" i="20"/>
  <c r="S136" i="20" s="1"/>
  <c r="T97" i="20"/>
  <c r="T136" i="20" s="1"/>
  <c r="U97" i="20"/>
  <c r="U136" i="20" s="1"/>
  <c r="V97" i="20"/>
  <c r="V136" i="20" s="1"/>
  <c r="W97" i="20"/>
  <c r="W136" i="20" s="1"/>
  <c r="X97" i="20"/>
  <c r="X136" i="20" s="1"/>
  <c r="Y97" i="20"/>
  <c r="Y136" i="20" s="1"/>
  <c r="Z97" i="20"/>
  <c r="Z136" i="20" s="1"/>
  <c r="AA97" i="20"/>
  <c r="AA136" i="20" s="1"/>
  <c r="AB97" i="20"/>
  <c r="AB136" i="20" s="1"/>
  <c r="AC97" i="20"/>
  <c r="AC136" i="20" s="1"/>
  <c r="AD97" i="20"/>
  <c r="AD136" i="20" s="1"/>
  <c r="AE97" i="20"/>
  <c r="AE136" i="20" s="1"/>
  <c r="AF97" i="20"/>
  <c r="AF136" i="20" s="1"/>
  <c r="AG97" i="20"/>
  <c r="AG136" i="20" s="1"/>
  <c r="AH97" i="20"/>
  <c r="AH136" i="20" s="1"/>
  <c r="AI97" i="20"/>
  <c r="AI136" i="20" s="1"/>
  <c r="AJ97" i="20"/>
  <c r="AJ136" i="20" s="1"/>
  <c r="AK97" i="20"/>
  <c r="AK136" i="20" s="1"/>
  <c r="AL97" i="20"/>
  <c r="AL136" i="20" s="1"/>
  <c r="AM97" i="20"/>
  <c r="AM136" i="20" s="1"/>
  <c r="AN97" i="20"/>
  <c r="AN136" i="20" s="1"/>
  <c r="K98" i="20"/>
  <c r="K137" i="20" s="1"/>
  <c r="K99" i="20"/>
  <c r="K138" i="20" s="1"/>
  <c r="K100" i="20"/>
  <c r="K139" i="20" s="1"/>
  <c r="K101" i="20"/>
  <c r="K140" i="20" s="1"/>
  <c r="K102" i="20"/>
  <c r="K141" i="20" s="1"/>
  <c r="K103" i="20"/>
  <c r="K142" i="20" s="1"/>
  <c r="K104" i="20"/>
  <c r="K143" i="20" s="1"/>
  <c r="K105" i="20"/>
  <c r="K144" i="20" s="1"/>
  <c r="K106" i="20"/>
  <c r="K145" i="20" s="1"/>
  <c r="K107" i="20"/>
  <c r="K146" i="20" s="1"/>
  <c r="K108" i="20"/>
  <c r="K147" i="20" s="1"/>
  <c r="K109" i="20"/>
  <c r="K148" i="20" s="1"/>
  <c r="K110" i="20"/>
  <c r="K149" i="20" s="1"/>
  <c r="K111" i="20"/>
  <c r="K150" i="20" s="1"/>
  <c r="K112" i="20"/>
  <c r="K151" i="20" s="1"/>
  <c r="K113" i="20"/>
  <c r="K152" i="20" s="1"/>
  <c r="K114" i="20"/>
  <c r="K153" i="20" s="1"/>
  <c r="K115" i="20"/>
  <c r="K154" i="20" s="1"/>
  <c r="K116" i="20"/>
  <c r="K155" i="20" s="1"/>
  <c r="K117" i="20"/>
  <c r="K156" i="20" s="1"/>
  <c r="K118" i="20"/>
  <c r="K157" i="20" s="1"/>
  <c r="K119" i="20"/>
  <c r="K158" i="20" s="1"/>
  <c r="K120" i="20"/>
  <c r="K159" i="20" s="1"/>
  <c r="K121" i="20"/>
  <c r="K160" i="20" s="1"/>
  <c r="K122" i="20"/>
  <c r="K161" i="20" s="1"/>
  <c r="K123" i="20"/>
  <c r="K162" i="20" s="1"/>
  <c r="K124" i="20"/>
  <c r="K163" i="20" s="1"/>
  <c r="K125" i="20"/>
  <c r="K164" i="20" s="1"/>
  <c r="K126" i="20"/>
  <c r="K165" i="20" s="1"/>
  <c r="K127" i="20"/>
  <c r="K166" i="20" s="1"/>
  <c r="K128" i="20"/>
  <c r="K167" i="20" s="1"/>
  <c r="K129" i="20"/>
  <c r="K168" i="20" s="1"/>
  <c r="K130" i="20"/>
  <c r="K169" i="20" s="1"/>
  <c r="K131" i="20"/>
  <c r="K170" i="20" s="1"/>
  <c r="K97" i="20"/>
  <c r="K136" i="20" s="1"/>
  <c r="X99" i="20"/>
  <c r="X138" i="20" s="1"/>
  <c r="X100" i="20"/>
  <c r="X139" i="20" s="1"/>
  <c r="X101" i="20"/>
  <c r="X140" i="20" s="1"/>
  <c r="X102" i="20"/>
  <c r="X141" i="20" s="1"/>
  <c r="X103" i="20"/>
  <c r="X142" i="20" s="1"/>
  <c r="X104" i="20"/>
  <c r="X143" i="20" s="1"/>
  <c r="X105" i="20"/>
  <c r="X144" i="20" s="1"/>
  <c r="X106" i="20"/>
  <c r="X145" i="20" s="1"/>
  <c r="X107" i="20"/>
  <c r="X146" i="20" s="1"/>
  <c r="X108" i="20"/>
  <c r="X147" i="20" s="1"/>
  <c r="X109" i="20"/>
  <c r="X148" i="20" s="1"/>
  <c r="X110" i="20"/>
  <c r="X149" i="20" s="1"/>
  <c r="X111" i="20"/>
  <c r="X150" i="20" s="1"/>
  <c r="X112" i="20"/>
  <c r="X151" i="20" s="1"/>
  <c r="X113" i="20"/>
  <c r="X152" i="20" s="1"/>
  <c r="X114" i="20"/>
  <c r="X153" i="20" s="1"/>
  <c r="X115" i="20"/>
  <c r="X154" i="20" s="1"/>
  <c r="X116" i="20"/>
  <c r="X155" i="20" s="1"/>
  <c r="X117" i="20"/>
  <c r="X156" i="20" s="1"/>
  <c r="X118" i="20"/>
  <c r="X157" i="20" s="1"/>
  <c r="X119" i="20"/>
  <c r="X158" i="20" s="1"/>
  <c r="X120" i="20"/>
  <c r="X159" i="20" s="1"/>
  <c r="X121" i="20"/>
  <c r="X160" i="20" s="1"/>
  <c r="X122" i="20"/>
  <c r="X161" i="20" s="1"/>
  <c r="X123" i="20"/>
  <c r="X162" i="20" s="1"/>
  <c r="X124" i="20"/>
  <c r="X163" i="20" s="1"/>
  <c r="X125" i="20"/>
  <c r="X164" i="20" s="1"/>
  <c r="X126" i="20"/>
  <c r="X165" i="20" s="1"/>
  <c r="X127" i="20"/>
  <c r="X166" i="20" s="1"/>
  <c r="X128" i="20"/>
  <c r="X167" i="20" s="1"/>
  <c r="X129" i="20"/>
  <c r="X168" i="20" s="1"/>
  <c r="X130" i="20"/>
  <c r="X169" i="20" s="1"/>
  <c r="X131" i="20"/>
  <c r="X170" i="20" s="1"/>
  <c r="W99" i="20"/>
  <c r="W138" i="20" s="1"/>
  <c r="W100" i="20"/>
  <c r="W139" i="20" s="1"/>
  <c r="W101" i="20"/>
  <c r="W140" i="20" s="1"/>
  <c r="W102" i="20"/>
  <c r="W141" i="20" s="1"/>
  <c r="W103" i="20"/>
  <c r="W142" i="20" s="1"/>
  <c r="W104" i="20"/>
  <c r="W143" i="20" s="1"/>
  <c r="W105" i="20"/>
  <c r="W144" i="20" s="1"/>
  <c r="W106" i="20"/>
  <c r="W145" i="20" s="1"/>
  <c r="W107" i="20"/>
  <c r="W146" i="20" s="1"/>
  <c r="W108" i="20"/>
  <c r="W147" i="20" s="1"/>
  <c r="W109" i="20"/>
  <c r="W148" i="20" s="1"/>
  <c r="W110" i="20"/>
  <c r="W149" i="20" s="1"/>
  <c r="W111" i="20"/>
  <c r="W150" i="20" s="1"/>
  <c r="W112" i="20"/>
  <c r="W151" i="20" s="1"/>
  <c r="W113" i="20"/>
  <c r="W152" i="20" s="1"/>
  <c r="W114" i="20"/>
  <c r="W153" i="20" s="1"/>
  <c r="W115" i="20"/>
  <c r="W154" i="20" s="1"/>
  <c r="W116" i="20"/>
  <c r="W155" i="20" s="1"/>
  <c r="W117" i="20"/>
  <c r="W156" i="20" s="1"/>
  <c r="W118" i="20"/>
  <c r="W157" i="20" s="1"/>
  <c r="W119" i="20"/>
  <c r="W158" i="20" s="1"/>
  <c r="W120" i="20"/>
  <c r="W159" i="20" s="1"/>
  <c r="W121" i="20"/>
  <c r="W160" i="20" s="1"/>
  <c r="W122" i="20"/>
  <c r="W161" i="20" s="1"/>
  <c r="W123" i="20"/>
  <c r="W162" i="20" s="1"/>
  <c r="W124" i="20"/>
  <c r="W163" i="20" s="1"/>
  <c r="W125" i="20"/>
  <c r="W164" i="20" s="1"/>
  <c r="W126" i="20"/>
  <c r="W165" i="20" s="1"/>
  <c r="W127" i="20"/>
  <c r="W166" i="20" s="1"/>
  <c r="W128" i="20"/>
  <c r="W167" i="20" s="1"/>
  <c r="W129" i="20"/>
  <c r="W168" i="20" s="1"/>
  <c r="W130" i="20"/>
  <c r="W169" i="20" s="1"/>
  <c r="W131" i="20"/>
  <c r="W170" i="20" s="1"/>
  <c r="J98" i="20"/>
  <c r="J137" i="20" s="1"/>
  <c r="J99" i="20"/>
  <c r="J138" i="20" s="1"/>
  <c r="J100" i="20"/>
  <c r="J139" i="20" s="1"/>
  <c r="J101" i="20"/>
  <c r="J140" i="20" s="1"/>
  <c r="J102" i="20"/>
  <c r="J141" i="20" s="1"/>
  <c r="J103" i="20"/>
  <c r="J142" i="20" s="1"/>
  <c r="J104" i="20"/>
  <c r="J143" i="20" s="1"/>
  <c r="J105" i="20"/>
  <c r="J144" i="20" s="1"/>
  <c r="J106" i="20"/>
  <c r="J145" i="20" s="1"/>
  <c r="J107" i="20"/>
  <c r="J146" i="20" s="1"/>
  <c r="J108" i="20"/>
  <c r="J147" i="20" s="1"/>
  <c r="J109" i="20"/>
  <c r="J148" i="20" s="1"/>
  <c r="J110" i="20"/>
  <c r="J149" i="20" s="1"/>
  <c r="J111" i="20"/>
  <c r="J150" i="20" s="1"/>
  <c r="J112" i="20"/>
  <c r="J151" i="20" s="1"/>
  <c r="J113" i="20"/>
  <c r="J152" i="20" s="1"/>
  <c r="J114" i="20"/>
  <c r="J153" i="20" s="1"/>
  <c r="J115" i="20"/>
  <c r="J154" i="20" s="1"/>
  <c r="J116" i="20"/>
  <c r="J155" i="20" s="1"/>
  <c r="J117" i="20"/>
  <c r="J156" i="20" s="1"/>
  <c r="J118" i="20"/>
  <c r="J157" i="20" s="1"/>
  <c r="J119" i="20"/>
  <c r="J158" i="20" s="1"/>
  <c r="J120" i="20"/>
  <c r="J159" i="20" s="1"/>
  <c r="J121" i="20"/>
  <c r="J160" i="20" s="1"/>
  <c r="J122" i="20"/>
  <c r="J161" i="20" s="1"/>
  <c r="J123" i="20"/>
  <c r="J162" i="20" s="1"/>
  <c r="J124" i="20"/>
  <c r="J163" i="20" s="1"/>
  <c r="J125" i="20"/>
  <c r="J164" i="20" s="1"/>
  <c r="J126" i="20"/>
  <c r="J165" i="20" s="1"/>
  <c r="J127" i="20"/>
  <c r="J166" i="20" s="1"/>
  <c r="J128" i="20"/>
  <c r="J167" i="20" s="1"/>
  <c r="J129" i="20"/>
  <c r="J168" i="20" s="1"/>
  <c r="J130" i="20"/>
  <c r="J169" i="20" s="1"/>
  <c r="J131" i="20"/>
  <c r="J170" i="20" s="1"/>
  <c r="J97" i="20"/>
  <c r="J136" i="20" s="1"/>
  <c r="W251" i="22"/>
  <c r="W250" i="22"/>
  <c r="W249" i="22"/>
  <c r="W248" i="22"/>
  <c r="W247" i="22"/>
  <c r="W246" i="22"/>
  <c r="W245" i="22"/>
  <c r="W244" i="22"/>
  <c r="W243" i="22"/>
  <c r="W242" i="22"/>
  <c r="W241" i="22"/>
  <c r="W240" i="22"/>
  <c r="W239" i="22"/>
  <c r="W238" i="22"/>
  <c r="W237" i="22"/>
  <c r="W236" i="22"/>
  <c r="W235" i="22"/>
  <c r="W234" i="22"/>
  <c r="W233" i="22"/>
  <c r="AL171" i="20" l="1"/>
  <c r="AH171" i="20"/>
  <c r="AD171" i="20"/>
  <c r="J243" i="20"/>
  <c r="N243" i="20"/>
  <c r="R243" i="20"/>
  <c r="V243" i="20"/>
  <c r="Z243" i="20"/>
  <c r="AD243" i="20"/>
  <c r="AH243" i="20"/>
  <c r="AL243" i="20"/>
  <c r="AP243" i="20"/>
  <c r="AT243" i="20"/>
  <c r="AX243" i="20"/>
  <c r="BB243" i="20"/>
  <c r="G243" i="20"/>
  <c r="K243" i="20"/>
  <c r="O243" i="20"/>
  <c r="S243" i="20"/>
  <c r="W243" i="20"/>
  <c r="AA243" i="20"/>
  <c r="AE243" i="20"/>
  <c r="AI243" i="20"/>
  <c r="AM243" i="20"/>
  <c r="AQ243" i="20"/>
  <c r="AU243" i="20"/>
  <c r="AY243" i="20"/>
  <c r="H243" i="20"/>
  <c r="L243" i="20"/>
  <c r="P243" i="20"/>
  <c r="T243" i="20"/>
  <c r="X243" i="20"/>
  <c r="AB243" i="20"/>
  <c r="AF243" i="20"/>
  <c r="AJ243" i="20"/>
  <c r="AN243" i="20"/>
  <c r="AR243" i="20"/>
  <c r="AV243" i="20"/>
  <c r="AZ243" i="20"/>
  <c r="J239" i="20"/>
  <c r="N239" i="20"/>
  <c r="R239" i="20"/>
  <c r="V239" i="20"/>
  <c r="Z239" i="20"/>
  <c r="AD239" i="20"/>
  <c r="AH239" i="20"/>
  <c r="AL239" i="20"/>
  <c r="AP239" i="20"/>
  <c r="AT239" i="20"/>
  <c r="AX239" i="20"/>
  <c r="BB239" i="20"/>
  <c r="G239" i="20"/>
  <c r="K239" i="20"/>
  <c r="O239" i="20"/>
  <c r="S239" i="20"/>
  <c r="W239" i="20"/>
  <c r="AA239" i="20"/>
  <c r="AE239" i="20"/>
  <c r="AI239" i="20"/>
  <c r="AM239" i="20"/>
  <c r="AQ239" i="20"/>
  <c r="AU239" i="20"/>
  <c r="AY239" i="20"/>
  <c r="H239" i="20"/>
  <c r="L239" i="20"/>
  <c r="P239" i="20"/>
  <c r="T239" i="20"/>
  <c r="X239" i="20"/>
  <c r="AB239" i="20"/>
  <c r="AF239" i="20"/>
  <c r="AJ239" i="20"/>
  <c r="AN239" i="20"/>
  <c r="AR239" i="20"/>
  <c r="AV239" i="20"/>
  <c r="AZ239" i="20"/>
  <c r="J235" i="20"/>
  <c r="N235" i="20"/>
  <c r="R235" i="20"/>
  <c r="V235" i="20"/>
  <c r="Z235" i="20"/>
  <c r="AD235" i="20"/>
  <c r="AH235" i="20"/>
  <c r="AL235" i="20"/>
  <c r="AP235" i="20"/>
  <c r="AT235" i="20"/>
  <c r="AX235" i="20"/>
  <c r="BB235" i="20"/>
  <c r="G235" i="20"/>
  <c r="K235" i="20"/>
  <c r="O235" i="20"/>
  <c r="S235" i="20"/>
  <c r="W235" i="20"/>
  <c r="AA235" i="20"/>
  <c r="AE235" i="20"/>
  <c r="AI235" i="20"/>
  <c r="AM235" i="20"/>
  <c r="AQ235" i="20"/>
  <c r="AU235" i="20"/>
  <c r="AY235" i="20"/>
  <c r="H235" i="20"/>
  <c r="L235" i="20"/>
  <c r="P235" i="20"/>
  <c r="T235" i="20"/>
  <c r="X235" i="20"/>
  <c r="AB235" i="20"/>
  <c r="AF235" i="20"/>
  <c r="AJ235" i="20"/>
  <c r="AN235" i="20"/>
  <c r="AR235" i="20"/>
  <c r="AV235" i="20"/>
  <c r="AZ235" i="20"/>
  <c r="H231" i="20"/>
  <c r="L231" i="20"/>
  <c r="P231" i="20"/>
  <c r="T231" i="20"/>
  <c r="X231" i="20"/>
  <c r="AB231" i="20"/>
  <c r="AF231" i="20"/>
  <c r="AJ231" i="20"/>
  <c r="AN231" i="20"/>
  <c r="AR231" i="20"/>
  <c r="AV231" i="20"/>
  <c r="AZ231" i="20"/>
  <c r="I231" i="20"/>
  <c r="M231" i="20"/>
  <c r="Q231" i="20"/>
  <c r="U231" i="20"/>
  <c r="Y231" i="20"/>
  <c r="AC231" i="20"/>
  <c r="AG231" i="20"/>
  <c r="AK231" i="20"/>
  <c r="AO231" i="20"/>
  <c r="AS231" i="20"/>
  <c r="AW231" i="20"/>
  <c r="BA231" i="20"/>
  <c r="J231" i="20"/>
  <c r="N231" i="20"/>
  <c r="R231" i="20"/>
  <c r="S231" i="20"/>
  <c r="AA231" i="20"/>
  <c r="AI231" i="20"/>
  <c r="AQ231" i="20"/>
  <c r="AY231" i="20"/>
  <c r="G231" i="20"/>
  <c r="V231" i="20"/>
  <c r="AD231" i="20"/>
  <c r="AL231" i="20"/>
  <c r="AT231" i="20"/>
  <c r="BB231" i="20"/>
  <c r="K231" i="20"/>
  <c r="W231" i="20"/>
  <c r="AE231" i="20"/>
  <c r="AM231" i="20"/>
  <c r="AU231" i="20"/>
  <c r="O231" i="20"/>
  <c r="Z231" i="20"/>
  <c r="AH231" i="20"/>
  <c r="AP231" i="20"/>
  <c r="H227" i="20"/>
  <c r="L227" i="20"/>
  <c r="P227" i="20"/>
  <c r="T227" i="20"/>
  <c r="X227" i="20"/>
  <c r="AB227" i="20"/>
  <c r="AF227" i="20"/>
  <c r="AJ227" i="20"/>
  <c r="AN227" i="20"/>
  <c r="AR227" i="20"/>
  <c r="AV227" i="20"/>
  <c r="AZ227" i="20"/>
  <c r="I227" i="20"/>
  <c r="M227" i="20"/>
  <c r="Q227" i="20"/>
  <c r="U227" i="20"/>
  <c r="Y227" i="20"/>
  <c r="AC227" i="20"/>
  <c r="AG227" i="20"/>
  <c r="AK227" i="20"/>
  <c r="AO227" i="20"/>
  <c r="AS227" i="20"/>
  <c r="AW227" i="20"/>
  <c r="BA227" i="20"/>
  <c r="J227" i="20"/>
  <c r="N227" i="20"/>
  <c r="R227" i="20"/>
  <c r="V227" i="20"/>
  <c r="Z227" i="20"/>
  <c r="AD227" i="20"/>
  <c r="AH227" i="20"/>
  <c r="AL227" i="20"/>
  <c r="AP227" i="20"/>
  <c r="AT227" i="20"/>
  <c r="AX227" i="20"/>
  <c r="BB227" i="20"/>
  <c r="S227" i="20"/>
  <c r="AI227" i="20"/>
  <c r="AY227" i="20"/>
  <c r="G227" i="20"/>
  <c r="W227" i="20"/>
  <c r="AM227" i="20"/>
  <c r="K227" i="20"/>
  <c r="AA227" i="20"/>
  <c r="AQ227" i="20"/>
  <c r="O227" i="20"/>
  <c r="AE227" i="20"/>
  <c r="AU227" i="20"/>
  <c r="H223" i="20"/>
  <c r="L223" i="20"/>
  <c r="P223" i="20"/>
  <c r="T223" i="20"/>
  <c r="X223" i="20"/>
  <c r="AB223" i="20"/>
  <c r="AF223" i="20"/>
  <c r="AJ223" i="20"/>
  <c r="AN223" i="20"/>
  <c r="AR223" i="20"/>
  <c r="AV223" i="20"/>
  <c r="AZ223" i="20"/>
  <c r="I223" i="20"/>
  <c r="M223" i="20"/>
  <c r="Q223" i="20"/>
  <c r="U223" i="20"/>
  <c r="Y223" i="20"/>
  <c r="AC223" i="20"/>
  <c r="AG223" i="20"/>
  <c r="AK223" i="20"/>
  <c r="AO223" i="20"/>
  <c r="AS223" i="20"/>
  <c r="AW223" i="20"/>
  <c r="BA223" i="20"/>
  <c r="J223" i="20"/>
  <c r="N223" i="20"/>
  <c r="R223" i="20"/>
  <c r="V223" i="20"/>
  <c r="Z223" i="20"/>
  <c r="AD223" i="20"/>
  <c r="AH223" i="20"/>
  <c r="AL223" i="20"/>
  <c r="AP223" i="20"/>
  <c r="AT223" i="20"/>
  <c r="AX223" i="20"/>
  <c r="BB223" i="20"/>
  <c r="S223" i="20"/>
  <c r="AI223" i="20"/>
  <c r="AY223" i="20"/>
  <c r="G223" i="20"/>
  <c r="W223" i="20"/>
  <c r="AM223" i="20"/>
  <c r="K223" i="20"/>
  <c r="AA223" i="20"/>
  <c r="AQ223" i="20"/>
  <c r="O223" i="20"/>
  <c r="AE223" i="20"/>
  <c r="AU223" i="20"/>
  <c r="G219" i="20"/>
  <c r="K219" i="20"/>
  <c r="O219" i="20"/>
  <c r="S219" i="20"/>
  <c r="W219" i="20"/>
  <c r="AA219" i="20"/>
  <c r="AE219" i="20"/>
  <c r="AI219" i="20"/>
  <c r="AM219" i="20"/>
  <c r="AQ219" i="20"/>
  <c r="AU219" i="20"/>
  <c r="AY219" i="20"/>
  <c r="H219" i="20"/>
  <c r="L219" i="20"/>
  <c r="P219" i="20"/>
  <c r="T219" i="20"/>
  <c r="X219" i="20"/>
  <c r="AB219" i="20"/>
  <c r="AF219" i="20"/>
  <c r="AJ219" i="20"/>
  <c r="AN219" i="20"/>
  <c r="AR219" i="20"/>
  <c r="AV219" i="20"/>
  <c r="AZ219" i="20"/>
  <c r="N219" i="20"/>
  <c r="V219" i="20"/>
  <c r="AD219" i="20"/>
  <c r="AL219" i="20"/>
  <c r="AT219" i="20"/>
  <c r="BB219" i="20"/>
  <c r="I219" i="20"/>
  <c r="Q219" i="20"/>
  <c r="Y219" i="20"/>
  <c r="AG219" i="20"/>
  <c r="AO219" i="20"/>
  <c r="AW219" i="20"/>
  <c r="J219" i="20"/>
  <c r="R219" i="20"/>
  <c r="Z219" i="20"/>
  <c r="AH219" i="20"/>
  <c r="AP219" i="20"/>
  <c r="AX219" i="20"/>
  <c r="M219" i="20"/>
  <c r="AS219" i="20"/>
  <c r="U219" i="20"/>
  <c r="BA219" i="20"/>
  <c r="AC219" i="20"/>
  <c r="AK219" i="20"/>
  <c r="J215" i="20"/>
  <c r="T215" i="20"/>
  <c r="P215" i="20"/>
  <c r="L215" i="20"/>
  <c r="AR215" i="20"/>
  <c r="AN215" i="20"/>
  <c r="AJ215" i="20"/>
  <c r="AF215" i="20"/>
  <c r="AB215" i="20"/>
  <c r="X215" i="20"/>
  <c r="AY215" i="20"/>
  <c r="AU215" i="20"/>
  <c r="AY247" i="20"/>
  <c r="AU247" i="20"/>
  <c r="AQ247" i="20"/>
  <c r="AM247" i="20"/>
  <c r="AI247" i="20"/>
  <c r="AE247" i="20"/>
  <c r="AA247" i="20"/>
  <c r="W247" i="20"/>
  <c r="S247" i="20"/>
  <c r="O247" i="20"/>
  <c r="K247" i="20"/>
  <c r="G247" i="20"/>
  <c r="AY246" i="20"/>
  <c r="AU246" i="20"/>
  <c r="AQ246" i="20"/>
  <c r="AM246" i="20"/>
  <c r="AI246" i="20"/>
  <c r="AE246" i="20"/>
  <c r="AA246" i="20"/>
  <c r="W246" i="20"/>
  <c r="S246" i="20"/>
  <c r="O246" i="20"/>
  <c r="K246" i="20"/>
  <c r="G246" i="20"/>
  <c r="AY245" i="20"/>
  <c r="AU245" i="20"/>
  <c r="AQ245" i="20"/>
  <c r="AM245" i="20"/>
  <c r="AI245" i="20"/>
  <c r="AE245" i="20"/>
  <c r="AA245" i="20"/>
  <c r="W245" i="20"/>
  <c r="S245" i="20"/>
  <c r="O245" i="20"/>
  <c r="K245" i="20"/>
  <c r="G245" i="20"/>
  <c r="AY244" i="20"/>
  <c r="AU244" i="20"/>
  <c r="AQ244" i="20"/>
  <c r="AM244" i="20"/>
  <c r="AI244" i="20"/>
  <c r="AE244" i="20"/>
  <c r="AA244" i="20"/>
  <c r="Q244" i="20"/>
  <c r="AW243" i="20"/>
  <c r="AG243" i="20"/>
  <c r="Q243" i="20"/>
  <c r="AW242" i="20"/>
  <c r="AG242" i="20"/>
  <c r="AW241" i="20"/>
  <c r="AG241" i="20"/>
  <c r="Q241" i="20"/>
  <c r="AW240" i="20"/>
  <c r="AG240" i="20"/>
  <c r="Q240" i="20"/>
  <c r="AW239" i="20"/>
  <c r="AG239" i="20"/>
  <c r="Q239" i="20"/>
  <c r="AW238" i="20"/>
  <c r="AG238" i="20"/>
  <c r="AW237" i="20"/>
  <c r="AG237" i="20"/>
  <c r="Q237" i="20"/>
  <c r="AW236" i="20"/>
  <c r="AG236" i="20"/>
  <c r="Q236" i="20"/>
  <c r="AW235" i="20"/>
  <c r="AG235" i="20"/>
  <c r="Q235" i="20"/>
  <c r="AW234" i="20"/>
  <c r="AG234" i="20"/>
  <c r="AW233" i="20"/>
  <c r="AG233" i="20"/>
  <c r="Q233" i="20"/>
  <c r="AW232" i="20"/>
  <c r="Z232" i="20"/>
  <c r="J242" i="20"/>
  <c r="N242" i="20"/>
  <c r="R242" i="20"/>
  <c r="V242" i="20"/>
  <c r="Z242" i="20"/>
  <c r="AD242" i="20"/>
  <c r="AH242" i="20"/>
  <c r="AL242" i="20"/>
  <c r="AP242" i="20"/>
  <c r="AT242" i="20"/>
  <c r="AX242" i="20"/>
  <c r="BB242" i="20"/>
  <c r="G242" i="20"/>
  <c r="K242" i="20"/>
  <c r="O242" i="20"/>
  <c r="S242" i="20"/>
  <c r="W242" i="20"/>
  <c r="AA242" i="20"/>
  <c r="AE242" i="20"/>
  <c r="AI242" i="20"/>
  <c r="AM242" i="20"/>
  <c r="AQ242" i="20"/>
  <c r="AU242" i="20"/>
  <c r="AY242" i="20"/>
  <c r="H242" i="20"/>
  <c r="L242" i="20"/>
  <c r="P242" i="20"/>
  <c r="T242" i="20"/>
  <c r="X242" i="20"/>
  <c r="AB242" i="20"/>
  <c r="AF242" i="20"/>
  <c r="AJ242" i="20"/>
  <c r="AN242" i="20"/>
  <c r="AR242" i="20"/>
  <c r="AV242" i="20"/>
  <c r="AZ242" i="20"/>
  <c r="J238" i="20"/>
  <c r="N238" i="20"/>
  <c r="R238" i="20"/>
  <c r="V238" i="20"/>
  <c r="Z238" i="20"/>
  <c r="AD238" i="20"/>
  <c r="AH238" i="20"/>
  <c r="AL238" i="20"/>
  <c r="AP238" i="20"/>
  <c r="AT238" i="20"/>
  <c r="AX238" i="20"/>
  <c r="BB238" i="20"/>
  <c r="G238" i="20"/>
  <c r="K238" i="20"/>
  <c r="O238" i="20"/>
  <c r="S238" i="20"/>
  <c r="W238" i="20"/>
  <c r="AA238" i="20"/>
  <c r="AE238" i="20"/>
  <c r="AI238" i="20"/>
  <c r="AM238" i="20"/>
  <c r="AQ238" i="20"/>
  <c r="AU238" i="20"/>
  <c r="AY238" i="20"/>
  <c r="H238" i="20"/>
  <c r="L238" i="20"/>
  <c r="P238" i="20"/>
  <c r="T238" i="20"/>
  <c r="X238" i="20"/>
  <c r="AB238" i="20"/>
  <c r="AF238" i="20"/>
  <c r="AJ238" i="20"/>
  <c r="AN238" i="20"/>
  <c r="AR238" i="20"/>
  <c r="AV238" i="20"/>
  <c r="AZ238" i="20"/>
  <c r="J234" i="20"/>
  <c r="N234" i="20"/>
  <c r="R234" i="20"/>
  <c r="V234" i="20"/>
  <c r="Z234" i="20"/>
  <c r="AD234" i="20"/>
  <c r="AH234" i="20"/>
  <c r="AL234" i="20"/>
  <c r="AP234" i="20"/>
  <c r="AT234" i="20"/>
  <c r="AX234" i="20"/>
  <c r="BB234" i="20"/>
  <c r="G234" i="20"/>
  <c r="K234" i="20"/>
  <c r="O234" i="20"/>
  <c r="S234" i="20"/>
  <c r="W234" i="20"/>
  <c r="AA234" i="20"/>
  <c r="AE234" i="20"/>
  <c r="AI234" i="20"/>
  <c r="AM234" i="20"/>
  <c r="AQ234" i="20"/>
  <c r="AU234" i="20"/>
  <c r="AY234" i="20"/>
  <c r="H234" i="20"/>
  <c r="L234" i="20"/>
  <c r="P234" i="20"/>
  <c r="T234" i="20"/>
  <c r="X234" i="20"/>
  <c r="AB234" i="20"/>
  <c r="AF234" i="20"/>
  <c r="AJ234" i="20"/>
  <c r="AN234" i="20"/>
  <c r="AR234" i="20"/>
  <c r="AV234" i="20"/>
  <c r="AZ234" i="20"/>
  <c r="H230" i="20"/>
  <c r="L230" i="20"/>
  <c r="P230" i="20"/>
  <c r="T230" i="20"/>
  <c r="X230" i="20"/>
  <c r="AB230" i="20"/>
  <c r="AF230" i="20"/>
  <c r="AJ230" i="20"/>
  <c r="AN230" i="20"/>
  <c r="AR230" i="20"/>
  <c r="AV230" i="20"/>
  <c r="AZ230" i="20"/>
  <c r="I230" i="20"/>
  <c r="M230" i="20"/>
  <c r="Q230" i="20"/>
  <c r="U230" i="20"/>
  <c r="Y230" i="20"/>
  <c r="AC230" i="20"/>
  <c r="AG230" i="20"/>
  <c r="AK230" i="20"/>
  <c r="AO230" i="20"/>
  <c r="AS230" i="20"/>
  <c r="AW230" i="20"/>
  <c r="BA230" i="20"/>
  <c r="J230" i="20"/>
  <c r="N230" i="20"/>
  <c r="R230" i="20"/>
  <c r="V230" i="20"/>
  <c r="Z230" i="20"/>
  <c r="AD230" i="20"/>
  <c r="AH230" i="20"/>
  <c r="AL230" i="20"/>
  <c r="AP230" i="20"/>
  <c r="AT230" i="20"/>
  <c r="AX230" i="20"/>
  <c r="BB230" i="20"/>
  <c r="S230" i="20"/>
  <c r="AI230" i="20"/>
  <c r="AY230" i="20"/>
  <c r="G230" i="20"/>
  <c r="W230" i="20"/>
  <c r="AM230" i="20"/>
  <c r="K230" i="20"/>
  <c r="AA230" i="20"/>
  <c r="AQ230" i="20"/>
  <c r="O230" i="20"/>
  <c r="AE230" i="20"/>
  <c r="AU230" i="20"/>
  <c r="H226" i="20"/>
  <c r="L226" i="20"/>
  <c r="P226" i="20"/>
  <c r="T226" i="20"/>
  <c r="X226" i="20"/>
  <c r="AB226" i="20"/>
  <c r="AF226" i="20"/>
  <c r="AJ226" i="20"/>
  <c r="AN226" i="20"/>
  <c r="AR226" i="20"/>
  <c r="AV226" i="20"/>
  <c r="AZ226" i="20"/>
  <c r="I226" i="20"/>
  <c r="M226" i="20"/>
  <c r="Q226" i="20"/>
  <c r="U226" i="20"/>
  <c r="Y226" i="20"/>
  <c r="AC226" i="20"/>
  <c r="AG226" i="20"/>
  <c r="AK226" i="20"/>
  <c r="AO226" i="20"/>
  <c r="AS226" i="20"/>
  <c r="AW226" i="20"/>
  <c r="BA226" i="20"/>
  <c r="J226" i="20"/>
  <c r="N226" i="20"/>
  <c r="R226" i="20"/>
  <c r="V226" i="20"/>
  <c r="Z226" i="20"/>
  <c r="AD226" i="20"/>
  <c r="AH226" i="20"/>
  <c r="AL226" i="20"/>
  <c r="AP226" i="20"/>
  <c r="AT226" i="20"/>
  <c r="AX226" i="20"/>
  <c r="BB226" i="20"/>
  <c r="S226" i="20"/>
  <c r="AI226" i="20"/>
  <c r="AY226" i="20"/>
  <c r="G226" i="20"/>
  <c r="W226" i="20"/>
  <c r="AM226" i="20"/>
  <c r="K226" i="20"/>
  <c r="AA226" i="20"/>
  <c r="AQ226" i="20"/>
  <c r="O226" i="20"/>
  <c r="AE226" i="20"/>
  <c r="AU226" i="20"/>
  <c r="G222" i="20"/>
  <c r="H222" i="20"/>
  <c r="L222" i="20"/>
  <c r="P222" i="20"/>
  <c r="T222" i="20"/>
  <c r="X222" i="20"/>
  <c r="AB222" i="20"/>
  <c r="AF222" i="20"/>
  <c r="AJ222" i="20"/>
  <c r="AN222" i="20"/>
  <c r="AR222" i="20"/>
  <c r="AV222" i="20"/>
  <c r="AZ222" i="20"/>
  <c r="I222" i="20"/>
  <c r="M222" i="20"/>
  <c r="Q222" i="20"/>
  <c r="U222" i="20"/>
  <c r="Y222" i="20"/>
  <c r="AC222" i="20"/>
  <c r="AG222" i="20"/>
  <c r="AK222" i="20"/>
  <c r="AO222" i="20"/>
  <c r="AS222" i="20"/>
  <c r="AW222" i="20"/>
  <c r="BA222" i="20"/>
  <c r="J222" i="20"/>
  <c r="N222" i="20"/>
  <c r="R222" i="20"/>
  <c r="V222" i="20"/>
  <c r="Z222" i="20"/>
  <c r="AD222" i="20"/>
  <c r="AH222" i="20"/>
  <c r="AL222" i="20"/>
  <c r="AP222" i="20"/>
  <c r="AT222" i="20"/>
  <c r="AX222" i="20"/>
  <c r="BB222" i="20"/>
  <c r="S222" i="20"/>
  <c r="AI222" i="20"/>
  <c r="AY222" i="20"/>
  <c r="W222" i="20"/>
  <c r="AM222" i="20"/>
  <c r="K222" i="20"/>
  <c r="AA222" i="20"/>
  <c r="AQ222" i="20"/>
  <c r="O222" i="20"/>
  <c r="AE222" i="20"/>
  <c r="AU222" i="20"/>
  <c r="G218" i="20"/>
  <c r="K218" i="20"/>
  <c r="O218" i="20"/>
  <c r="S218" i="20"/>
  <c r="W218" i="20"/>
  <c r="AA218" i="20"/>
  <c r="AE218" i="20"/>
  <c r="AI218" i="20"/>
  <c r="AM218" i="20"/>
  <c r="AQ218" i="20"/>
  <c r="AU218" i="20"/>
  <c r="AY218" i="20"/>
  <c r="H218" i="20"/>
  <c r="L218" i="20"/>
  <c r="P218" i="20"/>
  <c r="T218" i="20"/>
  <c r="X218" i="20"/>
  <c r="AB218" i="20"/>
  <c r="AF218" i="20"/>
  <c r="AJ218" i="20"/>
  <c r="AN218" i="20"/>
  <c r="AR218" i="20"/>
  <c r="AV218" i="20"/>
  <c r="AZ218" i="20"/>
  <c r="N218" i="20"/>
  <c r="V218" i="20"/>
  <c r="AD218" i="20"/>
  <c r="AL218" i="20"/>
  <c r="AT218" i="20"/>
  <c r="BB218" i="20"/>
  <c r="I218" i="20"/>
  <c r="Q218" i="20"/>
  <c r="Y218" i="20"/>
  <c r="AG218" i="20"/>
  <c r="AO218" i="20"/>
  <c r="AW218" i="20"/>
  <c r="J218" i="20"/>
  <c r="R218" i="20"/>
  <c r="Z218" i="20"/>
  <c r="AH218" i="20"/>
  <c r="AP218" i="20"/>
  <c r="AX218" i="20"/>
  <c r="AC218" i="20"/>
  <c r="AK218" i="20"/>
  <c r="M218" i="20"/>
  <c r="AS218" i="20"/>
  <c r="BA218" i="20"/>
  <c r="U218" i="20"/>
  <c r="G215" i="20"/>
  <c r="W215" i="20"/>
  <c r="S215" i="20"/>
  <c r="O215" i="20"/>
  <c r="K215" i="20"/>
  <c r="AQ215" i="20"/>
  <c r="AM215" i="20"/>
  <c r="AI215" i="20"/>
  <c r="AE215" i="20"/>
  <c r="AA215" i="20"/>
  <c r="BB215" i="20"/>
  <c r="AX215" i="20"/>
  <c r="BB247" i="20"/>
  <c r="AX247" i="20"/>
  <c r="AT247" i="20"/>
  <c r="AP247" i="20"/>
  <c r="AL247" i="20"/>
  <c r="AH247" i="20"/>
  <c r="AD247" i="20"/>
  <c r="Z247" i="20"/>
  <c r="V247" i="20"/>
  <c r="R247" i="20"/>
  <c r="N247" i="20"/>
  <c r="J247" i="20"/>
  <c r="BB246" i="20"/>
  <c r="AX246" i="20"/>
  <c r="AT246" i="20"/>
  <c r="AP246" i="20"/>
  <c r="AL246" i="20"/>
  <c r="AH246" i="20"/>
  <c r="AD246" i="20"/>
  <c r="Z246" i="20"/>
  <c r="V246" i="20"/>
  <c r="R246" i="20"/>
  <c r="N246" i="20"/>
  <c r="J246" i="20"/>
  <c r="BB245" i="20"/>
  <c r="AX245" i="20"/>
  <c r="AT245" i="20"/>
  <c r="AP245" i="20"/>
  <c r="AL245" i="20"/>
  <c r="AH245" i="20"/>
  <c r="AD245" i="20"/>
  <c r="Z245" i="20"/>
  <c r="V245" i="20"/>
  <c r="R245" i="20"/>
  <c r="N245" i="20"/>
  <c r="J245" i="20"/>
  <c r="BB244" i="20"/>
  <c r="AX244" i="20"/>
  <c r="AT244" i="20"/>
  <c r="AP244" i="20"/>
  <c r="AL244" i="20"/>
  <c r="AH244" i="20"/>
  <c r="AD244" i="20"/>
  <c r="Z244" i="20"/>
  <c r="M244" i="20"/>
  <c r="AS243" i="20"/>
  <c r="AC243" i="20"/>
  <c r="M243" i="20"/>
  <c r="AS242" i="20"/>
  <c r="AC242" i="20"/>
  <c r="M242" i="20"/>
  <c r="AS241" i="20"/>
  <c r="AC241" i="20"/>
  <c r="AS240" i="20"/>
  <c r="AC240" i="20"/>
  <c r="M240" i="20"/>
  <c r="AS239" i="20"/>
  <c r="AC239" i="20"/>
  <c r="M239" i="20"/>
  <c r="AS238" i="20"/>
  <c r="AC238" i="20"/>
  <c r="M238" i="20"/>
  <c r="AS237" i="20"/>
  <c r="AC237" i="20"/>
  <c r="AS236" i="20"/>
  <c r="AC236" i="20"/>
  <c r="M236" i="20"/>
  <c r="AS235" i="20"/>
  <c r="AC235" i="20"/>
  <c r="M235" i="20"/>
  <c r="AS234" i="20"/>
  <c r="AC234" i="20"/>
  <c r="M234" i="20"/>
  <c r="AS233" i="20"/>
  <c r="AC233" i="20"/>
  <c r="AS232" i="20"/>
  <c r="R232" i="20"/>
  <c r="J241" i="20"/>
  <c r="N241" i="20"/>
  <c r="R241" i="20"/>
  <c r="V241" i="20"/>
  <c r="Z241" i="20"/>
  <c r="AD241" i="20"/>
  <c r="AH241" i="20"/>
  <c r="AL241" i="20"/>
  <c r="AP241" i="20"/>
  <c r="AT241" i="20"/>
  <c r="AX241" i="20"/>
  <c r="BB241" i="20"/>
  <c r="G241" i="20"/>
  <c r="K241" i="20"/>
  <c r="O241" i="20"/>
  <c r="S241" i="20"/>
  <c r="W241" i="20"/>
  <c r="AA241" i="20"/>
  <c r="AE241" i="20"/>
  <c r="AI241" i="20"/>
  <c r="AM241" i="20"/>
  <c r="AQ241" i="20"/>
  <c r="AU241" i="20"/>
  <c r="AY241" i="20"/>
  <c r="H241" i="20"/>
  <c r="L241" i="20"/>
  <c r="P241" i="20"/>
  <c r="T241" i="20"/>
  <c r="X241" i="20"/>
  <c r="AB241" i="20"/>
  <c r="AF241" i="20"/>
  <c r="AJ241" i="20"/>
  <c r="AN241" i="20"/>
  <c r="AR241" i="20"/>
  <c r="AV241" i="20"/>
  <c r="AZ241" i="20"/>
  <c r="J237" i="20"/>
  <c r="N237" i="20"/>
  <c r="R237" i="20"/>
  <c r="V237" i="20"/>
  <c r="Z237" i="20"/>
  <c r="AD237" i="20"/>
  <c r="AH237" i="20"/>
  <c r="AL237" i="20"/>
  <c r="AP237" i="20"/>
  <c r="AT237" i="20"/>
  <c r="AX237" i="20"/>
  <c r="BB237" i="20"/>
  <c r="G237" i="20"/>
  <c r="K237" i="20"/>
  <c r="O237" i="20"/>
  <c r="S237" i="20"/>
  <c r="W237" i="20"/>
  <c r="AA237" i="20"/>
  <c r="AE237" i="20"/>
  <c r="AI237" i="20"/>
  <c r="AM237" i="20"/>
  <c r="AQ237" i="20"/>
  <c r="AU237" i="20"/>
  <c r="AY237" i="20"/>
  <c r="H237" i="20"/>
  <c r="L237" i="20"/>
  <c r="P237" i="20"/>
  <c r="T237" i="20"/>
  <c r="X237" i="20"/>
  <c r="AB237" i="20"/>
  <c r="AF237" i="20"/>
  <c r="AJ237" i="20"/>
  <c r="AN237" i="20"/>
  <c r="AR237" i="20"/>
  <c r="AV237" i="20"/>
  <c r="AZ237" i="20"/>
  <c r="J233" i="20"/>
  <c r="N233" i="20"/>
  <c r="R233" i="20"/>
  <c r="V233" i="20"/>
  <c r="Z233" i="20"/>
  <c r="AD233" i="20"/>
  <c r="AH233" i="20"/>
  <c r="AL233" i="20"/>
  <c r="AP233" i="20"/>
  <c r="AT233" i="20"/>
  <c r="AX233" i="20"/>
  <c r="BB233" i="20"/>
  <c r="G233" i="20"/>
  <c r="K233" i="20"/>
  <c r="O233" i="20"/>
  <c r="S233" i="20"/>
  <c r="W233" i="20"/>
  <c r="AA233" i="20"/>
  <c r="AE233" i="20"/>
  <c r="AI233" i="20"/>
  <c r="AM233" i="20"/>
  <c r="AQ233" i="20"/>
  <c r="AU233" i="20"/>
  <c r="AY233" i="20"/>
  <c r="H233" i="20"/>
  <c r="L233" i="20"/>
  <c r="P233" i="20"/>
  <c r="T233" i="20"/>
  <c r="X233" i="20"/>
  <c r="AB233" i="20"/>
  <c r="AF233" i="20"/>
  <c r="AJ233" i="20"/>
  <c r="AN233" i="20"/>
  <c r="AR233" i="20"/>
  <c r="AV233" i="20"/>
  <c r="AZ233" i="20"/>
  <c r="H229" i="20"/>
  <c r="L229" i="20"/>
  <c r="P229" i="20"/>
  <c r="T229" i="20"/>
  <c r="X229" i="20"/>
  <c r="AB229" i="20"/>
  <c r="AF229" i="20"/>
  <c r="AJ229" i="20"/>
  <c r="AN229" i="20"/>
  <c r="AR229" i="20"/>
  <c r="AV229" i="20"/>
  <c r="AZ229" i="20"/>
  <c r="I229" i="20"/>
  <c r="M229" i="20"/>
  <c r="Q229" i="20"/>
  <c r="U229" i="20"/>
  <c r="Y229" i="20"/>
  <c r="AC229" i="20"/>
  <c r="AG229" i="20"/>
  <c r="AK229" i="20"/>
  <c r="AO229" i="20"/>
  <c r="AS229" i="20"/>
  <c r="AW229" i="20"/>
  <c r="BA229" i="20"/>
  <c r="J229" i="20"/>
  <c r="N229" i="20"/>
  <c r="R229" i="20"/>
  <c r="V229" i="20"/>
  <c r="Z229" i="20"/>
  <c r="AD229" i="20"/>
  <c r="AH229" i="20"/>
  <c r="AL229" i="20"/>
  <c r="AP229" i="20"/>
  <c r="AT229" i="20"/>
  <c r="AX229" i="20"/>
  <c r="BB229" i="20"/>
  <c r="S229" i="20"/>
  <c r="AI229" i="20"/>
  <c r="AY229" i="20"/>
  <c r="G229" i="20"/>
  <c r="W229" i="20"/>
  <c r="AM229" i="20"/>
  <c r="K229" i="20"/>
  <c r="AA229" i="20"/>
  <c r="AQ229" i="20"/>
  <c r="O229" i="20"/>
  <c r="AE229" i="20"/>
  <c r="AU229" i="20"/>
  <c r="H225" i="20"/>
  <c r="L225" i="20"/>
  <c r="P225" i="20"/>
  <c r="T225" i="20"/>
  <c r="X225" i="20"/>
  <c r="AB225" i="20"/>
  <c r="AF225" i="20"/>
  <c r="AJ225" i="20"/>
  <c r="AN225" i="20"/>
  <c r="AR225" i="20"/>
  <c r="AV225" i="20"/>
  <c r="AZ225" i="20"/>
  <c r="I225" i="20"/>
  <c r="M225" i="20"/>
  <c r="Q225" i="20"/>
  <c r="U225" i="20"/>
  <c r="Y225" i="20"/>
  <c r="AC225" i="20"/>
  <c r="AG225" i="20"/>
  <c r="AK225" i="20"/>
  <c r="AO225" i="20"/>
  <c r="AS225" i="20"/>
  <c r="AW225" i="20"/>
  <c r="J225" i="20"/>
  <c r="N225" i="20"/>
  <c r="R225" i="20"/>
  <c r="V225" i="20"/>
  <c r="Z225" i="20"/>
  <c r="AD225" i="20"/>
  <c r="AH225" i="20"/>
  <c r="AL225" i="20"/>
  <c r="AP225" i="20"/>
  <c r="AT225" i="20"/>
  <c r="AX225" i="20"/>
  <c r="S225" i="20"/>
  <c r="AI225" i="20"/>
  <c r="AY225" i="20"/>
  <c r="W225" i="20"/>
  <c r="AM225" i="20"/>
  <c r="BA225" i="20"/>
  <c r="K225" i="20"/>
  <c r="AA225" i="20"/>
  <c r="AQ225" i="20"/>
  <c r="BB225" i="20"/>
  <c r="AU225" i="20"/>
  <c r="O225" i="20"/>
  <c r="AE225" i="20"/>
  <c r="G221" i="20"/>
  <c r="K221" i="20"/>
  <c r="O221" i="20"/>
  <c r="S221" i="20"/>
  <c r="W221" i="20"/>
  <c r="AA221" i="20"/>
  <c r="AE221" i="20"/>
  <c r="AI221" i="20"/>
  <c r="AM221" i="20"/>
  <c r="AQ221" i="20"/>
  <c r="AU221" i="20"/>
  <c r="AY221" i="20"/>
  <c r="H221" i="20"/>
  <c r="L221" i="20"/>
  <c r="P221" i="20"/>
  <c r="T221" i="20"/>
  <c r="X221" i="20"/>
  <c r="AB221" i="20"/>
  <c r="AF221" i="20"/>
  <c r="AJ221" i="20"/>
  <c r="AN221" i="20"/>
  <c r="AR221" i="20"/>
  <c r="AV221" i="20"/>
  <c r="AZ221" i="20"/>
  <c r="N221" i="20"/>
  <c r="V221" i="20"/>
  <c r="AD221" i="20"/>
  <c r="AL221" i="20"/>
  <c r="AT221" i="20"/>
  <c r="BB221" i="20"/>
  <c r="I221" i="20"/>
  <c r="Q221" i="20"/>
  <c r="Y221" i="20"/>
  <c r="AG221" i="20"/>
  <c r="AO221" i="20"/>
  <c r="AW221" i="20"/>
  <c r="J221" i="20"/>
  <c r="R221" i="20"/>
  <c r="Z221" i="20"/>
  <c r="AH221" i="20"/>
  <c r="AP221" i="20"/>
  <c r="AX221" i="20"/>
  <c r="M221" i="20"/>
  <c r="AS221" i="20"/>
  <c r="U221" i="20"/>
  <c r="BA221" i="20"/>
  <c r="AC221" i="20"/>
  <c r="AK221" i="20"/>
  <c r="G217" i="20"/>
  <c r="K217" i="20"/>
  <c r="O217" i="20"/>
  <c r="S217" i="20"/>
  <c r="W217" i="20"/>
  <c r="AA217" i="20"/>
  <c r="AE217" i="20"/>
  <c r="AI217" i="20"/>
  <c r="AM217" i="20"/>
  <c r="AQ217" i="20"/>
  <c r="AU217" i="20"/>
  <c r="AY217" i="20"/>
  <c r="H217" i="20"/>
  <c r="L217" i="20"/>
  <c r="P217" i="20"/>
  <c r="T217" i="20"/>
  <c r="X217" i="20"/>
  <c r="AB217" i="20"/>
  <c r="AF217" i="20"/>
  <c r="AJ217" i="20"/>
  <c r="AN217" i="20"/>
  <c r="AR217" i="20"/>
  <c r="AV217" i="20"/>
  <c r="AZ217" i="20"/>
  <c r="N217" i="20"/>
  <c r="V217" i="20"/>
  <c r="AD217" i="20"/>
  <c r="AL217" i="20"/>
  <c r="AT217" i="20"/>
  <c r="BB217" i="20"/>
  <c r="I217" i="20"/>
  <c r="Q217" i="20"/>
  <c r="Y217" i="20"/>
  <c r="AG217" i="20"/>
  <c r="AO217" i="20"/>
  <c r="AW217" i="20"/>
  <c r="J217" i="20"/>
  <c r="R217" i="20"/>
  <c r="Z217" i="20"/>
  <c r="AH217" i="20"/>
  <c r="AP217" i="20"/>
  <c r="AX217" i="20"/>
  <c r="M217" i="20"/>
  <c r="AS217" i="20"/>
  <c r="U217" i="20"/>
  <c r="BA217" i="20"/>
  <c r="AC217" i="20"/>
  <c r="AK217" i="20"/>
  <c r="I215" i="20"/>
  <c r="V215" i="20"/>
  <c r="R215" i="20"/>
  <c r="N215" i="20"/>
  <c r="AT215" i="20"/>
  <c r="AP215" i="20"/>
  <c r="AL215" i="20"/>
  <c r="AH215" i="20"/>
  <c r="AD215" i="20"/>
  <c r="Z215" i="20"/>
  <c r="BA215" i="20"/>
  <c r="AW215" i="20"/>
  <c r="BA247" i="20"/>
  <c r="AW247" i="20"/>
  <c r="AS247" i="20"/>
  <c r="AO247" i="20"/>
  <c r="AK247" i="20"/>
  <c r="AG247" i="20"/>
  <c r="AC247" i="20"/>
  <c r="Y247" i="20"/>
  <c r="U247" i="20"/>
  <c r="Q247" i="20"/>
  <c r="M247" i="20"/>
  <c r="I247" i="20"/>
  <c r="BA246" i="20"/>
  <c r="AW246" i="20"/>
  <c r="AS246" i="20"/>
  <c r="AO246" i="20"/>
  <c r="AK246" i="20"/>
  <c r="AG246" i="20"/>
  <c r="AC246" i="20"/>
  <c r="Y246" i="20"/>
  <c r="U246" i="20"/>
  <c r="Q246" i="20"/>
  <c r="M246" i="20"/>
  <c r="I246" i="20"/>
  <c r="BA245" i="20"/>
  <c r="AW245" i="20"/>
  <c r="AS245" i="20"/>
  <c r="AO245" i="20"/>
  <c r="AK245" i="20"/>
  <c r="AG245" i="20"/>
  <c r="AC245" i="20"/>
  <c r="Y245" i="20"/>
  <c r="U245" i="20"/>
  <c r="Q245" i="20"/>
  <c r="M245" i="20"/>
  <c r="I245" i="20"/>
  <c r="BA244" i="20"/>
  <c r="AW244" i="20"/>
  <c r="AS244" i="20"/>
  <c r="AO244" i="20"/>
  <c r="AK244" i="20"/>
  <c r="AG244" i="20"/>
  <c r="AC244" i="20"/>
  <c r="Y244" i="20"/>
  <c r="AO243" i="20"/>
  <c r="Y243" i="20"/>
  <c r="I243" i="20"/>
  <c r="AO242" i="20"/>
  <c r="Y242" i="20"/>
  <c r="I242" i="20"/>
  <c r="AO241" i="20"/>
  <c r="Y241" i="20"/>
  <c r="I241" i="20"/>
  <c r="AO240" i="20"/>
  <c r="Y240" i="20"/>
  <c r="AO239" i="20"/>
  <c r="Y239" i="20"/>
  <c r="I239" i="20"/>
  <c r="AO238" i="20"/>
  <c r="Y238" i="20"/>
  <c r="I238" i="20"/>
  <c r="AO237" i="20"/>
  <c r="Y237" i="20"/>
  <c r="I237" i="20"/>
  <c r="AO236" i="20"/>
  <c r="Y236" i="20"/>
  <c r="AO235" i="20"/>
  <c r="Y235" i="20"/>
  <c r="I235" i="20"/>
  <c r="AO234" i="20"/>
  <c r="Y234" i="20"/>
  <c r="I234" i="20"/>
  <c r="AO233" i="20"/>
  <c r="Y233" i="20"/>
  <c r="I233" i="20"/>
  <c r="AM232" i="20"/>
  <c r="J244" i="20"/>
  <c r="N244" i="20"/>
  <c r="R244" i="20"/>
  <c r="V244" i="20"/>
  <c r="G244" i="20"/>
  <c r="K244" i="20"/>
  <c r="O244" i="20"/>
  <c r="S244" i="20"/>
  <c r="W244" i="20"/>
  <c r="H244" i="20"/>
  <c r="L244" i="20"/>
  <c r="P244" i="20"/>
  <c r="T244" i="20"/>
  <c r="X244" i="20"/>
  <c r="J240" i="20"/>
  <c r="N240" i="20"/>
  <c r="R240" i="20"/>
  <c r="V240" i="20"/>
  <c r="Z240" i="20"/>
  <c r="AD240" i="20"/>
  <c r="AH240" i="20"/>
  <c r="AL240" i="20"/>
  <c r="AP240" i="20"/>
  <c r="AT240" i="20"/>
  <c r="AX240" i="20"/>
  <c r="BB240" i="20"/>
  <c r="G240" i="20"/>
  <c r="K240" i="20"/>
  <c r="O240" i="20"/>
  <c r="S240" i="20"/>
  <c r="W240" i="20"/>
  <c r="AA240" i="20"/>
  <c r="AE240" i="20"/>
  <c r="AI240" i="20"/>
  <c r="AM240" i="20"/>
  <c r="AQ240" i="20"/>
  <c r="AU240" i="20"/>
  <c r="AY240" i="20"/>
  <c r="H240" i="20"/>
  <c r="L240" i="20"/>
  <c r="P240" i="20"/>
  <c r="T240" i="20"/>
  <c r="X240" i="20"/>
  <c r="AB240" i="20"/>
  <c r="AF240" i="20"/>
  <c r="AJ240" i="20"/>
  <c r="AN240" i="20"/>
  <c r="AR240" i="20"/>
  <c r="AV240" i="20"/>
  <c r="AZ240" i="20"/>
  <c r="J236" i="20"/>
  <c r="N236" i="20"/>
  <c r="R236" i="20"/>
  <c r="V236" i="20"/>
  <c r="Z236" i="20"/>
  <c r="AD236" i="20"/>
  <c r="AH236" i="20"/>
  <c r="AL236" i="20"/>
  <c r="AP236" i="20"/>
  <c r="AT236" i="20"/>
  <c r="AX236" i="20"/>
  <c r="BB236" i="20"/>
  <c r="G236" i="20"/>
  <c r="K236" i="20"/>
  <c r="O236" i="20"/>
  <c r="S236" i="20"/>
  <c r="W236" i="20"/>
  <c r="AA236" i="20"/>
  <c r="AE236" i="20"/>
  <c r="AI236" i="20"/>
  <c r="AM236" i="20"/>
  <c r="AQ236" i="20"/>
  <c r="AU236" i="20"/>
  <c r="AY236" i="20"/>
  <c r="H236" i="20"/>
  <c r="L236" i="20"/>
  <c r="P236" i="20"/>
  <c r="T236" i="20"/>
  <c r="X236" i="20"/>
  <c r="AB236" i="20"/>
  <c r="AF236" i="20"/>
  <c r="AJ236" i="20"/>
  <c r="AN236" i="20"/>
  <c r="AR236" i="20"/>
  <c r="AV236" i="20"/>
  <c r="AZ236" i="20"/>
  <c r="H232" i="20"/>
  <c r="L232" i="20"/>
  <c r="P232" i="20"/>
  <c r="T232" i="20"/>
  <c r="X232" i="20"/>
  <c r="AB232" i="20"/>
  <c r="AF232" i="20"/>
  <c r="AJ232" i="20"/>
  <c r="AN232" i="20"/>
  <c r="AR232" i="20"/>
  <c r="I232" i="20"/>
  <c r="M232" i="20"/>
  <c r="Q232" i="20"/>
  <c r="U232" i="20"/>
  <c r="Y232" i="20"/>
  <c r="AC232" i="20"/>
  <c r="AG232" i="20"/>
  <c r="K232" i="20"/>
  <c r="S232" i="20"/>
  <c r="AA232" i="20"/>
  <c r="AI232" i="20"/>
  <c r="AO232" i="20"/>
  <c r="AT232" i="20"/>
  <c r="AX232" i="20"/>
  <c r="BB232" i="20"/>
  <c r="N232" i="20"/>
  <c r="V232" i="20"/>
  <c r="AD232" i="20"/>
  <c r="AK232" i="20"/>
  <c r="AP232" i="20"/>
  <c r="AU232" i="20"/>
  <c r="AY232" i="20"/>
  <c r="G232" i="20"/>
  <c r="O232" i="20"/>
  <c r="W232" i="20"/>
  <c r="AE232" i="20"/>
  <c r="AL232" i="20"/>
  <c r="AQ232" i="20"/>
  <c r="AV232" i="20"/>
  <c r="AZ232" i="20"/>
  <c r="H228" i="20"/>
  <c r="L228" i="20"/>
  <c r="P228" i="20"/>
  <c r="T228" i="20"/>
  <c r="X228" i="20"/>
  <c r="AB228" i="20"/>
  <c r="AF228" i="20"/>
  <c r="AJ228" i="20"/>
  <c r="AN228" i="20"/>
  <c r="AR228" i="20"/>
  <c r="AV228" i="20"/>
  <c r="AZ228" i="20"/>
  <c r="I228" i="20"/>
  <c r="M228" i="20"/>
  <c r="Q228" i="20"/>
  <c r="U228" i="20"/>
  <c r="Y228" i="20"/>
  <c r="AC228" i="20"/>
  <c r="AG228" i="20"/>
  <c r="AK228" i="20"/>
  <c r="AO228" i="20"/>
  <c r="AS228" i="20"/>
  <c r="AW228" i="20"/>
  <c r="BA228" i="20"/>
  <c r="J228" i="20"/>
  <c r="N228" i="20"/>
  <c r="R228" i="20"/>
  <c r="V228" i="20"/>
  <c r="Z228" i="20"/>
  <c r="AD228" i="20"/>
  <c r="AH228" i="20"/>
  <c r="AL228" i="20"/>
  <c r="AP228" i="20"/>
  <c r="AT228" i="20"/>
  <c r="AX228" i="20"/>
  <c r="BB228" i="20"/>
  <c r="S228" i="20"/>
  <c r="AI228" i="20"/>
  <c r="AY228" i="20"/>
  <c r="G228" i="20"/>
  <c r="W228" i="20"/>
  <c r="AM228" i="20"/>
  <c r="K228" i="20"/>
  <c r="AA228" i="20"/>
  <c r="AQ228" i="20"/>
  <c r="O228" i="20"/>
  <c r="AE228" i="20"/>
  <c r="AU228" i="20"/>
  <c r="H224" i="20"/>
  <c r="L224" i="20"/>
  <c r="P224" i="20"/>
  <c r="T224" i="20"/>
  <c r="X224" i="20"/>
  <c r="AB224" i="20"/>
  <c r="AF224" i="20"/>
  <c r="AJ224" i="20"/>
  <c r="AN224" i="20"/>
  <c r="AR224" i="20"/>
  <c r="AV224" i="20"/>
  <c r="AZ224" i="20"/>
  <c r="I224" i="20"/>
  <c r="M224" i="20"/>
  <c r="Q224" i="20"/>
  <c r="U224" i="20"/>
  <c r="Y224" i="20"/>
  <c r="AC224" i="20"/>
  <c r="AG224" i="20"/>
  <c r="AK224" i="20"/>
  <c r="AO224" i="20"/>
  <c r="AS224" i="20"/>
  <c r="AW224" i="20"/>
  <c r="BA224" i="20"/>
  <c r="J224" i="20"/>
  <c r="N224" i="20"/>
  <c r="R224" i="20"/>
  <c r="V224" i="20"/>
  <c r="Z224" i="20"/>
  <c r="AD224" i="20"/>
  <c r="AH224" i="20"/>
  <c r="AL224" i="20"/>
  <c r="AP224" i="20"/>
  <c r="AT224" i="20"/>
  <c r="AX224" i="20"/>
  <c r="BB224" i="20"/>
  <c r="S224" i="20"/>
  <c r="AI224" i="20"/>
  <c r="AY224" i="20"/>
  <c r="G224" i="20"/>
  <c r="W224" i="20"/>
  <c r="AM224" i="20"/>
  <c r="K224" i="20"/>
  <c r="AA224" i="20"/>
  <c r="AQ224" i="20"/>
  <c r="AE224" i="20"/>
  <c r="AU224" i="20"/>
  <c r="O224" i="20"/>
  <c r="G220" i="20"/>
  <c r="K220" i="20"/>
  <c r="O220" i="20"/>
  <c r="S220" i="20"/>
  <c r="W220" i="20"/>
  <c r="AA220" i="20"/>
  <c r="AE220" i="20"/>
  <c r="AI220" i="20"/>
  <c r="AM220" i="20"/>
  <c r="AQ220" i="20"/>
  <c r="AU220" i="20"/>
  <c r="AY220" i="20"/>
  <c r="H220" i="20"/>
  <c r="L220" i="20"/>
  <c r="P220" i="20"/>
  <c r="T220" i="20"/>
  <c r="X220" i="20"/>
  <c r="AB220" i="20"/>
  <c r="AF220" i="20"/>
  <c r="AJ220" i="20"/>
  <c r="AN220" i="20"/>
  <c r="AR220" i="20"/>
  <c r="AV220" i="20"/>
  <c r="AZ220" i="20"/>
  <c r="N220" i="20"/>
  <c r="V220" i="20"/>
  <c r="AD220" i="20"/>
  <c r="AL220" i="20"/>
  <c r="AT220" i="20"/>
  <c r="BB220" i="20"/>
  <c r="I220" i="20"/>
  <c r="Q220" i="20"/>
  <c r="Y220" i="20"/>
  <c r="AG220" i="20"/>
  <c r="AO220" i="20"/>
  <c r="AW220" i="20"/>
  <c r="J220" i="20"/>
  <c r="R220" i="20"/>
  <c r="Z220" i="20"/>
  <c r="AH220" i="20"/>
  <c r="AP220" i="20"/>
  <c r="AX220" i="20"/>
  <c r="AC220" i="20"/>
  <c r="AK220" i="20"/>
  <c r="M220" i="20"/>
  <c r="AS220" i="20"/>
  <c r="U220" i="20"/>
  <c r="BA220" i="20"/>
  <c r="G216" i="20"/>
  <c r="K216" i="20"/>
  <c r="O216" i="20"/>
  <c r="S216" i="20"/>
  <c r="W216" i="20"/>
  <c r="AA216" i="20"/>
  <c r="AE216" i="20"/>
  <c r="AI216" i="20"/>
  <c r="AM216" i="20"/>
  <c r="AQ216" i="20"/>
  <c r="AU216" i="20"/>
  <c r="AY216" i="20"/>
  <c r="H216" i="20"/>
  <c r="L216" i="20"/>
  <c r="P216" i="20"/>
  <c r="T216" i="20"/>
  <c r="X216" i="20"/>
  <c r="AB216" i="20"/>
  <c r="AF216" i="20"/>
  <c r="AJ216" i="20"/>
  <c r="AN216" i="20"/>
  <c r="AR216" i="20"/>
  <c r="AV216" i="20"/>
  <c r="AZ216" i="20"/>
  <c r="I216" i="20"/>
  <c r="M216" i="20"/>
  <c r="Q216" i="20"/>
  <c r="J216" i="20"/>
  <c r="V216" i="20"/>
  <c r="AD216" i="20"/>
  <c r="AL216" i="20"/>
  <c r="AT216" i="20"/>
  <c r="BB216" i="20"/>
  <c r="N216" i="20"/>
  <c r="Y216" i="20"/>
  <c r="AG216" i="20"/>
  <c r="AO216" i="20"/>
  <c r="AW216" i="20"/>
  <c r="R216" i="20"/>
  <c r="Z216" i="20"/>
  <c r="AH216" i="20"/>
  <c r="AP216" i="20"/>
  <c r="AX216" i="20"/>
  <c r="AC216" i="20"/>
  <c r="AK216" i="20"/>
  <c r="AS216" i="20"/>
  <c r="U216" i="20"/>
  <c r="BA216" i="20"/>
  <c r="H215" i="20"/>
  <c r="U215" i="20"/>
  <c r="Q215" i="20"/>
  <c r="M215" i="20"/>
  <c r="AS215" i="20"/>
  <c r="AO215" i="20"/>
  <c r="AK215" i="20"/>
  <c r="AG215" i="20"/>
  <c r="AC215" i="20"/>
  <c r="Y215" i="20"/>
  <c r="AZ215" i="20"/>
  <c r="AZ247" i="20"/>
  <c r="AV247" i="20"/>
  <c r="AR247" i="20"/>
  <c r="AN247" i="20"/>
  <c r="AJ247" i="20"/>
  <c r="AF247" i="20"/>
  <c r="AB247" i="20"/>
  <c r="X247" i="20"/>
  <c r="T247" i="20"/>
  <c r="P247" i="20"/>
  <c r="L247" i="20"/>
  <c r="AZ246" i="20"/>
  <c r="AV246" i="20"/>
  <c r="AR246" i="20"/>
  <c r="AN246" i="20"/>
  <c r="AJ246" i="20"/>
  <c r="AF246" i="20"/>
  <c r="AB246" i="20"/>
  <c r="X246" i="20"/>
  <c r="T246" i="20"/>
  <c r="P246" i="20"/>
  <c r="L246" i="20"/>
  <c r="AZ245" i="20"/>
  <c r="AV245" i="20"/>
  <c r="AR245" i="20"/>
  <c r="AN245" i="20"/>
  <c r="AJ245" i="20"/>
  <c r="AF245" i="20"/>
  <c r="AB245" i="20"/>
  <c r="X245" i="20"/>
  <c r="T245" i="20"/>
  <c r="P245" i="20"/>
  <c r="L245" i="20"/>
  <c r="AZ244" i="20"/>
  <c r="AV244" i="20"/>
  <c r="AR244" i="20"/>
  <c r="AN244" i="20"/>
  <c r="AJ244" i="20"/>
  <c r="AF244" i="20"/>
  <c r="AB244" i="20"/>
  <c r="U244" i="20"/>
  <c r="BA243" i="20"/>
  <c r="AK243" i="20"/>
  <c r="U243" i="20"/>
  <c r="BA242" i="20"/>
  <c r="AK242" i="20"/>
  <c r="U242" i="20"/>
  <c r="BA241" i="20"/>
  <c r="AK241" i="20"/>
  <c r="U241" i="20"/>
  <c r="BA240" i="20"/>
  <c r="AK240" i="20"/>
  <c r="U240" i="20"/>
  <c r="BA239" i="20"/>
  <c r="AK239" i="20"/>
  <c r="U239" i="20"/>
  <c r="BA238" i="20"/>
  <c r="AK238" i="20"/>
  <c r="U238" i="20"/>
  <c r="BA237" i="20"/>
  <c r="AK237" i="20"/>
  <c r="U237" i="20"/>
  <c r="BA236" i="20"/>
  <c r="AK236" i="20"/>
  <c r="U236" i="20"/>
  <c r="BA235" i="20"/>
  <c r="AK235" i="20"/>
  <c r="U235" i="20"/>
  <c r="BA234" i="20"/>
  <c r="AK234" i="20"/>
  <c r="U234" i="20"/>
  <c r="BA233" i="20"/>
  <c r="AK233" i="20"/>
  <c r="U233" i="20"/>
  <c r="BA232" i="20"/>
  <c r="AH232" i="20"/>
  <c r="AX231" i="20"/>
  <c r="Z171" i="20"/>
  <c r="V171" i="20"/>
  <c r="R171" i="20"/>
  <c r="Y171" i="20"/>
  <c r="U171" i="20"/>
  <c r="Q171" i="20"/>
  <c r="AJ171" i="20"/>
  <c r="AF171" i="20"/>
  <c r="AB171" i="20"/>
  <c r="T171" i="20"/>
  <c r="P171" i="20"/>
  <c r="L171" i="20"/>
  <c r="AK171" i="20"/>
  <c r="AG171" i="20"/>
  <c r="N171" i="20"/>
  <c r="J171" i="20"/>
  <c r="AN171" i="20"/>
  <c r="AC171" i="20"/>
  <c r="X171" i="20"/>
  <c r="M171" i="20"/>
  <c r="K171" i="20"/>
  <c r="AM171" i="20"/>
  <c r="AI171" i="20"/>
  <c r="AE171" i="20"/>
  <c r="AA171" i="20"/>
  <c r="W171" i="20"/>
  <c r="S171" i="20"/>
  <c r="O171" i="20"/>
  <c r="AL232" i="22"/>
  <c r="AK232" i="22"/>
  <c r="AJ232" i="22"/>
  <c r="AE232" i="22"/>
  <c r="AV232" i="22"/>
  <c r="W232" i="22"/>
  <c r="AU232" i="22" s="1"/>
  <c r="Q232" i="22"/>
  <c r="AL231" i="22"/>
  <c r="AK231" i="22"/>
  <c r="AJ231" i="22"/>
  <c r="AE231" i="22"/>
  <c r="AV231" i="22"/>
  <c r="W231" i="22"/>
  <c r="AU231" i="22" s="1"/>
  <c r="Q231" i="22"/>
  <c r="AL230" i="22"/>
  <c r="AK230" i="22"/>
  <c r="AJ230" i="22"/>
  <c r="AE230" i="22"/>
  <c r="AV230" i="22"/>
  <c r="W230" i="22"/>
  <c r="AU230" i="22" s="1"/>
  <c r="Q230" i="22"/>
  <c r="AL229" i="22"/>
  <c r="AK229" i="22"/>
  <c r="AJ229" i="22"/>
  <c r="AE229" i="22"/>
  <c r="AV229" i="22"/>
  <c r="W229" i="22"/>
  <c r="AU229" i="22" s="1"/>
  <c r="Q229" i="22"/>
  <c r="AK228" i="22"/>
  <c r="AJ228" i="22"/>
  <c r="AE228" i="22"/>
  <c r="AK227" i="22"/>
  <c r="AJ227" i="22"/>
  <c r="AE227" i="22"/>
  <c r="AK226" i="22"/>
  <c r="AJ226" i="22"/>
  <c r="AE226" i="22"/>
  <c r="AK225" i="22"/>
  <c r="AJ225" i="22"/>
  <c r="AE225" i="22"/>
  <c r="AE224" i="22"/>
  <c r="AE223" i="22"/>
  <c r="AE222" i="22"/>
  <c r="AE221" i="22"/>
  <c r="AL221" i="22"/>
  <c r="AK220" i="22"/>
  <c r="AJ220" i="22"/>
  <c r="AE220" i="22"/>
  <c r="AK219" i="22"/>
  <c r="AJ219" i="22"/>
  <c r="AE219" i="22"/>
  <c r="AK218" i="22"/>
  <c r="AJ218" i="22"/>
  <c r="AE218" i="22"/>
  <c r="AE217" i="22"/>
  <c r="AE216" i="22"/>
  <c r="AK215" i="22"/>
  <c r="AJ215" i="22"/>
  <c r="AE215" i="22"/>
  <c r="AK214" i="22"/>
  <c r="AJ214" i="22"/>
  <c r="AE214" i="22"/>
  <c r="AL214" i="22"/>
  <c r="AK213" i="22"/>
  <c r="AJ213" i="22"/>
  <c r="AE213" i="22"/>
  <c r="AK212" i="22"/>
  <c r="AJ212" i="22"/>
  <c r="AE212" i="22"/>
  <c r="AL212" i="22"/>
  <c r="AK211" i="22"/>
  <c r="AJ211" i="22"/>
  <c r="AE211" i="22"/>
  <c r="AK210" i="22"/>
  <c r="AJ210" i="22"/>
  <c r="AE210" i="22"/>
  <c r="AK209" i="22"/>
  <c r="AJ209" i="22"/>
  <c r="AE209" i="22"/>
  <c r="AK208" i="22"/>
  <c r="AJ208" i="22"/>
  <c r="AE208" i="22"/>
  <c r="AL208" i="22"/>
  <c r="AK207" i="22"/>
  <c r="AJ207" i="22"/>
  <c r="AE207" i="22"/>
  <c r="AL207" i="22"/>
  <c r="AK206" i="22"/>
  <c r="AJ206" i="22"/>
  <c r="AE206" i="22"/>
  <c r="AE205" i="22"/>
  <c r="AE204" i="22"/>
  <c r="AE203" i="22"/>
  <c r="AE202" i="22"/>
  <c r="AE201" i="22"/>
  <c r="AK200" i="22"/>
  <c r="AJ200" i="22"/>
  <c r="AE200" i="22"/>
  <c r="AL200" i="22"/>
  <c r="AK199" i="22"/>
  <c r="AJ199" i="22"/>
  <c r="AE199" i="22"/>
  <c r="AV199" i="22"/>
  <c r="AK198" i="22"/>
  <c r="AJ198" i="22"/>
  <c r="AE198" i="22"/>
  <c r="AL198" i="22"/>
  <c r="AK197" i="22"/>
  <c r="AJ197" i="22"/>
  <c r="AE197" i="22"/>
  <c r="AK196" i="22"/>
  <c r="AJ196" i="22"/>
  <c r="AE196" i="22"/>
  <c r="AK195" i="22"/>
  <c r="AJ195" i="22"/>
  <c r="AE195" i="22"/>
  <c r="AL195" i="22"/>
  <c r="AK194" i="22"/>
  <c r="AJ194" i="22"/>
  <c r="AE194" i="22"/>
  <c r="AK193" i="22"/>
  <c r="AJ193" i="22"/>
  <c r="AE193" i="22"/>
  <c r="AK192" i="22"/>
  <c r="AJ192" i="22"/>
  <c r="AE192" i="22"/>
  <c r="AK191" i="22"/>
  <c r="AJ191" i="22"/>
  <c r="AE191" i="22"/>
  <c r="AK190" i="22"/>
  <c r="AJ190" i="22"/>
  <c r="AE190" i="22"/>
  <c r="AK189" i="22"/>
  <c r="AJ189" i="22"/>
  <c r="AE189" i="22"/>
  <c r="AK188" i="22"/>
  <c r="AJ188" i="22"/>
  <c r="AE188" i="22"/>
  <c r="AK187" i="22"/>
  <c r="AJ187" i="22"/>
  <c r="AE187" i="22"/>
  <c r="AK186" i="22"/>
  <c r="AJ186" i="22"/>
  <c r="AE186" i="22"/>
  <c r="AK185" i="22"/>
  <c r="AJ185" i="22"/>
  <c r="AE185" i="22"/>
  <c r="AK184" i="22"/>
  <c r="AJ184" i="22"/>
  <c r="AE184" i="22"/>
  <c r="AK183" i="22"/>
  <c r="AJ183" i="22"/>
  <c r="AE183" i="22"/>
  <c r="AK182" i="22"/>
  <c r="AJ182" i="22"/>
  <c r="AE182" i="22"/>
  <c r="AK181" i="22"/>
  <c r="AJ181" i="22"/>
  <c r="AE181" i="22"/>
  <c r="AK180" i="22"/>
  <c r="AJ180" i="22"/>
  <c r="AE180" i="22"/>
  <c r="AK179" i="22"/>
  <c r="AJ179" i="22"/>
  <c r="AE179" i="22"/>
  <c r="AK178" i="22"/>
  <c r="AJ178" i="22"/>
  <c r="AE178" i="22"/>
  <c r="AK177" i="22"/>
  <c r="AJ177" i="22"/>
  <c r="AE177" i="22"/>
  <c r="AK176" i="22"/>
  <c r="AJ176" i="22"/>
  <c r="AE176" i="22"/>
  <c r="AK175" i="22"/>
  <c r="AJ175" i="22"/>
  <c r="AE175" i="22"/>
  <c r="AK174" i="22"/>
  <c r="AJ174" i="22"/>
  <c r="AE174" i="22"/>
  <c r="AK173" i="22"/>
  <c r="AJ173" i="22"/>
  <c r="AE173" i="22"/>
  <c r="AK172" i="22"/>
  <c r="AJ172" i="22"/>
  <c r="AE172" i="22"/>
  <c r="AK171" i="22"/>
  <c r="AJ171" i="22"/>
  <c r="AE171" i="22"/>
  <c r="AK170" i="22"/>
  <c r="AJ170" i="22"/>
  <c r="AE170" i="22"/>
  <c r="AK169" i="22"/>
  <c r="AJ169" i="22"/>
  <c r="AE169" i="22"/>
  <c r="AK168" i="22"/>
  <c r="AJ168" i="22"/>
  <c r="AE168" i="22"/>
  <c r="AK167" i="22"/>
  <c r="AJ167" i="22"/>
  <c r="AE167" i="22"/>
  <c r="AK166" i="22"/>
  <c r="AJ166" i="22"/>
  <c r="AE166" i="22"/>
  <c r="AK165" i="22"/>
  <c r="AJ165" i="22"/>
  <c r="AE165" i="22"/>
  <c r="AK164" i="22"/>
  <c r="AJ164" i="22"/>
  <c r="AE164" i="22"/>
  <c r="AK163" i="22"/>
  <c r="AJ163" i="22"/>
  <c r="AE163" i="22"/>
  <c r="AK162" i="22"/>
  <c r="AJ162" i="22"/>
  <c r="AE162" i="22"/>
  <c r="AK161" i="22"/>
  <c r="AJ161" i="22"/>
  <c r="AE161" i="22"/>
  <c r="AK160" i="22"/>
  <c r="AJ160" i="22"/>
  <c r="AE160" i="22"/>
  <c r="AK159" i="22"/>
  <c r="AJ159" i="22"/>
  <c r="AE159" i="22"/>
  <c r="AK158" i="22"/>
  <c r="AJ158" i="22"/>
  <c r="AE158" i="22"/>
  <c r="AK157" i="22"/>
  <c r="AJ157" i="22"/>
  <c r="AE157" i="22"/>
  <c r="AK156" i="22"/>
  <c r="AJ156" i="22"/>
  <c r="AE156" i="22"/>
  <c r="AK155" i="22"/>
  <c r="AJ155" i="22"/>
  <c r="AE155" i="22"/>
  <c r="AK154" i="22"/>
  <c r="AJ154" i="22"/>
  <c r="AE154" i="22"/>
  <c r="AK153" i="22"/>
  <c r="AJ153" i="22"/>
  <c r="AE153" i="22"/>
  <c r="AK152" i="22"/>
  <c r="AJ152" i="22"/>
  <c r="AE152" i="22"/>
  <c r="AK151" i="22"/>
  <c r="AJ151" i="22"/>
  <c r="AE151" i="22"/>
  <c r="AK150" i="22"/>
  <c r="AJ150" i="22"/>
  <c r="AE150" i="22"/>
  <c r="AK149" i="22"/>
  <c r="AJ149" i="22"/>
  <c r="AE149" i="22"/>
  <c r="AK148" i="22"/>
  <c r="AJ148" i="22"/>
  <c r="AE148" i="22"/>
  <c r="AK147" i="22"/>
  <c r="AJ147" i="22"/>
  <c r="AE147" i="22"/>
  <c r="AK146" i="22"/>
  <c r="AJ146" i="22"/>
  <c r="AE146" i="22"/>
  <c r="AK145" i="22"/>
  <c r="AJ145" i="22"/>
  <c r="AE145" i="22"/>
  <c r="AK144" i="22"/>
  <c r="AJ144" i="22"/>
  <c r="AE144" i="22"/>
  <c r="AK143" i="22"/>
  <c r="AJ143" i="22"/>
  <c r="AE143" i="22"/>
  <c r="AK142" i="22"/>
  <c r="AJ142" i="22"/>
  <c r="AE142" i="22"/>
  <c r="AK141" i="22"/>
  <c r="AJ141" i="22"/>
  <c r="AE141" i="22"/>
  <c r="AK140" i="22"/>
  <c r="AJ140" i="22"/>
  <c r="AE140" i="22"/>
  <c r="AK139" i="22"/>
  <c r="AJ139" i="22"/>
  <c r="AE139" i="22"/>
  <c r="AK138" i="22"/>
  <c r="AJ138" i="22"/>
  <c r="AE138" i="22"/>
  <c r="AK137" i="22"/>
  <c r="AJ137" i="22"/>
  <c r="AE137" i="22"/>
  <c r="AK136" i="22"/>
  <c r="AJ136" i="22"/>
  <c r="AE136" i="22"/>
  <c r="AK135" i="22"/>
  <c r="AJ135" i="22"/>
  <c r="AE135" i="22"/>
  <c r="AK134" i="22"/>
  <c r="AJ134" i="22"/>
  <c r="AE134" i="22"/>
  <c r="AK133" i="22"/>
  <c r="AJ133" i="22"/>
  <c r="AE133" i="22"/>
  <c r="AK132" i="22"/>
  <c r="AJ132" i="22"/>
  <c r="AE132" i="22"/>
  <c r="AK131" i="22"/>
  <c r="AJ131" i="22"/>
  <c r="AE131" i="22"/>
  <c r="AK130" i="22"/>
  <c r="AJ130" i="22"/>
  <c r="AE130" i="22"/>
  <c r="AK129" i="22"/>
  <c r="AJ129" i="22"/>
  <c r="AE129" i="22"/>
  <c r="AK128" i="22"/>
  <c r="AJ128" i="22"/>
  <c r="AE128" i="22"/>
  <c r="AK127" i="22"/>
  <c r="AJ127" i="22"/>
  <c r="AE127" i="22"/>
  <c r="AK126" i="22"/>
  <c r="AJ126" i="22"/>
  <c r="AE126" i="22"/>
  <c r="AK125" i="22"/>
  <c r="AJ125" i="22"/>
  <c r="AE125" i="22"/>
  <c r="AK124" i="22"/>
  <c r="AJ124" i="22"/>
  <c r="AE124" i="22"/>
  <c r="AK123" i="22"/>
  <c r="AJ123" i="22"/>
  <c r="AE123" i="22"/>
  <c r="AK122" i="22"/>
  <c r="AJ122" i="22"/>
  <c r="AE122" i="22"/>
  <c r="AK121" i="22"/>
  <c r="AJ121" i="22"/>
  <c r="AE121" i="22"/>
  <c r="AK120" i="22"/>
  <c r="AJ120" i="22"/>
  <c r="AE120" i="22"/>
  <c r="AK119" i="22"/>
  <c r="AJ119" i="22"/>
  <c r="AE119" i="22"/>
  <c r="Q119" i="22"/>
  <c r="AK118" i="22"/>
  <c r="AJ118" i="22"/>
  <c r="AE118" i="22"/>
  <c r="AK117" i="22"/>
  <c r="AJ117" i="22"/>
  <c r="AE117" i="22"/>
  <c r="AK116" i="22"/>
  <c r="AJ116" i="22"/>
  <c r="AE116" i="22"/>
  <c r="Q116" i="22"/>
  <c r="AK115" i="22"/>
  <c r="AJ115" i="22"/>
  <c r="AE115" i="22"/>
  <c r="Q115" i="22"/>
  <c r="AK114" i="22"/>
  <c r="AJ114" i="22"/>
  <c r="AE114" i="22"/>
  <c r="AK113" i="22"/>
  <c r="AJ113" i="22"/>
  <c r="AE113" i="22"/>
  <c r="AK112" i="22"/>
  <c r="AJ112" i="22"/>
  <c r="AE112" i="22"/>
  <c r="Q112" i="22"/>
  <c r="AK111" i="22"/>
  <c r="AJ111" i="22"/>
  <c r="AE111" i="22"/>
  <c r="Q111" i="22"/>
  <c r="AK110" i="22"/>
  <c r="AJ110" i="22"/>
  <c r="AE110" i="22"/>
  <c r="AK109" i="22"/>
  <c r="AJ109" i="22"/>
  <c r="AE109" i="22"/>
  <c r="AK108" i="22"/>
  <c r="AJ108" i="22"/>
  <c r="AE108" i="22"/>
  <c r="AK107" i="22"/>
  <c r="AJ107" i="22"/>
  <c r="AE107" i="22"/>
  <c r="AK106" i="22"/>
  <c r="AJ106" i="22"/>
  <c r="AE106" i="22"/>
  <c r="AK105" i="22"/>
  <c r="AJ105" i="22"/>
  <c r="AE105" i="22"/>
  <c r="AK104" i="22"/>
  <c r="AJ104" i="22"/>
  <c r="AE104" i="22"/>
  <c r="AK103" i="22"/>
  <c r="AJ103" i="22"/>
  <c r="AE103" i="22"/>
  <c r="AK102" i="22"/>
  <c r="AJ102" i="22"/>
  <c r="AE102" i="22"/>
  <c r="AK101" i="22"/>
  <c r="AJ101" i="22"/>
  <c r="AE101" i="22"/>
  <c r="AK100" i="22"/>
  <c r="AJ100" i="22"/>
  <c r="AE100" i="22"/>
  <c r="AK99" i="22"/>
  <c r="AJ99" i="22"/>
  <c r="AE99" i="22"/>
  <c r="AK98" i="22"/>
  <c r="AJ98" i="22"/>
  <c r="AE98" i="22"/>
  <c r="AK97" i="22"/>
  <c r="AJ97" i="22"/>
  <c r="AE97" i="22"/>
  <c r="AK96" i="22"/>
  <c r="AJ96" i="22"/>
  <c r="AE96" i="22"/>
  <c r="AK95" i="22"/>
  <c r="AJ95" i="22"/>
  <c r="AE95" i="22"/>
  <c r="AK94" i="22"/>
  <c r="AJ94" i="22"/>
  <c r="AE94" i="22"/>
  <c r="AK93" i="22"/>
  <c r="AJ93" i="22"/>
  <c r="AE93" i="22"/>
  <c r="AK92" i="22"/>
  <c r="AJ92" i="22"/>
  <c r="AE92" i="22"/>
  <c r="AK91" i="22"/>
  <c r="AJ91" i="22"/>
  <c r="AE91" i="22"/>
  <c r="AK90" i="22"/>
  <c r="AJ90" i="22"/>
  <c r="AE90" i="22"/>
  <c r="AK89" i="22"/>
  <c r="AJ89" i="22"/>
  <c r="AE89" i="22"/>
  <c r="AK88" i="22"/>
  <c r="AJ88" i="22"/>
  <c r="AE88" i="22"/>
  <c r="AK87" i="22"/>
  <c r="AJ87" i="22"/>
  <c r="AE87" i="22"/>
  <c r="AK86" i="22"/>
  <c r="AJ86" i="22"/>
  <c r="AE86" i="22"/>
  <c r="AK85" i="22"/>
  <c r="AJ85" i="22"/>
  <c r="AE85" i="22"/>
  <c r="AK84" i="22"/>
  <c r="AJ84" i="22"/>
  <c r="AE84" i="22"/>
  <c r="AK83" i="22"/>
  <c r="AJ83" i="22"/>
  <c r="AE83" i="22"/>
  <c r="AK82" i="22"/>
  <c r="AJ82" i="22"/>
  <c r="AE82" i="22"/>
  <c r="AK81" i="22"/>
  <c r="AJ81" i="22"/>
  <c r="AE81" i="22"/>
  <c r="AK80" i="22"/>
  <c r="AJ80" i="22"/>
  <c r="AE80" i="22"/>
  <c r="AK79" i="22"/>
  <c r="AJ79" i="22"/>
  <c r="AE79" i="22"/>
  <c r="AK78" i="22"/>
  <c r="AJ78" i="22"/>
  <c r="AE78" i="22"/>
  <c r="AK77" i="22"/>
  <c r="AJ77" i="22"/>
  <c r="AE77" i="22"/>
  <c r="AK76" i="22"/>
  <c r="AJ76" i="22"/>
  <c r="AE76" i="22"/>
  <c r="AK75" i="22"/>
  <c r="AJ75" i="22"/>
  <c r="AE75" i="22"/>
  <c r="AK74" i="22"/>
  <c r="AJ74" i="22"/>
  <c r="AE74" i="22"/>
  <c r="AK73" i="22"/>
  <c r="AJ73" i="22"/>
  <c r="AE73" i="22"/>
  <c r="AK72" i="22"/>
  <c r="AJ72" i="22"/>
  <c r="AE72" i="22"/>
  <c r="AE71" i="22"/>
  <c r="AE70" i="22"/>
  <c r="Q70" i="22"/>
  <c r="AK69" i="22"/>
  <c r="AJ69" i="22"/>
  <c r="AE69" i="22"/>
  <c r="AK68" i="22"/>
  <c r="AJ68" i="22"/>
  <c r="AE68" i="22"/>
  <c r="AK67" i="22"/>
  <c r="AJ67" i="22"/>
  <c r="AE67" i="22"/>
  <c r="Q67" i="22"/>
  <c r="AK66" i="22"/>
  <c r="AJ66" i="22"/>
  <c r="AE66" i="22"/>
  <c r="AK65" i="22"/>
  <c r="AJ65" i="22"/>
  <c r="AE65" i="22"/>
  <c r="Q65" i="22"/>
  <c r="AK64" i="22"/>
  <c r="AJ64" i="22"/>
  <c r="AE64" i="22"/>
  <c r="Q64" i="22"/>
  <c r="AK63" i="22"/>
  <c r="AJ63" i="22"/>
  <c r="AE63" i="22"/>
  <c r="Q63" i="22"/>
  <c r="AK62" i="22"/>
  <c r="AJ62" i="22"/>
  <c r="AE62" i="22"/>
  <c r="AK61" i="22"/>
  <c r="AJ61" i="22"/>
  <c r="AE61" i="22"/>
  <c r="Q61" i="22"/>
  <c r="AK60" i="22"/>
  <c r="AJ60" i="22"/>
  <c r="AE60" i="22"/>
  <c r="Q60" i="22"/>
  <c r="AK59" i="22"/>
  <c r="AJ59" i="22"/>
  <c r="AE59" i="22"/>
  <c r="Q59" i="22"/>
  <c r="AK58" i="22"/>
  <c r="AJ58" i="22"/>
  <c r="AE58" i="22"/>
  <c r="Q58" i="22"/>
  <c r="AK57" i="22"/>
  <c r="AJ57" i="22"/>
  <c r="AE57" i="22"/>
  <c r="Q57" i="22"/>
  <c r="AK56" i="22"/>
  <c r="AJ56" i="22"/>
  <c r="AE56" i="22"/>
  <c r="Q56" i="22"/>
  <c r="AK55" i="22"/>
  <c r="AJ55" i="22"/>
  <c r="AE55" i="22"/>
  <c r="Q55" i="22"/>
  <c r="AK54" i="22"/>
  <c r="AJ54" i="22"/>
  <c r="AE54" i="22"/>
  <c r="Q54" i="22"/>
  <c r="AK53" i="22"/>
  <c r="AJ53" i="22"/>
  <c r="AE53" i="22"/>
  <c r="Q53" i="22"/>
  <c r="AK52" i="22"/>
  <c r="AJ52" i="22"/>
  <c r="AE52" i="22"/>
  <c r="Q52" i="22"/>
  <c r="AK51" i="22"/>
  <c r="AJ51" i="22"/>
  <c r="AE51" i="22"/>
  <c r="Q51" i="22"/>
  <c r="AK50" i="22"/>
  <c r="AJ50" i="22"/>
  <c r="AE50" i="22"/>
  <c r="Q50" i="22"/>
  <c r="AK49" i="22"/>
  <c r="AJ49" i="22"/>
  <c r="AE49" i="22"/>
  <c r="Q49" i="22"/>
  <c r="AK48" i="22"/>
  <c r="AJ48" i="22"/>
  <c r="AE48" i="22"/>
  <c r="Q48" i="22"/>
  <c r="AK47" i="22"/>
  <c r="AJ47" i="22"/>
  <c r="AE47" i="22"/>
  <c r="Q47" i="22"/>
  <c r="AK46" i="22"/>
  <c r="AJ46" i="22"/>
  <c r="AE46" i="22"/>
  <c r="Q46" i="22"/>
  <c r="AK45" i="22"/>
  <c r="AJ45" i="22"/>
  <c r="AE45" i="22"/>
  <c r="Q45" i="22"/>
  <c r="AK44" i="22"/>
  <c r="AJ44" i="22"/>
  <c r="AE44" i="22"/>
  <c r="Q44" i="22"/>
  <c r="AK43" i="22"/>
  <c r="AJ43" i="22"/>
  <c r="AE43" i="22"/>
  <c r="Q43" i="22"/>
  <c r="AK42" i="22"/>
  <c r="AJ42" i="22"/>
  <c r="AE42" i="22"/>
  <c r="Q42" i="22"/>
  <c r="AK41" i="22"/>
  <c r="AJ41" i="22"/>
  <c r="AE41" i="22"/>
  <c r="Q41" i="22"/>
  <c r="AK40" i="22"/>
  <c r="AJ40" i="22"/>
  <c r="AE40" i="22"/>
  <c r="Q40" i="22"/>
  <c r="AK39" i="22"/>
  <c r="AJ39" i="22"/>
  <c r="AE39" i="22"/>
  <c r="Q39" i="22"/>
  <c r="AK38" i="22"/>
  <c r="AJ38" i="22"/>
  <c r="AE38" i="22"/>
  <c r="Q38" i="22"/>
  <c r="AK37" i="22"/>
  <c r="AJ37" i="22"/>
  <c r="AE37" i="22"/>
  <c r="Q37" i="22"/>
  <c r="AK36" i="22"/>
  <c r="AJ36" i="22"/>
  <c r="AE36" i="22"/>
  <c r="Q36" i="22"/>
  <c r="AK35" i="22"/>
  <c r="AJ35" i="22"/>
  <c r="AE35" i="22"/>
  <c r="Q35" i="22"/>
  <c r="AK34" i="22"/>
  <c r="AJ34" i="22"/>
  <c r="AE34" i="22"/>
  <c r="Q34" i="22"/>
  <c r="AK33" i="22"/>
  <c r="AJ33" i="22"/>
  <c r="AE33" i="22"/>
  <c r="Q33" i="22"/>
  <c r="AK32" i="22"/>
  <c r="AJ32" i="22"/>
  <c r="AE32" i="22"/>
  <c r="Q32" i="22"/>
  <c r="AK31" i="22"/>
  <c r="AJ31" i="22"/>
  <c r="AE31" i="22"/>
  <c r="Q31" i="22"/>
  <c r="AK30" i="22"/>
  <c r="AJ30" i="22"/>
  <c r="AE30" i="22"/>
  <c r="Q30" i="22"/>
  <c r="AK29" i="22"/>
  <c r="AJ29" i="22"/>
  <c r="AE29" i="22"/>
  <c r="Q29" i="22"/>
  <c r="AK28" i="22"/>
  <c r="AJ28" i="22"/>
  <c r="AE28" i="22"/>
  <c r="Q28" i="22"/>
  <c r="AK27" i="22"/>
  <c r="AJ27" i="22"/>
  <c r="AE27" i="22"/>
  <c r="Q27" i="22"/>
  <c r="AK26" i="22"/>
  <c r="AJ26" i="22"/>
  <c r="AE26" i="22"/>
  <c r="Q26" i="22"/>
  <c r="AK25" i="22"/>
  <c r="AJ25" i="22"/>
  <c r="AE25" i="22"/>
  <c r="Q25" i="22"/>
  <c r="AK24" i="22"/>
  <c r="AJ24" i="22"/>
  <c r="AE24" i="22"/>
  <c r="Q24" i="22"/>
  <c r="AK23" i="22"/>
  <c r="AJ23" i="22"/>
  <c r="AE23" i="22"/>
  <c r="Q23" i="22"/>
  <c r="AK22" i="22"/>
  <c r="AJ22" i="22"/>
  <c r="AE22" i="22"/>
  <c r="Q22" i="22"/>
  <c r="AK21" i="22"/>
  <c r="AJ21" i="22"/>
  <c r="AE21" i="22"/>
  <c r="Q21" i="22"/>
  <c r="AK20" i="22"/>
  <c r="AJ20" i="22"/>
  <c r="AE20" i="22"/>
  <c r="Q20" i="22"/>
  <c r="AK19" i="22"/>
  <c r="AJ19" i="22"/>
  <c r="AE19" i="22"/>
  <c r="Q19" i="22"/>
  <c r="AK18" i="22"/>
  <c r="AJ18" i="22"/>
  <c r="AE18" i="22"/>
  <c r="Q18" i="22"/>
  <c r="AK17" i="22"/>
  <c r="AJ17" i="22"/>
  <c r="AE17" i="22"/>
  <c r="Q17" i="22"/>
  <c r="AK16" i="22"/>
  <c r="AJ16" i="22"/>
  <c r="AE16" i="22"/>
  <c r="Q16" i="22"/>
  <c r="AK15" i="22"/>
  <c r="AJ15" i="22"/>
  <c r="AE15" i="22"/>
  <c r="Q15" i="22"/>
  <c r="AK14" i="22"/>
  <c r="AJ14" i="22"/>
  <c r="AE14" i="22"/>
  <c r="Q14" i="22"/>
  <c r="AK13" i="22"/>
  <c r="AJ13" i="22"/>
  <c r="AE13" i="22"/>
  <c r="Q13" i="22"/>
  <c r="AK12" i="22"/>
  <c r="AJ12" i="22"/>
  <c r="AE12" i="22"/>
  <c r="Q12" i="22"/>
  <c r="AK11" i="22"/>
  <c r="AJ11" i="22"/>
  <c r="AE11" i="22"/>
  <c r="Q11" i="22"/>
  <c r="AK10" i="22"/>
  <c r="AJ10" i="22"/>
  <c r="AE10" i="22"/>
  <c r="Q10" i="22"/>
  <c r="AK9" i="22"/>
  <c r="AJ9" i="22"/>
  <c r="AE9" i="22"/>
  <c r="Q9" i="22"/>
  <c r="AK8" i="22"/>
  <c r="AJ8" i="22"/>
  <c r="AE8" i="22"/>
  <c r="Q8" i="22"/>
  <c r="AK7" i="22"/>
  <c r="AJ7" i="22"/>
  <c r="AE7" i="22"/>
  <c r="Q7" i="22"/>
  <c r="AK6" i="22"/>
  <c r="AJ6" i="22"/>
  <c r="AE6" i="22"/>
  <c r="Q6" i="22"/>
  <c r="AK5" i="22"/>
  <c r="AJ5" i="22"/>
  <c r="AE5" i="22"/>
  <c r="Q5" i="22"/>
  <c r="AM195" i="22" l="1"/>
  <c r="AM198" i="22"/>
  <c r="AE248" i="20"/>
  <c r="Y248" i="20"/>
  <c r="AO248" i="20"/>
  <c r="H248" i="20"/>
  <c r="AG248" i="20"/>
  <c r="M248" i="20"/>
  <c r="AV248" i="20"/>
  <c r="AC248" i="20"/>
  <c r="AS248" i="20"/>
  <c r="BA248" i="20"/>
  <c r="AL248" i="20"/>
  <c r="R248" i="20"/>
  <c r="AX248" i="20"/>
  <c r="AI248" i="20"/>
  <c r="O248" i="20"/>
  <c r="AU248" i="20"/>
  <c r="AF248" i="20"/>
  <c r="L248" i="20"/>
  <c r="Z248" i="20"/>
  <c r="AP248" i="20"/>
  <c r="V248" i="20"/>
  <c r="BB248" i="20"/>
  <c r="AM248" i="20"/>
  <c r="S248" i="20"/>
  <c r="AY248" i="20"/>
  <c r="AJ248" i="20"/>
  <c r="P248" i="20"/>
  <c r="AZ248" i="20"/>
  <c r="AK248" i="20"/>
  <c r="Q248" i="20"/>
  <c r="AD248" i="20"/>
  <c r="AT248" i="20"/>
  <c r="I248" i="20"/>
  <c r="AA248" i="20"/>
  <c r="AQ248" i="20"/>
  <c r="W248" i="20"/>
  <c r="X248" i="20"/>
  <c r="AN248" i="20"/>
  <c r="T248" i="20"/>
  <c r="U248" i="20"/>
  <c r="AW248" i="20"/>
  <c r="AH248" i="20"/>
  <c r="N248" i="20"/>
  <c r="K248" i="20"/>
  <c r="G248" i="20"/>
  <c r="AB248" i="20"/>
  <c r="AR248" i="20"/>
  <c r="J248" i="20"/>
  <c r="AV208" i="22"/>
  <c r="AV195" i="22"/>
  <c r="AM208" i="22"/>
  <c r="AL225" i="22"/>
  <c r="AM225" i="22" s="1"/>
  <c r="AK70" i="22"/>
  <c r="Q118" i="22"/>
  <c r="Q117" i="22"/>
  <c r="Q62" i="22"/>
  <c r="Q113" i="22"/>
  <c r="Q69" i="22"/>
  <c r="Q114" i="22"/>
  <c r="Q68" i="22"/>
  <c r="Q196" i="22"/>
  <c r="AM200" i="22"/>
  <c r="AL216" i="22"/>
  <c r="AL196" i="22"/>
  <c r="AM196" i="22" s="1"/>
  <c r="Q200" i="22"/>
  <c r="AM207" i="22"/>
  <c r="AL217" i="22"/>
  <c r="AM232" i="22"/>
  <c r="Q71" i="22"/>
  <c r="Q74" i="22"/>
  <c r="Q86" i="22"/>
  <c r="AK71" i="22"/>
  <c r="Q73" i="22"/>
  <c r="Q77" i="22"/>
  <c r="Q81" i="22"/>
  <c r="Q85" i="22"/>
  <c r="Q89" i="22"/>
  <c r="Q93" i="22"/>
  <c r="W93" i="22"/>
  <c r="Q97" i="22"/>
  <c r="Q101" i="22"/>
  <c r="Q105" i="22"/>
  <c r="Q109" i="22"/>
  <c r="Q121" i="22"/>
  <c r="Q135" i="22"/>
  <c r="Q137" i="22"/>
  <c r="Q151" i="22"/>
  <c r="Q153" i="22"/>
  <c r="Q167" i="22"/>
  <c r="Q169" i="22"/>
  <c r="Q177" i="22"/>
  <c r="Q185" i="22"/>
  <c r="Q84" i="22"/>
  <c r="Q88" i="22"/>
  <c r="Q92" i="22"/>
  <c r="Q96" i="22"/>
  <c r="Q100" i="22"/>
  <c r="Q104" i="22"/>
  <c r="Q108" i="22"/>
  <c r="Q131" i="22"/>
  <c r="Q133" i="22"/>
  <c r="Q147" i="22"/>
  <c r="Q149" i="22"/>
  <c r="Q163" i="22"/>
  <c r="Q165" i="22"/>
  <c r="Q66" i="22"/>
  <c r="Q72" i="22"/>
  <c r="Q76" i="22"/>
  <c r="Q80" i="22"/>
  <c r="W10" i="22"/>
  <c r="Q75" i="22"/>
  <c r="Q79" i="22"/>
  <c r="Q83" i="22"/>
  <c r="Q87" i="22"/>
  <c r="Q91" i="22"/>
  <c r="W92" i="22"/>
  <c r="Q95" i="22"/>
  <c r="Q99" i="22"/>
  <c r="Q103" i="22"/>
  <c r="Q107" i="22"/>
  <c r="Q127" i="22"/>
  <c r="Q129" i="22"/>
  <c r="Q143" i="22"/>
  <c r="Q145" i="22"/>
  <c r="Q159" i="22"/>
  <c r="Q161" i="22"/>
  <c r="Q173" i="22"/>
  <c r="Q181" i="22"/>
  <c r="Q189" i="22"/>
  <c r="Q78" i="22"/>
  <c r="Q82" i="22"/>
  <c r="Q90" i="22"/>
  <c r="Q94" i="22"/>
  <c r="Q98" i="22"/>
  <c r="Q102" i="22"/>
  <c r="Q106" i="22"/>
  <c r="Q110" i="22"/>
  <c r="Q123" i="22"/>
  <c r="Q125" i="22"/>
  <c r="Q139" i="22"/>
  <c r="Q141" i="22"/>
  <c r="Q155" i="22"/>
  <c r="Q157" i="22"/>
  <c r="Q120" i="22"/>
  <c r="Q124" i="22"/>
  <c r="Q128" i="22"/>
  <c r="Q132" i="22"/>
  <c r="Q136" i="22"/>
  <c r="Q140" i="22"/>
  <c r="Q144" i="22"/>
  <c r="Q148" i="22"/>
  <c r="Q152" i="22"/>
  <c r="Q156" i="22"/>
  <c r="Q160" i="22"/>
  <c r="Q164" i="22"/>
  <c r="Q168" i="22"/>
  <c r="Q172" i="22"/>
  <c r="Q176" i="22"/>
  <c r="Q180" i="22"/>
  <c r="Q184" i="22"/>
  <c r="Q188" i="22"/>
  <c r="Q192" i="22"/>
  <c r="AV196" i="22"/>
  <c r="AL199" i="22"/>
  <c r="AM199" i="22" s="1"/>
  <c r="AV200" i="22"/>
  <c r="Q209" i="22"/>
  <c r="AL227" i="22"/>
  <c r="AM227" i="22" s="1"/>
  <c r="Q171" i="22"/>
  <c r="Q175" i="22"/>
  <c r="Q179" i="22"/>
  <c r="Q183" i="22"/>
  <c r="Q187" i="22"/>
  <c r="Q191" i="22"/>
  <c r="AL209" i="22"/>
  <c r="AM209" i="22" s="1"/>
  <c r="AL219" i="22"/>
  <c r="AM219" i="22" s="1"/>
  <c r="Q122" i="22"/>
  <c r="Q126" i="22"/>
  <c r="Q130" i="22"/>
  <c r="Q134" i="22"/>
  <c r="Q138" i="22"/>
  <c r="Q142" i="22"/>
  <c r="Q146" i="22"/>
  <c r="Q150" i="22"/>
  <c r="Q154" i="22"/>
  <c r="Q158" i="22"/>
  <c r="Q162" i="22"/>
  <c r="Q166" i="22"/>
  <c r="Q170" i="22"/>
  <c r="Q174" i="22"/>
  <c r="Q178" i="22"/>
  <c r="Q182" i="22"/>
  <c r="Q186" i="22"/>
  <c r="Q190" i="22"/>
  <c r="Q194" i="22"/>
  <c r="AL222" i="22"/>
  <c r="Q193" i="22"/>
  <c r="AV209" i="22"/>
  <c r="AM231" i="22"/>
  <c r="AK201" i="22"/>
  <c r="AK202" i="22"/>
  <c r="AK203" i="22"/>
  <c r="AK204" i="22"/>
  <c r="AK205" i="22"/>
  <c r="Q211" i="22"/>
  <c r="AV211" i="22"/>
  <c r="AM212" i="22"/>
  <c r="Q213" i="22"/>
  <c r="AV213" i="22"/>
  <c r="AM214" i="22"/>
  <c r="Q215" i="22"/>
  <c r="AV215" i="22"/>
  <c r="Q218" i="22"/>
  <c r="AV218" i="22"/>
  <c r="Q220" i="22"/>
  <c r="AV220" i="22"/>
  <c r="Q223" i="22"/>
  <c r="AK223" i="22"/>
  <c r="AV223" i="22"/>
  <c r="Q226" i="22"/>
  <c r="AV226" i="22"/>
  <c r="Q228" i="22"/>
  <c r="AV228" i="22"/>
  <c r="Q197" i="22"/>
  <c r="Q210" i="22"/>
  <c r="AJ217" i="22"/>
  <c r="AJ222" i="22"/>
  <c r="Q224" i="22"/>
  <c r="AK224" i="22"/>
  <c r="AV224" i="22"/>
  <c r="Q201" i="22"/>
  <c r="Q202" i="22"/>
  <c r="Q203" i="22"/>
  <c r="Q204" i="22"/>
  <c r="Q205" i="22"/>
  <c r="Q206" i="22"/>
  <c r="AL5" i="22"/>
  <c r="AM5" i="22" s="1"/>
  <c r="AV5" i="22"/>
  <c r="AL6" i="22"/>
  <c r="AM6" i="22" s="1"/>
  <c r="AV6" i="22"/>
  <c r="AL7" i="22"/>
  <c r="AM7" i="22" s="1"/>
  <c r="AV7" i="22"/>
  <c r="AL8" i="22"/>
  <c r="AM8" i="22" s="1"/>
  <c r="AV8" i="22"/>
  <c r="AL9" i="22"/>
  <c r="AM9" i="22" s="1"/>
  <c r="AV9" i="22"/>
  <c r="AL10" i="22"/>
  <c r="AM10" i="22" s="1"/>
  <c r="AV10" i="22"/>
  <c r="AL11" i="22"/>
  <c r="AM11" i="22" s="1"/>
  <c r="AV11" i="22"/>
  <c r="AL12" i="22"/>
  <c r="AM12" i="22" s="1"/>
  <c r="AV12" i="22"/>
  <c r="AL13" i="22"/>
  <c r="AM13" i="22" s="1"/>
  <c r="AV13" i="22"/>
  <c r="AL14" i="22"/>
  <c r="AM14" i="22" s="1"/>
  <c r="AV14" i="22"/>
  <c r="AL15" i="22"/>
  <c r="AM15" i="22" s="1"/>
  <c r="AV15" i="22"/>
  <c r="AL16" i="22"/>
  <c r="AM16" i="22" s="1"/>
  <c r="AV16" i="22"/>
  <c r="AL17" i="22"/>
  <c r="AM17" i="22" s="1"/>
  <c r="AV17" i="22"/>
  <c r="AL18" i="22"/>
  <c r="AM18" i="22" s="1"/>
  <c r="AV18" i="22"/>
  <c r="AL19" i="22"/>
  <c r="AM19" i="22" s="1"/>
  <c r="AV19" i="22"/>
  <c r="AL20" i="22"/>
  <c r="AM20" i="22" s="1"/>
  <c r="AV20" i="22"/>
  <c r="AL21" i="22"/>
  <c r="AM21" i="22" s="1"/>
  <c r="AV21" i="22"/>
  <c r="AL22" i="22"/>
  <c r="AM22" i="22" s="1"/>
  <c r="AV22" i="22"/>
  <c r="AV197" i="22"/>
  <c r="Q198" i="22"/>
  <c r="AV210" i="22"/>
  <c r="AL211" i="22"/>
  <c r="AM211" i="22" s="1"/>
  <c r="Q212" i="22"/>
  <c r="AV212" i="22"/>
  <c r="AL213" i="22"/>
  <c r="AM213" i="22" s="1"/>
  <c r="Q214" i="22"/>
  <c r="AV214" i="22"/>
  <c r="AL215" i="22"/>
  <c r="AM215" i="22" s="1"/>
  <c r="Q216" i="22"/>
  <c r="AK216" i="22"/>
  <c r="AV216" i="22"/>
  <c r="AL218" i="22"/>
  <c r="AM218" i="22" s="1"/>
  <c r="Q219" i="22"/>
  <c r="AV219" i="22"/>
  <c r="AL220" i="22"/>
  <c r="AM220" i="22" s="1"/>
  <c r="Q221" i="22"/>
  <c r="AK221" i="22"/>
  <c r="AV221" i="22"/>
  <c r="AL223" i="22"/>
  <c r="Q225" i="22"/>
  <c r="AV225" i="22"/>
  <c r="AL226" i="22"/>
  <c r="AM226" i="22" s="1"/>
  <c r="Q227" i="22"/>
  <c r="AV227" i="22"/>
  <c r="AL228" i="22"/>
  <c r="AM228" i="22" s="1"/>
  <c r="AM229" i="22"/>
  <c r="AM230" i="22"/>
  <c r="AL23" i="22"/>
  <c r="AM23" i="22" s="1"/>
  <c r="AV23" i="22"/>
  <c r="AL24" i="22"/>
  <c r="AM24" i="22" s="1"/>
  <c r="AV24" i="22"/>
  <c r="AL25" i="22"/>
  <c r="AM25" i="22" s="1"/>
  <c r="AV25" i="22"/>
  <c r="AL26" i="22"/>
  <c r="AM26" i="22" s="1"/>
  <c r="AV26" i="22"/>
  <c r="AL27" i="22"/>
  <c r="AM27" i="22" s="1"/>
  <c r="AV27" i="22"/>
  <c r="AL28" i="22"/>
  <c r="AM28" i="22" s="1"/>
  <c r="AV28" i="22"/>
  <c r="AL29" i="22"/>
  <c r="AM29" i="22" s="1"/>
  <c r="AV29" i="22"/>
  <c r="AL30" i="22"/>
  <c r="AM30" i="22" s="1"/>
  <c r="AV30" i="22"/>
  <c r="AL31" i="22"/>
  <c r="AM31" i="22" s="1"/>
  <c r="AV31" i="22"/>
  <c r="AL32" i="22"/>
  <c r="AM32" i="22" s="1"/>
  <c r="AV32" i="22"/>
  <c r="AL33" i="22"/>
  <c r="AM33" i="22" s="1"/>
  <c r="AV33" i="22"/>
  <c r="AL34" i="22"/>
  <c r="AM34" i="22" s="1"/>
  <c r="AV34" i="22"/>
  <c r="AL35" i="22"/>
  <c r="AM35" i="22" s="1"/>
  <c r="AV35" i="22"/>
  <c r="AL36" i="22"/>
  <c r="AM36" i="22" s="1"/>
  <c r="AV36" i="22"/>
  <c r="AL37" i="22"/>
  <c r="AM37" i="22" s="1"/>
  <c r="AV37" i="22"/>
  <c r="AL38" i="22"/>
  <c r="AM38" i="22" s="1"/>
  <c r="AV38" i="22"/>
  <c r="AL39" i="22"/>
  <c r="AM39" i="22" s="1"/>
  <c r="AV39" i="22"/>
  <c r="AL40" i="22"/>
  <c r="AM40" i="22" s="1"/>
  <c r="AV40" i="22"/>
  <c r="AL41" i="22"/>
  <c r="AM41" i="22" s="1"/>
  <c r="AV41" i="22"/>
  <c r="AL42" i="22"/>
  <c r="AM42" i="22" s="1"/>
  <c r="AV42" i="22"/>
  <c r="AL43" i="22"/>
  <c r="AM43" i="22" s="1"/>
  <c r="AV43" i="22"/>
  <c r="AL44" i="22"/>
  <c r="AM44" i="22" s="1"/>
  <c r="AV44" i="22"/>
  <c r="AL45" i="22"/>
  <c r="AM45" i="22" s="1"/>
  <c r="AV45" i="22"/>
  <c r="AL46" i="22"/>
  <c r="AM46" i="22" s="1"/>
  <c r="AV46" i="22"/>
  <c r="AL47" i="22"/>
  <c r="AM47" i="22" s="1"/>
  <c r="AV47" i="22"/>
  <c r="AL48" i="22"/>
  <c r="AM48" i="22" s="1"/>
  <c r="AV48" i="22"/>
  <c r="AL49" i="22"/>
  <c r="AM49" i="22" s="1"/>
  <c r="AV49" i="22"/>
  <c r="AL50" i="22"/>
  <c r="AM50" i="22" s="1"/>
  <c r="AV50" i="22"/>
  <c r="AL51" i="22"/>
  <c r="AM51" i="22" s="1"/>
  <c r="AV51" i="22"/>
  <c r="AL52" i="22"/>
  <c r="AM52" i="22" s="1"/>
  <c r="AV52" i="22"/>
  <c r="AL53" i="22"/>
  <c r="AM53" i="22" s="1"/>
  <c r="AV53" i="22"/>
  <c r="AL54" i="22"/>
  <c r="AM54" i="22" s="1"/>
  <c r="AV54" i="22"/>
  <c r="AL55" i="22"/>
  <c r="AM55" i="22" s="1"/>
  <c r="AV55" i="22"/>
  <c r="AL56" i="22"/>
  <c r="AM56" i="22" s="1"/>
  <c r="AV56" i="22"/>
  <c r="AL57" i="22"/>
  <c r="AM57" i="22" s="1"/>
  <c r="AV57" i="22"/>
  <c r="AL58" i="22"/>
  <c r="AM58" i="22" s="1"/>
  <c r="AV58" i="22"/>
  <c r="AL59" i="22"/>
  <c r="AM59" i="22" s="1"/>
  <c r="AV59" i="22"/>
  <c r="AL60" i="22"/>
  <c r="AM60" i="22" s="1"/>
  <c r="AV60" i="22"/>
  <c r="AL61" i="22"/>
  <c r="AM61" i="22" s="1"/>
  <c r="AV61" i="22"/>
  <c r="AL62" i="22"/>
  <c r="AM62" i="22" s="1"/>
  <c r="AV62" i="22"/>
  <c r="AL63" i="22"/>
  <c r="AM63" i="22" s="1"/>
  <c r="AV63" i="22"/>
  <c r="AL64" i="22"/>
  <c r="AM64" i="22" s="1"/>
  <c r="AV64" i="22"/>
  <c r="AL65" i="22"/>
  <c r="AM65" i="22" s="1"/>
  <c r="AV65" i="22"/>
  <c r="AL66" i="22"/>
  <c r="AM66" i="22" s="1"/>
  <c r="AV66" i="22"/>
  <c r="AL67" i="22"/>
  <c r="AM67" i="22" s="1"/>
  <c r="AV67" i="22"/>
  <c r="AL68" i="22"/>
  <c r="AM68" i="22" s="1"/>
  <c r="AV68" i="22"/>
  <c r="AL69" i="22"/>
  <c r="AM69" i="22" s="1"/>
  <c r="AV69" i="22"/>
  <c r="AL70" i="22"/>
  <c r="AV70" i="22"/>
  <c r="AL71" i="22"/>
  <c r="AV71" i="22"/>
  <c r="AL72" i="22"/>
  <c r="AM72" i="22" s="1"/>
  <c r="AV72" i="22"/>
  <c r="AL73" i="22"/>
  <c r="AM73" i="22" s="1"/>
  <c r="AV73" i="22"/>
  <c r="AL74" i="22"/>
  <c r="AM74" i="22" s="1"/>
  <c r="AV74" i="22"/>
  <c r="AL75" i="22"/>
  <c r="AM75" i="22" s="1"/>
  <c r="AV75" i="22"/>
  <c r="AL76" i="22"/>
  <c r="AM76" i="22" s="1"/>
  <c r="AV76" i="22"/>
  <c r="AL77" i="22"/>
  <c r="AM77" i="22" s="1"/>
  <c r="AV77" i="22"/>
  <c r="AL78" i="22"/>
  <c r="AM78" i="22" s="1"/>
  <c r="AV78" i="22"/>
  <c r="AL79" i="22"/>
  <c r="AM79" i="22" s="1"/>
  <c r="AV79" i="22"/>
  <c r="AL80" i="22"/>
  <c r="AM80" i="22" s="1"/>
  <c r="AV80" i="22"/>
  <c r="AL81" i="22"/>
  <c r="AM81" i="22" s="1"/>
  <c r="AV81" i="22"/>
  <c r="AL82" i="22"/>
  <c r="AM82" i="22" s="1"/>
  <c r="AV82" i="22"/>
  <c r="AL83" i="22"/>
  <c r="AM83" i="22" s="1"/>
  <c r="AV83" i="22"/>
  <c r="AL84" i="22"/>
  <c r="AM84" i="22" s="1"/>
  <c r="AV84" i="22"/>
  <c r="AL85" i="22"/>
  <c r="AM85" i="22" s="1"/>
  <c r="AV85" i="22"/>
  <c r="AL86" i="22"/>
  <c r="AM86" i="22" s="1"/>
  <c r="AV86" i="22"/>
  <c r="AL87" i="22"/>
  <c r="AM87" i="22" s="1"/>
  <c r="AV87" i="22"/>
  <c r="AL88" i="22"/>
  <c r="AM88" i="22" s="1"/>
  <c r="AV88" i="22"/>
  <c r="AL89" i="22"/>
  <c r="AM89" i="22" s="1"/>
  <c r="AV89" i="22"/>
  <c r="AL90" i="22"/>
  <c r="AM90" i="22" s="1"/>
  <c r="AV90" i="22"/>
  <c r="AL91" i="22"/>
  <c r="AM91" i="22" s="1"/>
  <c r="AV91" i="22"/>
  <c r="AL92" i="22"/>
  <c r="AM92" i="22" s="1"/>
  <c r="AV92" i="22"/>
  <c r="AL93" i="22"/>
  <c r="AM93" i="22" s="1"/>
  <c r="AV93" i="22"/>
  <c r="AL94" i="22"/>
  <c r="AM94" i="22" s="1"/>
  <c r="AV94" i="22"/>
  <c r="AL95" i="22"/>
  <c r="AM95" i="22" s="1"/>
  <c r="AV95" i="22"/>
  <c r="AL96" i="22"/>
  <c r="AM96" i="22" s="1"/>
  <c r="AV96" i="22"/>
  <c r="AL97" i="22"/>
  <c r="AM97" i="22" s="1"/>
  <c r="AV97" i="22"/>
  <c r="AL98" i="22"/>
  <c r="AM98" i="22" s="1"/>
  <c r="AV98" i="22"/>
  <c r="AL99" i="22"/>
  <c r="AM99" i="22" s="1"/>
  <c r="AV99" i="22"/>
  <c r="AL100" i="22"/>
  <c r="AM100" i="22" s="1"/>
  <c r="AV100" i="22"/>
  <c r="AL101" i="22"/>
  <c r="AM101" i="22" s="1"/>
  <c r="AV101" i="22"/>
  <c r="AL102" i="22"/>
  <c r="AM102" i="22" s="1"/>
  <c r="AV102" i="22"/>
  <c r="AL103" i="22"/>
  <c r="AM103" i="22" s="1"/>
  <c r="AV103" i="22"/>
  <c r="AL104" i="22"/>
  <c r="AM104" i="22" s="1"/>
  <c r="AV104" i="22"/>
  <c r="AL105" i="22"/>
  <c r="AM105" i="22" s="1"/>
  <c r="AV105" i="22"/>
  <c r="AL106" i="22"/>
  <c r="AM106" i="22" s="1"/>
  <c r="AV106" i="22"/>
  <c r="AL107" i="22"/>
  <c r="AM107" i="22" s="1"/>
  <c r="AV107" i="22"/>
  <c r="AL108" i="22"/>
  <c r="AM108" i="22" s="1"/>
  <c r="AV108" i="22"/>
  <c r="AL109" i="22"/>
  <c r="AM109" i="22" s="1"/>
  <c r="AV109" i="22"/>
  <c r="AL110" i="22"/>
  <c r="AM110" i="22" s="1"/>
  <c r="AV110" i="22"/>
  <c r="AL111" i="22"/>
  <c r="AM111" i="22" s="1"/>
  <c r="AV111" i="22"/>
  <c r="AL112" i="22"/>
  <c r="AM112" i="22" s="1"/>
  <c r="AV112" i="22"/>
  <c r="AL113" i="22"/>
  <c r="AM113" i="22" s="1"/>
  <c r="AV113" i="22"/>
  <c r="AL114" i="22"/>
  <c r="AM114" i="22" s="1"/>
  <c r="AV114" i="22"/>
  <c r="AL115" i="22"/>
  <c r="AM115" i="22" s="1"/>
  <c r="AV115" i="22"/>
  <c r="AL116" i="22"/>
  <c r="AM116" i="22" s="1"/>
  <c r="AV116" i="22"/>
  <c r="AL117" i="22"/>
  <c r="AM117" i="22" s="1"/>
  <c r="AV117" i="22"/>
  <c r="AL118" i="22"/>
  <c r="AM118" i="22" s="1"/>
  <c r="AV118" i="22"/>
  <c r="AL119" i="22"/>
  <c r="AM119" i="22" s="1"/>
  <c r="AV119" i="22"/>
  <c r="AL120" i="22"/>
  <c r="AM120" i="22" s="1"/>
  <c r="AV120" i="22"/>
  <c r="AL121" i="22"/>
  <c r="AM121" i="22" s="1"/>
  <c r="AV121" i="22"/>
  <c r="AL122" i="22"/>
  <c r="AM122" i="22" s="1"/>
  <c r="AV122" i="22"/>
  <c r="AL123" i="22"/>
  <c r="AM123" i="22" s="1"/>
  <c r="AV123" i="22"/>
  <c r="AL124" i="22"/>
  <c r="AM124" i="22" s="1"/>
  <c r="AV124" i="22"/>
  <c r="AL125" i="22"/>
  <c r="AM125" i="22" s="1"/>
  <c r="AV125" i="22"/>
  <c r="AL126" i="22"/>
  <c r="AM126" i="22" s="1"/>
  <c r="AV126" i="22"/>
  <c r="AL127" i="22"/>
  <c r="AM127" i="22" s="1"/>
  <c r="AV127" i="22"/>
  <c r="AL128" i="22"/>
  <c r="AM128" i="22" s="1"/>
  <c r="AV128" i="22"/>
  <c r="AL129" i="22"/>
  <c r="AM129" i="22" s="1"/>
  <c r="AV129" i="22"/>
  <c r="AL130" i="22"/>
  <c r="AM130" i="22" s="1"/>
  <c r="AV130" i="22"/>
  <c r="AL131" i="22"/>
  <c r="AM131" i="22" s="1"/>
  <c r="AV131" i="22"/>
  <c r="AL132" i="22"/>
  <c r="AM132" i="22" s="1"/>
  <c r="AV132" i="22"/>
  <c r="AL133" i="22"/>
  <c r="AM133" i="22" s="1"/>
  <c r="AV133" i="22"/>
  <c r="AL134" i="22"/>
  <c r="AM134" i="22" s="1"/>
  <c r="AV134" i="22"/>
  <c r="AL135" i="22"/>
  <c r="AM135" i="22" s="1"/>
  <c r="AV135" i="22"/>
  <c r="AL136" i="22"/>
  <c r="AM136" i="22" s="1"/>
  <c r="AV136" i="22"/>
  <c r="AL137" i="22"/>
  <c r="AM137" i="22" s="1"/>
  <c r="AV137" i="22"/>
  <c r="AL138" i="22"/>
  <c r="AM138" i="22" s="1"/>
  <c r="AV138" i="22"/>
  <c r="AL139" i="22"/>
  <c r="AM139" i="22" s="1"/>
  <c r="AV139" i="22"/>
  <c r="AL140" i="22"/>
  <c r="AM140" i="22" s="1"/>
  <c r="AV140" i="22"/>
  <c r="AL141" i="22"/>
  <c r="AM141" i="22" s="1"/>
  <c r="AV141" i="22"/>
  <c r="AL142" i="22"/>
  <c r="AM142" i="22" s="1"/>
  <c r="AV142" i="22"/>
  <c r="AL143" i="22"/>
  <c r="AM143" i="22" s="1"/>
  <c r="AV143" i="22"/>
  <c r="AL144" i="22"/>
  <c r="AM144" i="22" s="1"/>
  <c r="AV144" i="22"/>
  <c r="AL145" i="22"/>
  <c r="AM145" i="22" s="1"/>
  <c r="AV145" i="22"/>
  <c r="AL146" i="22"/>
  <c r="AM146" i="22" s="1"/>
  <c r="AV146" i="22"/>
  <c r="AL147" i="22"/>
  <c r="AM147" i="22" s="1"/>
  <c r="AV147" i="22"/>
  <c r="AL148" i="22"/>
  <c r="AM148" i="22" s="1"/>
  <c r="AV148" i="22"/>
  <c r="AL149" i="22"/>
  <c r="AM149" i="22" s="1"/>
  <c r="AV149" i="22"/>
  <c r="AL150" i="22"/>
  <c r="AM150" i="22" s="1"/>
  <c r="AV150" i="22"/>
  <c r="AL151" i="22"/>
  <c r="AM151" i="22" s="1"/>
  <c r="AV151" i="22"/>
  <c r="AL152" i="22"/>
  <c r="AM152" i="22" s="1"/>
  <c r="AV152" i="22"/>
  <c r="AL153" i="22"/>
  <c r="AM153" i="22" s="1"/>
  <c r="AV153" i="22"/>
  <c r="AL154" i="22"/>
  <c r="AM154" i="22" s="1"/>
  <c r="AV154" i="22"/>
  <c r="AL155" i="22"/>
  <c r="AM155" i="22" s="1"/>
  <c r="AV155" i="22"/>
  <c r="AL156" i="22"/>
  <c r="AM156" i="22" s="1"/>
  <c r="AV156" i="22"/>
  <c r="AL157" i="22"/>
  <c r="AM157" i="22" s="1"/>
  <c r="AV157" i="22"/>
  <c r="AL158" i="22"/>
  <c r="AM158" i="22" s="1"/>
  <c r="AV158" i="22"/>
  <c r="AL159" i="22"/>
  <c r="AM159" i="22" s="1"/>
  <c r="AV159" i="22"/>
  <c r="AL160" i="22"/>
  <c r="AM160" i="22" s="1"/>
  <c r="AV160" i="22"/>
  <c r="AL161" i="22"/>
  <c r="AM161" i="22" s="1"/>
  <c r="AV161" i="22"/>
  <c r="AL162" i="22"/>
  <c r="AM162" i="22" s="1"/>
  <c r="AV162" i="22"/>
  <c r="AL163" i="22"/>
  <c r="AM163" i="22" s="1"/>
  <c r="AV163" i="22"/>
  <c r="AL164" i="22"/>
  <c r="AM164" i="22" s="1"/>
  <c r="AV164" i="22"/>
  <c r="AL165" i="22"/>
  <c r="AM165" i="22" s="1"/>
  <c r="AV165" i="22"/>
  <c r="AL166" i="22"/>
  <c r="AM166" i="22" s="1"/>
  <c r="AV166" i="22"/>
  <c r="AL167" i="22"/>
  <c r="AM167" i="22" s="1"/>
  <c r="AV167" i="22"/>
  <c r="AL168" i="22"/>
  <c r="AM168" i="22" s="1"/>
  <c r="AV168" i="22"/>
  <c r="AL169" i="22"/>
  <c r="AM169" i="22" s="1"/>
  <c r="AV169" i="22"/>
  <c r="AL170" i="22"/>
  <c r="AM170" i="22" s="1"/>
  <c r="AV170" i="22"/>
  <c r="AL171" i="22"/>
  <c r="AM171" i="22" s="1"/>
  <c r="AV171" i="22"/>
  <c r="AL172" i="22"/>
  <c r="AM172" i="22" s="1"/>
  <c r="AV172" i="22"/>
  <c r="AL173" i="22"/>
  <c r="AM173" i="22" s="1"/>
  <c r="AV173" i="22"/>
  <c r="AL174" i="22"/>
  <c r="AM174" i="22" s="1"/>
  <c r="AV174" i="22"/>
  <c r="AL175" i="22"/>
  <c r="AM175" i="22" s="1"/>
  <c r="AV175" i="22"/>
  <c r="AL176" i="22"/>
  <c r="AM176" i="22" s="1"/>
  <c r="AV176" i="22"/>
  <c r="AL177" i="22"/>
  <c r="AM177" i="22" s="1"/>
  <c r="AV177" i="22"/>
  <c r="AL178" i="22"/>
  <c r="AM178" i="22" s="1"/>
  <c r="AV178" i="22"/>
  <c r="AL179" i="22"/>
  <c r="AM179" i="22" s="1"/>
  <c r="AV179" i="22"/>
  <c r="AL180" i="22"/>
  <c r="AM180" i="22" s="1"/>
  <c r="AV180" i="22"/>
  <c r="AL181" i="22"/>
  <c r="AM181" i="22" s="1"/>
  <c r="AV181" i="22"/>
  <c r="AL182" i="22"/>
  <c r="AM182" i="22" s="1"/>
  <c r="AV182" i="22"/>
  <c r="AL183" i="22"/>
  <c r="AM183" i="22" s="1"/>
  <c r="AV183" i="22"/>
  <c r="AL184" i="22"/>
  <c r="AM184" i="22" s="1"/>
  <c r="AV184" i="22"/>
  <c r="AL185" i="22"/>
  <c r="AM185" i="22" s="1"/>
  <c r="AV185" i="22"/>
  <c r="AL186" i="22"/>
  <c r="AM186" i="22" s="1"/>
  <c r="AV186" i="22"/>
  <c r="AL187" i="22"/>
  <c r="AM187" i="22" s="1"/>
  <c r="AV187" i="22"/>
  <c r="AL188" i="22"/>
  <c r="AM188" i="22" s="1"/>
  <c r="AV188" i="22"/>
  <c r="AL189" i="22"/>
  <c r="AM189" i="22" s="1"/>
  <c r="AV189" i="22"/>
  <c r="AL190" i="22"/>
  <c r="AM190" i="22" s="1"/>
  <c r="AV190" i="22"/>
  <c r="AL191" i="22"/>
  <c r="AM191" i="22" s="1"/>
  <c r="AV191" i="22"/>
  <c r="AL192" i="22"/>
  <c r="AM192" i="22" s="1"/>
  <c r="AV192" i="22"/>
  <c r="AL193" i="22"/>
  <c r="AM193" i="22" s="1"/>
  <c r="AV193" i="22"/>
  <c r="AL194" i="22"/>
  <c r="AM194" i="22" s="1"/>
  <c r="AV194" i="22"/>
  <c r="W195" i="22"/>
  <c r="AU195" i="22" s="1"/>
  <c r="AV201" i="22"/>
  <c r="AV202" i="22"/>
  <c r="AV203" i="22"/>
  <c r="AV204" i="22"/>
  <c r="AV205" i="22"/>
  <c r="AV206" i="22"/>
  <c r="Q207" i="22"/>
  <c r="W208" i="22"/>
  <c r="AU208" i="22" s="1"/>
  <c r="Q195" i="22"/>
  <c r="W196" i="22"/>
  <c r="AL197" i="22"/>
  <c r="AM197" i="22" s="1"/>
  <c r="AV198" i="22"/>
  <c r="Q199" i="22"/>
  <c r="AL201" i="22"/>
  <c r="AL202" i="22"/>
  <c r="AL203" i="22"/>
  <c r="AL204" i="22"/>
  <c r="AL205" i="22"/>
  <c r="AL206" i="22"/>
  <c r="AM206" i="22" s="1"/>
  <c r="W207" i="22"/>
  <c r="AU207" i="22" s="1"/>
  <c r="AV207" i="22"/>
  <c r="Q208" i="22"/>
  <c r="AL210" i="22"/>
  <c r="AM210" i="22" s="1"/>
  <c r="W214" i="22"/>
  <c r="Q217" i="22"/>
  <c r="AK217" i="22"/>
  <c r="AV217" i="22"/>
  <c r="Q222" i="22"/>
  <c r="AK222" i="22"/>
  <c r="AV222" i="22"/>
  <c r="AL224" i="22"/>
  <c r="W225" i="22"/>
  <c r="AU225" i="22" s="1"/>
  <c r="W91" i="22" l="1"/>
  <c r="W200" i="22"/>
  <c r="AU200" i="22" s="1"/>
  <c r="W89" i="22"/>
  <c r="W100" i="22"/>
  <c r="W58" i="22"/>
  <c r="AU58" i="22" s="1"/>
  <c r="W69" i="22"/>
  <c r="AU69" i="22" s="1"/>
  <c r="W209" i="22"/>
  <c r="AU209" i="22" s="1"/>
  <c r="W96" i="22"/>
  <c r="AU96" i="22" s="1"/>
  <c r="W88" i="22"/>
  <c r="AU88" i="22" s="1"/>
  <c r="W38" i="22"/>
  <c r="W86" i="22"/>
  <c r="W220" i="22"/>
  <c r="W198" i="22"/>
  <c r="AU198" i="22" s="1"/>
  <c r="W136" i="22"/>
  <c r="AU136" i="22" s="1"/>
  <c r="W59" i="22"/>
  <c r="AU59" i="22" s="1"/>
  <c r="W39" i="22"/>
  <c r="AU39" i="22" s="1"/>
  <c r="W35" i="22"/>
  <c r="W11" i="22"/>
  <c r="AU11" i="22" s="1"/>
  <c r="W7" i="22"/>
  <c r="AU7" i="22" s="1"/>
  <c r="W98" i="22"/>
  <c r="AU98" i="22" s="1"/>
  <c r="W124" i="22"/>
  <c r="AU124" i="22" s="1"/>
  <c r="W222" i="22"/>
  <c r="AU222" i="22" s="1"/>
  <c r="W101" i="22"/>
  <c r="AU101" i="22" s="1"/>
  <c r="W75" i="22"/>
  <c r="AU75" i="22" s="1"/>
  <c r="W212" i="22"/>
  <c r="AU212" i="22" s="1"/>
  <c r="W213" i="22"/>
  <c r="AU213" i="22" s="1"/>
  <c r="W123" i="22"/>
  <c r="AU123" i="22" s="1"/>
  <c r="W76" i="22"/>
  <c r="W53" i="22"/>
  <c r="W33" i="22"/>
  <c r="AU33" i="22" s="1"/>
  <c r="W25" i="22"/>
  <c r="AU25" i="22" s="1"/>
  <c r="W9" i="22"/>
  <c r="AU9" i="22" s="1"/>
  <c r="W90" i="22"/>
  <c r="AU90" i="22" s="1"/>
  <c r="W122" i="22"/>
  <c r="AU122" i="22" s="1"/>
  <c r="W95" i="22"/>
  <c r="AU95" i="22" s="1"/>
  <c r="AJ70" i="22"/>
  <c r="AM70" i="22" s="1"/>
  <c r="W70" i="22"/>
  <c r="AU70" i="22" s="1"/>
  <c r="W87" i="22"/>
  <c r="AU87" i="22" s="1"/>
  <c r="W158" i="22"/>
  <c r="AU158" i="22" s="1"/>
  <c r="W221" i="22"/>
  <c r="AU221" i="22" s="1"/>
  <c r="W223" i="22"/>
  <c r="AU223" i="22" s="1"/>
  <c r="W215" i="22"/>
  <c r="AU215" i="22" s="1"/>
  <c r="W143" i="22"/>
  <c r="AU143" i="22" s="1"/>
  <c r="W64" i="22"/>
  <c r="AU64" i="22" s="1"/>
  <c r="W40" i="22"/>
  <c r="AU40" i="22" s="1"/>
  <c r="W36" i="22"/>
  <c r="AU36" i="22" s="1"/>
  <c r="W32" i="22"/>
  <c r="AU32" i="22" s="1"/>
  <c r="W20" i="22"/>
  <c r="AU20" i="22" s="1"/>
  <c r="W8" i="22"/>
  <c r="AU8" i="22" s="1"/>
  <c r="W121" i="22"/>
  <c r="AU121" i="22" s="1"/>
  <c r="W94" i="22"/>
  <c r="AU94" i="22" s="1"/>
  <c r="AJ71" i="22"/>
  <c r="AM71" i="22" s="1"/>
  <c r="W71" i="22"/>
  <c r="AU71" i="22" s="1"/>
  <c r="W68" i="22"/>
  <c r="AU68" i="22" s="1"/>
  <c r="W178" i="22"/>
  <c r="AU178" i="22" s="1"/>
  <c r="W170" i="22"/>
  <c r="AU170" i="22" s="1"/>
  <c r="W146" i="22"/>
  <c r="AU146" i="22" s="1"/>
  <c r="W138" i="22"/>
  <c r="AU138" i="22" s="1"/>
  <c r="AU196" i="22"/>
  <c r="W227" i="22"/>
  <c r="AU227" i="22" s="1"/>
  <c r="W199" i="22"/>
  <c r="AU199" i="22" s="1"/>
  <c r="W217" i="22"/>
  <c r="AU217" i="22" s="1"/>
  <c r="W41" i="22"/>
  <c r="AU41" i="22" s="1"/>
  <c r="W29" i="22"/>
  <c r="AU29" i="22" s="1"/>
  <c r="W106" i="22"/>
  <c r="AU106" i="22" s="1"/>
  <c r="W74" i="22"/>
  <c r="AU74" i="22" s="1"/>
  <c r="W28" i="22"/>
  <c r="AU28" i="22" s="1"/>
  <c r="W21" i="22"/>
  <c r="AU21" i="22" s="1"/>
  <c r="W162" i="22"/>
  <c r="AU162" i="22" s="1"/>
  <c r="W130" i="22"/>
  <c r="AU130" i="22" s="1"/>
  <c r="W186" i="22"/>
  <c r="AU186" i="22" s="1"/>
  <c r="W154" i="22"/>
  <c r="AU154" i="22" s="1"/>
  <c r="W56" i="22"/>
  <c r="AU56" i="22" s="1"/>
  <c r="W206" i="22"/>
  <c r="AU206" i="22" s="1"/>
  <c r="W12" i="22"/>
  <c r="AU12" i="22" s="1"/>
  <c r="W43" i="22"/>
  <c r="AU43" i="22" s="1"/>
  <c r="W114" i="22"/>
  <c r="AU114" i="22" s="1"/>
  <c r="W82" i="22"/>
  <c r="AU82" i="22" s="1"/>
  <c r="W48" i="22"/>
  <c r="AU48" i="22" s="1"/>
  <c r="AJ223" i="22"/>
  <c r="AM223" i="22" s="1"/>
  <c r="W193" i="22"/>
  <c r="AU193" i="22" s="1"/>
  <c r="AJ205" i="22"/>
  <c r="AM205" i="22" s="1"/>
  <c r="W205" i="22"/>
  <c r="AU205" i="22" s="1"/>
  <c r="AJ203" i="22"/>
  <c r="AM203" i="22" s="1"/>
  <c r="W203" i="22"/>
  <c r="AU203" i="22" s="1"/>
  <c r="AJ201" i="22"/>
  <c r="AM201" i="22" s="1"/>
  <c r="W201" i="22"/>
  <c r="AU201" i="22" s="1"/>
  <c r="W197" i="22"/>
  <c r="AU197" i="22" s="1"/>
  <c r="AM222" i="22"/>
  <c r="W211" i="22"/>
  <c r="AU211" i="22" s="1"/>
  <c r="W189" i="22"/>
  <c r="AU189" i="22" s="1"/>
  <c r="W181" i="22"/>
  <c r="AU181" i="22" s="1"/>
  <c r="W173" i="22"/>
  <c r="AU173" i="22" s="1"/>
  <c r="W165" i="22"/>
  <c r="AU165" i="22" s="1"/>
  <c r="W157" i="22"/>
  <c r="AU157" i="22" s="1"/>
  <c r="W149" i="22"/>
  <c r="AU149" i="22" s="1"/>
  <c r="W141" i="22"/>
  <c r="AU141" i="22" s="1"/>
  <c r="W133" i="22"/>
  <c r="AU133" i="22" s="1"/>
  <c r="W125" i="22"/>
  <c r="AU125" i="22" s="1"/>
  <c r="W117" i="22"/>
  <c r="AU117" i="22" s="1"/>
  <c r="W109" i="22"/>
  <c r="AU109" i="22" s="1"/>
  <c r="AU93" i="22"/>
  <c r="W85" i="22"/>
  <c r="AU85" i="22" s="1"/>
  <c r="W77" i="22"/>
  <c r="AU77" i="22" s="1"/>
  <c r="W63" i="22"/>
  <c r="AU63" i="22" s="1"/>
  <c r="W55" i="22"/>
  <c r="AU55" i="22" s="1"/>
  <c r="W47" i="22"/>
  <c r="AU47" i="22" s="1"/>
  <c r="W192" i="22"/>
  <c r="AU192" i="22" s="1"/>
  <c r="W184" i="22"/>
  <c r="AU184" i="22" s="1"/>
  <c r="W176" i="22"/>
  <c r="AU176" i="22" s="1"/>
  <c r="W168" i="22"/>
  <c r="AU168" i="22" s="1"/>
  <c r="W160" i="22"/>
  <c r="AU160" i="22" s="1"/>
  <c r="W152" i="22"/>
  <c r="AU152" i="22" s="1"/>
  <c r="W144" i="22"/>
  <c r="AU144" i="22" s="1"/>
  <c r="W128" i="22"/>
  <c r="AU128" i="22" s="1"/>
  <c r="W120" i="22"/>
  <c r="AU120" i="22" s="1"/>
  <c r="W112" i="22"/>
  <c r="AU112" i="22" s="1"/>
  <c r="W104" i="22"/>
  <c r="AU104" i="22" s="1"/>
  <c r="W80" i="22"/>
  <c r="AU80" i="22" s="1"/>
  <c r="W72" i="22"/>
  <c r="AU72" i="22" s="1"/>
  <c r="W66" i="22"/>
  <c r="AU66" i="22" s="1"/>
  <c r="W50" i="22"/>
  <c r="AU50" i="22" s="1"/>
  <c r="W42" i="22"/>
  <c r="AU42" i="22" s="1"/>
  <c r="W34" i="22"/>
  <c r="AU34" i="22" s="1"/>
  <c r="W26" i="22"/>
  <c r="AU26" i="22" s="1"/>
  <c r="W18" i="22"/>
  <c r="AU18" i="22" s="1"/>
  <c r="AU10" i="22"/>
  <c r="W187" i="22"/>
  <c r="AU187" i="22" s="1"/>
  <c r="W179" i="22"/>
  <c r="AU179" i="22" s="1"/>
  <c r="W171" i="22"/>
  <c r="AU171" i="22" s="1"/>
  <c r="W163" i="22"/>
  <c r="AU163" i="22" s="1"/>
  <c r="W155" i="22"/>
  <c r="AU155" i="22" s="1"/>
  <c r="W147" i="22"/>
  <c r="AU147" i="22" s="1"/>
  <c r="W139" i="22"/>
  <c r="AU139" i="22" s="1"/>
  <c r="W131" i="22"/>
  <c r="AU131" i="22" s="1"/>
  <c r="W115" i="22"/>
  <c r="AU115" i="22" s="1"/>
  <c r="W107" i="22"/>
  <c r="AU107" i="22" s="1"/>
  <c r="W99" i="22"/>
  <c r="AU99" i="22" s="1"/>
  <c r="AU91" i="22"/>
  <c r="W83" i="22"/>
  <c r="AU83" i="22" s="1"/>
  <c r="W65" i="22"/>
  <c r="AU65" i="22" s="1"/>
  <c r="W57" i="22"/>
  <c r="AU57" i="22" s="1"/>
  <c r="W49" i="22"/>
  <c r="AU49" i="22" s="1"/>
  <c r="W37" i="22"/>
  <c r="AU37" i="22" s="1"/>
  <c r="W27" i="22"/>
  <c r="AU27" i="22" s="1"/>
  <c r="W19" i="22"/>
  <c r="AU19" i="22" s="1"/>
  <c r="AJ221" i="22"/>
  <c r="AM221" i="22" s="1"/>
  <c r="W216" i="22"/>
  <c r="AU216" i="22" s="1"/>
  <c r="AJ216" i="22"/>
  <c r="AM216" i="22" s="1"/>
  <c r="W219" i="22"/>
  <c r="AU219" i="22" s="1"/>
  <c r="AU214" i="22"/>
  <c r="W224" i="22"/>
  <c r="AU224" i="22" s="1"/>
  <c r="AJ224" i="22"/>
  <c r="AM224" i="22" s="1"/>
  <c r="AU220" i="22"/>
  <c r="W228" i="22"/>
  <c r="AU228" i="22" s="1"/>
  <c r="W218" i="22"/>
  <c r="AU218" i="22" s="1"/>
  <c r="W24" i="22"/>
  <c r="AU24" i="22" s="1"/>
  <c r="W16" i="22"/>
  <c r="AU16" i="22" s="1"/>
  <c r="W15" i="22"/>
  <c r="AU15" i="22" s="1"/>
  <c r="AU35" i="22"/>
  <c r="W17" i="22"/>
  <c r="AU17" i="22" s="1"/>
  <c r="W5" i="22"/>
  <c r="AU5" i="22" s="1"/>
  <c r="W190" i="22"/>
  <c r="AU190" i="22" s="1"/>
  <c r="W182" i="22"/>
  <c r="AU182" i="22" s="1"/>
  <c r="W174" i="22"/>
  <c r="AU174" i="22" s="1"/>
  <c r="W166" i="22"/>
  <c r="AU166" i="22" s="1"/>
  <c r="W150" i="22"/>
  <c r="AU150" i="22" s="1"/>
  <c r="W142" i="22"/>
  <c r="AU142" i="22" s="1"/>
  <c r="W134" i="22"/>
  <c r="AU134" i="22" s="1"/>
  <c r="W126" i="22"/>
  <c r="AU126" i="22" s="1"/>
  <c r="W118" i="22"/>
  <c r="AU118" i="22" s="1"/>
  <c r="W110" i="22"/>
  <c r="AU110" i="22" s="1"/>
  <c r="W102" i="22"/>
  <c r="AU102" i="22" s="1"/>
  <c r="AU86" i="22"/>
  <c r="W78" i="22"/>
  <c r="AU78" i="22" s="1"/>
  <c r="W60" i="22"/>
  <c r="AU60" i="22" s="1"/>
  <c r="W52" i="22"/>
  <c r="AU52" i="22" s="1"/>
  <c r="W44" i="22"/>
  <c r="AU44" i="22" s="1"/>
  <c r="AJ204" i="22"/>
  <c r="AM204" i="22" s="1"/>
  <c r="W204" i="22"/>
  <c r="AU204" i="22" s="1"/>
  <c r="AJ202" i="22"/>
  <c r="AM202" i="22" s="1"/>
  <c r="W202" i="22"/>
  <c r="AU202" i="22" s="1"/>
  <c r="W210" i="22"/>
  <c r="AU210" i="22" s="1"/>
  <c r="W226" i="22"/>
  <c r="AU226" i="22" s="1"/>
  <c r="AM217" i="22"/>
  <c r="W185" i="22"/>
  <c r="AU185" i="22" s="1"/>
  <c r="W177" i="22"/>
  <c r="AU177" i="22" s="1"/>
  <c r="W169" i="22"/>
  <c r="AU169" i="22" s="1"/>
  <c r="W161" i="22"/>
  <c r="AU161" i="22" s="1"/>
  <c r="W153" i="22"/>
  <c r="AU153" i="22" s="1"/>
  <c r="W145" i="22"/>
  <c r="AU145" i="22" s="1"/>
  <c r="W137" i="22"/>
  <c r="AU137" i="22" s="1"/>
  <c r="W129" i="22"/>
  <c r="AU129" i="22" s="1"/>
  <c r="W113" i="22"/>
  <c r="AU113" i="22" s="1"/>
  <c r="W105" i="22"/>
  <c r="AU105" i="22" s="1"/>
  <c r="W97" i="22"/>
  <c r="AU97" i="22" s="1"/>
  <c r="AU89" i="22"/>
  <c r="W81" i="22"/>
  <c r="AU81" i="22" s="1"/>
  <c r="W73" i="22"/>
  <c r="AU73" i="22" s="1"/>
  <c r="W67" i="22"/>
  <c r="AU67" i="22" s="1"/>
  <c r="W51" i="22"/>
  <c r="AU51" i="22" s="1"/>
  <c r="W194" i="22"/>
  <c r="AU194" i="22" s="1"/>
  <c r="W188" i="22"/>
  <c r="AU188" i="22" s="1"/>
  <c r="W180" i="22"/>
  <c r="AU180" i="22" s="1"/>
  <c r="W172" i="22"/>
  <c r="AU172" i="22" s="1"/>
  <c r="W164" i="22"/>
  <c r="AU164" i="22" s="1"/>
  <c r="W156" i="22"/>
  <c r="AU156" i="22" s="1"/>
  <c r="W148" i="22"/>
  <c r="AU148" i="22" s="1"/>
  <c r="W140" i="22"/>
  <c r="AU140" i="22" s="1"/>
  <c r="W132" i="22"/>
  <c r="AU132" i="22" s="1"/>
  <c r="W116" i="22"/>
  <c r="AU116" i="22" s="1"/>
  <c r="W108" i="22"/>
  <c r="AU108" i="22" s="1"/>
  <c r="AU100" i="22"/>
  <c r="AU92" i="22"/>
  <c r="W84" i="22"/>
  <c r="AU84" i="22" s="1"/>
  <c r="AU76" i="22"/>
  <c r="W62" i="22"/>
  <c r="AU62" i="22" s="1"/>
  <c r="W54" i="22"/>
  <c r="AU54" i="22" s="1"/>
  <c r="W46" i="22"/>
  <c r="AU46" i="22" s="1"/>
  <c r="AU38" i="22"/>
  <c r="W30" i="22"/>
  <c r="AU30" i="22" s="1"/>
  <c r="W22" i="22"/>
  <c r="AU22" i="22" s="1"/>
  <c r="W14" i="22"/>
  <c r="AU14" i="22" s="1"/>
  <c r="W6" i="22"/>
  <c r="AU6" i="22" s="1"/>
  <c r="W13" i="22"/>
  <c r="AU13" i="22" s="1"/>
  <c r="W191" i="22"/>
  <c r="AU191" i="22" s="1"/>
  <c r="W183" i="22"/>
  <c r="AU183" i="22" s="1"/>
  <c r="W175" i="22"/>
  <c r="AU175" i="22" s="1"/>
  <c r="W167" i="22"/>
  <c r="AU167" i="22" s="1"/>
  <c r="W159" i="22"/>
  <c r="AU159" i="22" s="1"/>
  <c r="W151" i="22"/>
  <c r="AU151" i="22" s="1"/>
  <c r="W135" i="22"/>
  <c r="AU135" i="22" s="1"/>
  <c r="W127" i="22"/>
  <c r="AU127" i="22" s="1"/>
  <c r="W119" i="22"/>
  <c r="AU119" i="22" s="1"/>
  <c r="W111" i="22"/>
  <c r="AU111" i="22" s="1"/>
  <c r="W103" i="22"/>
  <c r="AU103" i="22" s="1"/>
  <c r="W79" i="22"/>
  <c r="AU79" i="22" s="1"/>
  <c r="W61" i="22"/>
  <c r="AU61" i="22" s="1"/>
  <c r="AU53" i="22"/>
  <c r="W45" i="22"/>
  <c r="AU45" i="22" s="1"/>
  <c r="W31" i="22"/>
  <c r="AU31" i="22" s="1"/>
  <c r="W23" i="22"/>
  <c r="AU23" i="22" s="1"/>
</calcChain>
</file>

<file path=xl/sharedStrings.xml><?xml version="1.0" encoding="utf-8"?>
<sst xmlns="http://schemas.openxmlformats.org/spreadsheetml/2006/main" count="4897" uniqueCount="518">
  <si>
    <t>受入</t>
  </si>
  <si>
    <t>収容数</t>
  </si>
  <si>
    <t>N3</t>
  </si>
  <si>
    <t>1-04-XX</t>
  </si>
  <si>
    <t>F6</t>
  </si>
  <si>
    <t>H7</t>
  </si>
  <si>
    <t>B1</t>
  </si>
  <si>
    <t>C4</t>
  </si>
  <si>
    <t>B4</t>
  </si>
  <si>
    <t>J6</t>
  </si>
  <si>
    <t>T1</t>
  </si>
  <si>
    <t>T3</t>
  </si>
  <si>
    <t>E4</t>
  </si>
  <si>
    <t>L4</t>
  </si>
  <si>
    <t>L2</t>
  </si>
  <si>
    <t>T5</t>
  </si>
  <si>
    <t>X8</t>
  </si>
  <si>
    <t>E2</t>
  </si>
  <si>
    <t>X7</t>
  </si>
  <si>
    <t>仕入先コード</t>
  </si>
  <si>
    <t>仕入先名</t>
  </si>
  <si>
    <t>品番</t>
  </si>
  <si>
    <t>納入サイクル</t>
  </si>
  <si>
    <t>１日</t>
  </si>
  <si>
    <t>２日</t>
  </si>
  <si>
    <t>３日</t>
  </si>
  <si>
    <t>４日</t>
  </si>
  <si>
    <t>５日</t>
  </si>
  <si>
    <t>６日</t>
  </si>
  <si>
    <t>７日</t>
  </si>
  <si>
    <t>８日</t>
  </si>
  <si>
    <t>９日</t>
  </si>
  <si>
    <t>１０日</t>
  </si>
  <si>
    <t>１１日</t>
  </si>
  <si>
    <t>１２日</t>
  </si>
  <si>
    <t>１３日</t>
  </si>
  <si>
    <t>１４日</t>
  </si>
  <si>
    <t>１５日</t>
  </si>
  <si>
    <t>１６日</t>
  </si>
  <si>
    <t>１７日</t>
  </si>
  <si>
    <t>１８日</t>
  </si>
  <si>
    <t>１９日</t>
  </si>
  <si>
    <t>２０日</t>
  </si>
  <si>
    <t>２１日</t>
  </si>
  <si>
    <t>２２日</t>
  </si>
  <si>
    <t>２３日</t>
  </si>
  <si>
    <t>２４日</t>
  </si>
  <si>
    <t>２５日</t>
  </si>
  <si>
    <t>２６日</t>
  </si>
  <si>
    <t>２７日</t>
  </si>
  <si>
    <t>２８日</t>
  </si>
  <si>
    <t>２９日</t>
  </si>
  <si>
    <t>３０日</t>
  </si>
  <si>
    <t>３１日</t>
  </si>
  <si>
    <t>アイシン機工（株）</t>
  </si>
  <si>
    <t>高さ</t>
    <rPh sb="0" eb="1">
      <t>タカ</t>
    </rPh>
    <phoneticPr fontId="6"/>
  </si>
  <si>
    <t>E0</t>
  </si>
  <si>
    <t>N8</t>
  </si>
  <si>
    <t>U8</t>
  </si>
  <si>
    <t>1E</t>
  </si>
  <si>
    <t>P8</t>
  </si>
  <si>
    <t>R8</t>
  </si>
  <si>
    <t>R7</t>
  </si>
  <si>
    <t>N7</t>
  </si>
  <si>
    <t>A0</t>
  </si>
  <si>
    <t>7A</t>
  </si>
  <si>
    <t>2R</t>
  </si>
  <si>
    <t>6W</t>
  </si>
  <si>
    <t>J8</t>
  </si>
  <si>
    <t>9J</t>
  </si>
  <si>
    <t>9F</t>
  </si>
  <si>
    <t>2C</t>
  </si>
  <si>
    <t>5H</t>
  </si>
  <si>
    <t>P4</t>
  </si>
  <si>
    <t>8X</t>
  </si>
  <si>
    <t>5F</t>
  </si>
  <si>
    <t>9L</t>
  </si>
  <si>
    <t>9Z</t>
  </si>
  <si>
    <t>P5</t>
  </si>
  <si>
    <t>X5</t>
  </si>
  <si>
    <t>8V</t>
  </si>
  <si>
    <t>1Y</t>
  </si>
  <si>
    <t>1V</t>
  </si>
  <si>
    <t>B0</t>
  </si>
  <si>
    <t>2</t>
  </si>
  <si>
    <t>4</t>
  </si>
  <si>
    <t>内示個数</t>
    <rPh sb="0" eb="2">
      <t>ナイジ</t>
    </rPh>
    <rPh sb="2" eb="4">
      <t>コスウ</t>
    </rPh>
    <phoneticPr fontId="6"/>
  </si>
  <si>
    <t>内示荷量</t>
    <rPh sb="0" eb="2">
      <t>ナイジ</t>
    </rPh>
    <rPh sb="2" eb="4">
      <t>ニリョウ</t>
    </rPh>
    <phoneticPr fontId="6"/>
  </si>
  <si>
    <t>対象ルート：アイシン岡崎東既存区便（AKK005）　※岡崎東向け2ルートあるうちの１ルート</t>
    <rPh sb="0" eb="2">
      <t>タイショウ</t>
    </rPh>
    <rPh sb="10" eb="13">
      <t>オカザキヒガシ</t>
    </rPh>
    <rPh sb="13" eb="15">
      <t>キソン</t>
    </rPh>
    <rPh sb="15" eb="16">
      <t>ク</t>
    </rPh>
    <rPh sb="16" eb="17">
      <t>ビン</t>
    </rPh>
    <rPh sb="27" eb="31">
      <t>オカザキヒガシム</t>
    </rPh>
    <phoneticPr fontId="6"/>
  </si>
  <si>
    <t>箱体積(m3)</t>
    <rPh sb="0" eb="3">
      <t>ハコタイセキ</t>
    </rPh>
    <phoneticPr fontId="6"/>
  </si>
  <si>
    <t>荷姿情報(回答シート)</t>
    <rPh sb="0" eb="2">
      <t>ニスガタ</t>
    </rPh>
    <rPh sb="2" eb="4">
      <t>ジョウホウ</t>
    </rPh>
    <rPh sb="5" eb="7">
      <t>カイトウ</t>
    </rPh>
    <phoneticPr fontId="17"/>
  </si>
  <si>
    <t>入力</t>
    <rPh sb="0" eb="2">
      <t>ニュウリョク</t>
    </rPh>
    <phoneticPr fontId="7"/>
  </si>
  <si>
    <t>5/25～5/31(5日間)</t>
    <rPh sb="11" eb="13">
      <t>ニチカン</t>
    </rPh>
    <phoneticPr fontId="7"/>
  </si>
  <si>
    <t>TO</t>
    <phoneticPr fontId="7"/>
  </si>
  <si>
    <t>eかんばんFromｺｰﾄﾞ
(仕入先様)</t>
    <phoneticPr fontId="7"/>
  </si>
  <si>
    <t>仕入先様　From</t>
    <phoneticPr fontId="7"/>
  </si>
  <si>
    <t>eかんばんToｺｰﾄﾞ
(納入先)</t>
    <phoneticPr fontId="7"/>
  </si>
  <si>
    <t>納入先　To</t>
    <rPh sb="0" eb="3">
      <t>ノウニュウサキ</t>
    </rPh>
    <phoneticPr fontId="7"/>
  </si>
  <si>
    <t>箱サイズ(mm)</t>
    <rPh sb="0" eb="1">
      <t>ハコ</t>
    </rPh>
    <phoneticPr fontId="6"/>
  </si>
  <si>
    <t>パレットサイズ(mm)</t>
    <phoneticPr fontId="6"/>
  </si>
  <si>
    <t>パレタイズサイズ(mm)</t>
    <phoneticPr fontId="6"/>
  </si>
  <si>
    <t>データ
元</t>
    <rPh sb="4" eb="5">
      <t>モト</t>
    </rPh>
    <phoneticPr fontId="7"/>
  </si>
  <si>
    <t>区分
旧AI/旧AW/その他</t>
    <rPh sb="13" eb="14">
      <t>タ</t>
    </rPh>
    <phoneticPr fontId="7"/>
  </si>
  <si>
    <t>顧客品番</t>
    <rPh sb="0" eb="2">
      <t>コキャク</t>
    </rPh>
    <rPh sb="2" eb="4">
      <t>ヒンバン</t>
    </rPh>
    <phoneticPr fontId="6"/>
  </si>
  <si>
    <t>検索品番
(品番＆受入)</t>
    <rPh sb="0" eb="4">
      <t>ケンサクヒンバン</t>
    </rPh>
    <rPh sb="6" eb="8">
      <t>ヒンバン</t>
    </rPh>
    <rPh sb="9" eb="11">
      <t>ウケイレ</t>
    </rPh>
    <phoneticPr fontId="7"/>
  </si>
  <si>
    <t>品名</t>
    <rPh sb="0" eb="2">
      <t>ヒンメイ</t>
    </rPh>
    <phoneticPr fontId="7"/>
  </si>
  <si>
    <t>：</t>
    <phoneticPr fontId="7"/>
  </si>
  <si>
    <t>仕入先
ｺｰﾄﾞ
(4桁)</t>
    <rPh sb="11" eb="12">
      <t>ケタ</t>
    </rPh>
    <phoneticPr fontId="8"/>
  </si>
  <si>
    <t>工区</t>
  </si>
  <si>
    <t>出荷場
→不要
受入と積み付けで出荷場がわかる</t>
    <rPh sb="0" eb="3">
      <t>シュッカバ</t>
    </rPh>
    <rPh sb="5" eb="7">
      <t>フヨウ</t>
    </rPh>
    <rPh sb="8" eb="10">
      <t>ウケイレ</t>
    </rPh>
    <rPh sb="11" eb="12">
      <t>ツ</t>
    </rPh>
    <rPh sb="13" eb="14">
      <t>ツ</t>
    </rPh>
    <rPh sb="16" eb="19">
      <t>シュッカバ</t>
    </rPh>
    <phoneticPr fontId="8"/>
  </si>
  <si>
    <t>仕入先様名称</t>
    <rPh sb="0" eb="2">
      <t>シイレ</t>
    </rPh>
    <rPh sb="2" eb="3">
      <t>サキ</t>
    </rPh>
    <rPh sb="3" eb="4">
      <t>サマ</t>
    </rPh>
    <rPh sb="4" eb="6">
      <t>メイショウ</t>
    </rPh>
    <phoneticPr fontId="17"/>
  </si>
  <si>
    <t>工区
名称</t>
    <rPh sb="0" eb="2">
      <t>コウク</t>
    </rPh>
    <rPh sb="3" eb="5">
      <t>メイショウ</t>
    </rPh>
    <phoneticPr fontId="17"/>
  </si>
  <si>
    <t>工場
ｺｰﾄﾞ</t>
    <rPh sb="0" eb="2">
      <t>コウジョウ</t>
    </rPh>
    <phoneticPr fontId="8"/>
  </si>
  <si>
    <t>納入先工場（商権）</t>
    <rPh sb="0" eb="3">
      <t>ノウニュウサキ</t>
    </rPh>
    <rPh sb="3" eb="5">
      <t>コウジョウ</t>
    </rPh>
    <rPh sb="6" eb="8">
      <t>ショウケン</t>
    </rPh>
    <phoneticPr fontId="17"/>
  </si>
  <si>
    <t>納入先拠点
（実際の卸し場）</t>
    <rPh sb="0" eb="3">
      <t>ノウニュウサキ</t>
    </rPh>
    <rPh sb="3" eb="5">
      <t>キョテン</t>
    </rPh>
    <rPh sb="7" eb="9">
      <t>ジッサイ</t>
    </rPh>
    <rPh sb="10" eb="11">
      <t>オロ</t>
    </rPh>
    <rPh sb="12" eb="13">
      <t>バ</t>
    </rPh>
    <phoneticPr fontId="17"/>
  </si>
  <si>
    <t>収容数
(LINKS)</t>
    <rPh sb="0" eb="3">
      <t>シュウヨウスウ</t>
    </rPh>
    <phoneticPr fontId="6"/>
  </si>
  <si>
    <t>収容数</t>
    <rPh sb="0" eb="3">
      <t>シュウヨウスウ</t>
    </rPh>
    <phoneticPr fontId="7"/>
  </si>
  <si>
    <t>箱種
（ポリ、金枠、段ボール、その他）</t>
    <rPh sb="0" eb="2">
      <t>ハコシュ</t>
    </rPh>
    <rPh sb="7" eb="9">
      <t>カナワク</t>
    </rPh>
    <rPh sb="10" eb="11">
      <t>ダン</t>
    </rPh>
    <rPh sb="17" eb="18">
      <t>タ</t>
    </rPh>
    <phoneticPr fontId="7"/>
  </si>
  <si>
    <t>箱名称
（TP〇〇、Aパレ、Bパレ、その他）</t>
    <rPh sb="0" eb="1">
      <t>ハコ</t>
    </rPh>
    <rPh sb="1" eb="3">
      <t>メイショウ</t>
    </rPh>
    <rPh sb="20" eb="21">
      <t>タ</t>
    </rPh>
    <phoneticPr fontId="6"/>
  </si>
  <si>
    <t>たて</t>
    <phoneticPr fontId="6"/>
  </si>
  <si>
    <t>よこ</t>
    <phoneticPr fontId="6"/>
  </si>
  <si>
    <t>部品
単重量(kg/ヶ)</t>
    <rPh sb="0" eb="2">
      <t>ブヒン</t>
    </rPh>
    <rPh sb="3" eb="6">
      <t>タンジュウリョウ</t>
    </rPh>
    <phoneticPr fontId="6"/>
  </si>
  <si>
    <t>箱
単重量(kg/ヶ)</t>
    <rPh sb="0" eb="1">
      <t>ハコ</t>
    </rPh>
    <rPh sb="2" eb="5">
      <t>タンジュウリョウ</t>
    </rPh>
    <phoneticPr fontId="6"/>
  </si>
  <si>
    <t>箱グロス
重量(kg/ヶ)</t>
    <rPh sb="0" eb="1">
      <t>ハコ</t>
    </rPh>
    <rPh sb="5" eb="7">
      <t>ジュウリョウ</t>
    </rPh>
    <phoneticPr fontId="7"/>
  </si>
  <si>
    <t>パレット体積</t>
    <rPh sb="4" eb="6">
      <t>タイセキ</t>
    </rPh>
    <phoneticPr fontId="6"/>
  </si>
  <si>
    <t>パレット単重量
(kg/ヶ)
※枠無し</t>
    <rPh sb="4" eb="5">
      <t>タン</t>
    </rPh>
    <rPh sb="5" eb="6">
      <t>シゲル</t>
    </rPh>
    <rPh sb="6" eb="7">
      <t>リョウ</t>
    </rPh>
    <rPh sb="16" eb="17">
      <t>ワク</t>
    </rPh>
    <rPh sb="17" eb="18">
      <t>ナシ</t>
    </rPh>
    <phoneticPr fontId="7"/>
  </si>
  <si>
    <t>箱/面数</t>
    <rPh sb="0" eb="1">
      <t>ハコ</t>
    </rPh>
    <rPh sb="2" eb="4">
      <t>メンスウ</t>
    </rPh>
    <phoneticPr fontId="7"/>
  </si>
  <si>
    <r>
      <t xml:space="preserve">箱/段数
</t>
    </r>
    <r>
      <rPr>
        <b/>
        <sz val="11"/>
        <color rgb="FFFF0000"/>
        <rFont val="メイリオ"/>
        <family val="3"/>
        <charset val="128"/>
      </rPr>
      <t>332　5段　332.5　4段</t>
    </r>
    <rPh sb="0" eb="1">
      <t>ハコ</t>
    </rPh>
    <rPh sb="2" eb="4">
      <t>ダンスウ</t>
    </rPh>
    <rPh sb="10" eb="11">
      <t>ダン</t>
    </rPh>
    <rPh sb="19" eb="20">
      <t>ダン</t>
    </rPh>
    <phoneticPr fontId="7"/>
  </si>
  <si>
    <r>
      <t>パレタイズ発注
（有/無）</t>
    </r>
    <r>
      <rPr>
        <b/>
        <sz val="11"/>
        <color rgb="FFFF0000"/>
        <rFont val="メイリオ"/>
        <family val="3"/>
        <charset val="128"/>
      </rPr>
      <t>品番で6割程度　物流センター分はある</t>
    </r>
    <rPh sb="5" eb="7">
      <t>ハッチュウ</t>
    </rPh>
    <rPh sb="9" eb="10">
      <t>ユウ</t>
    </rPh>
    <rPh sb="11" eb="12">
      <t>ム</t>
    </rPh>
    <rPh sb="13" eb="15">
      <t>ヒンバン</t>
    </rPh>
    <rPh sb="17" eb="20">
      <t>ワリテイド</t>
    </rPh>
    <rPh sb="21" eb="23">
      <t>ブツリュウ</t>
    </rPh>
    <rPh sb="27" eb="28">
      <t>ブン</t>
    </rPh>
    <phoneticPr fontId="7"/>
  </si>
  <si>
    <t>パレタイズ体積</t>
    <rPh sb="5" eb="7">
      <t>タイセキ</t>
    </rPh>
    <phoneticPr fontId="6"/>
  </si>
  <si>
    <r>
      <t xml:space="preserve">トラック積込み時向き
（横積のみ、縦積のみ、縦積横積両方可）
</t>
    </r>
    <r>
      <rPr>
        <b/>
        <sz val="11"/>
        <color rgb="FFFF0000"/>
        <rFont val="メイリオ"/>
        <family val="3"/>
        <charset val="128"/>
      </rPr>
      <t>→特になし</t>
    </r>
    <rPh sb="32" eb="33">
      <t>トク</t>
    </rPh>
    <phoneticPr fontId="7"/>
  </si>
  <si>
    <r>
      <t xml:space="preserve">面だしルール
（空箱入れて面出し,空箱入れず面出し,何もしない）
</t>
    </r>
    <r>
      <rPr>
        <b/>
        <sz val="11"/>
        <color rgb="FFFF0000"/>
        <rFont val="メイリオ"/>
        <family val="3"/>
        <charset val="128"/>
      </rPr>
      <t>→空箱使用していないが
できる限り平面が出るようにしている</t>
    </r>
    <rPh sb="0" eb="1">
      <t>メン</t>
    </rPh>
    <rPh sb="8" eb="10">
      <t>カラバコ</t>
    </rPh>
    <rPh sb="10" eb="11">
      <t>イ</t>
    </rPh>
    <rPh sb="13" eb="15">
      <t>ツラダ</t>
    </rPh>
    <rPh sb="17" eb="19">
      <t>カラバコ</t>
    </rPh>
    <rPh sb="19" eb="20">
      <t>イ</t>
    </rPh>
    <rPh sb="22" eb="23">
      <t>メン</t>
    </rPh>
    <rPh sb="23" eb="24">
      <t>ダ</t>
    </rPh>
    <rPh sb="26" eb="27">
      <t>ナニ</t>
    </rPh>
    <rPh sb="34" eb="36">
      <t>カラバコ</t>
    </rPh>
    <rPh sb="36" eb="38">
      <t>シヨウ</t>
    </rPh>
    <rPh sb="48" eb="49">
      <t>カギ</t>
    </rPh>
    <rPh sb="50" eb="52">
      <t>ヘイメン</t>
    </rPh>
    <rPh sb="53" eb="54">
      <t>デ</t>
    </rPh>
    <phoneticPr fontId="7"/>
  </si>
  <si>
    <r>
      <t xml:space="preserve">荷姿制約（パレタイズ混載ルールなど）
</t>
    </r>
    <r>
      <rPr>
        <b/>
        <sz val="11"/>
        <color rgb="FFFF0000"/>
        <rFont val="メイリオ"/>
        <family val="3"/>
        <charset val="128"/>
      </rPr>
      <t>→受入混載可能なもの少量あり（要確認）
TP34の上にTP33など受入同じ場合混載している？
→バルブしている
332の上に331のせてる</t>
    </r>
    <rPh sb="0" eb="2">
      <t>ニスガタ</t>
    </rPh>
    <rPh sb="2" eb="4">
      <t>セイヤク</t>
    </rPh>
    <rPh sb="10" eb="12">
      <t>コンサイ</t>
    </rPh>
    <rPh sb="20" eb="24">
      <t>ウケイレコンサイ</t>
    </rPh>
    <rPh sb="24" eb="26">
      <t>カノウ</t>
    </rPh>
    <rPh sb="29" eb="31">
      <t>ショウリョウ</t>
    </rPh>
    <rPh sb="34" eb="37">
      <t>ヨウカクニン</t>
    </rPh>
    <rPh sb="45" eb="46">
      <t>ウエ</t>
    </rPh>
    <rPh sb="53" eb="55">
      <t>ウケイレ</t>
    </rPh>
    <rPh sb="55" eb="56">
      <t>オナ</t>
    </rPh>
    <rPh sb="57" eb="59">
      <t>バアイ</t>
    </rPh>
    <rPh sb="59" eb="61">
      <t>コンサイ</t>
    </rPh>
    <rPh sb="80" eb="81">
      <t>ウエ</t>
    </rPh>
    <phoneticPr fontId="7"/>
  </si>
  <si>
    <r>
      <t xml:space="preserve">サイクル1
</t>
    </r>
    <r>
      <rPr>
        <b/>
        <sz val="11"/>
        <color rgb="FFFF0000"/>
        <rFont val="メイリオ"/>
        <family val="3"/>
        <charset val="128"/>
      </rPr>
      <t>リンクスで調べる</t>
    </r>
    <rPh sb="11" eb="12">
      <t>シラ</t>
    </rPh>
    <phoneticPr fontId="7"/>
  </si>
  <si>
    <t>サイクル2</t>
    <phoneticPr fontId="7"/>
  </si>
  <si>
    <t>サイクル3</t>
    <phoneticPr fontId="7"/>
  </si>
  <si>
    <t>合計 / 箱数</t>
  </si>
  <si>
    <t>合計 / 荷量（荷量）</t>
    <rPh sb="8" eb="10">
      <t>ニリョウ</t>
    </rPh>
    <phoneticPr fontId="7"/>
  </si>
  <si>
    <t>合計 / 荷量（重量）</t>
  </si>
  <si>
    <t>便名</t>
    <rPh sb="0" eb="2">
      <t>ビンメイ</t>
    </rPh>
    <phoneticPr fontId="7"/>
  </si>
  <si>
    <t>LINKS</t>
  </si>
  <si>
    <t>旧AW</t>
  </si>
  <si>
    <t xml:space="preserve">2038  </t>
  </si>
  <si>
    <t>06</t>
  </si>
  <si>
    <t>吉良工場</t>
  </si>
  <si>
    <t xml:space="preserve">1021  </t>
  </si>
  <si>
    <t>28</t>
  </si>
  <si>
    <t>岡崎工場</t>
  </si>
  <si>
    <t>日通大平倉庫</t>
    <rPh sb="0" eb="2">
      <t>ニッツウ</t>
    </rPh>
    <rPh sb="2" eb="6">
      <t>オオヒラソウコ</t>
    </rPh>
    <phoneticPr fontId="7"/>
  </si>
  <si>
    <t>ポリ箱</t>
    <rPh sb="2" eb="3">
      <t>バコ</t>
    </rPh>
    <phoneticPr fontId="7"/>
  </si>
  <si>
    <t>TP131</t>
    <phoneticPr fontId="7"/>
  </si>
  <si>
    <t>無</t>
    <rPh sb="0" eb="1">
      <t>ナシ</t>
    </rPh>
    <phoneticPr fontId="7"/>
  </si>
  <si>
    <t>縦積横積両方可</t>
  </si>
  <si>
    <t>空箱入れず面出し</t>
  </si>
  <si>
    <t>AKK004</t>
    <phoneticPr fontId="7"/>
  </si>
  <si>
    <t>TP131</t>
  </si>
  <si>
    <t>岡崎東工場</t>
  </si>
  <si>
    <t>ALGS岡崎</t>
    <rPh sb="4" eb="6">
      <t>オカザキ</t>
    </rPh>
    <phoneticPr fontId="7"/>
  </si>
  <si>
    <t>AKK005</t>
    <phoneticPr fontId="7"/>
  </si>
  <si>
    <t>R8</t>
    <phoneticPr fontId="7"/>
  </si>
  <si>
    <t>カリツー西尾東</t>
    <phoneticPr fontId="7"/>
  </si>
  <si>
    <t>AKK010</t>
    <phoneticPr fontId="7"/>
  </si>
  <si>
    <t>瑞浪工場</t>
  </si>
  <si>
    <t>カリツー西尾東</t>
    <rPh sb="4" eb="7">
      <t>ニシオヒガシ</t>
    </rPh>
    <phoneticPr fontId="7"/>
  </si>
  <si>
    <t>AKK007</t>
    <phoneticPr fontId="7"/>
  </si>
  <si>
    <t>16</t>
  </si>
  <si>
    <t>第1工場</t>
  </si>
  <si>
    <t>第1工場</t>
    <phoneticPr fontId="7"/>
  </si>
  <si>
    <t>AKK001</t>
    <phoneticPr fontId="7"/>
  </si>
  <si>
    <t>第2工場</t>
  </si>
  <si>
    <t>第2工場</t>
    <phoneticPr fontId="7"/>
  </si>
  <si>
    <t>田原工場</t>
  </si>
  <si>
    <t>カリツー田原</t>
    <rPh sb="4" eb="6">
      <t>タハラ</t>
    </rPh>
    <phoneticPr fontId="7"/>
  </si>
  <si>
    <t>AKK003</t>
    <phoneticPr fontId="7"/>
  </si>
  <si>
    <t>岡崎東工場</t>
    <phoneticPr fontId="7"/>
  </si>
  <si>
    <t>AW-S高棚（直かん）</t>
    <rPh sb="4" eb="6">
      <t>タカタナ</t>
    </rPh>
    <rPh sb="7" eb="8">
      <t>チョク</t>
    </rPh>
    <phoneticPr fontId="7"/>
  </si>
  <si>
    <t>AKK008</t>
    <phoneticPr fontId="7"/>
  </si>
  <si>
    <t>14</t>
  </si>
  <si>
    <t>ＡＫＫ物流センター</t>
  </si>
  <si>
    <t>TP331.5</t>
    <phoneticPr fontId="7"/>
  </si>
  <si>
    <t>有</t>
    <rPh sb="0" eb="1">
      <t>アリ</t>
    </rPh>
    <phoneticPr fontId="7"/>
  </si>
  <si>
    <t>TP341.5</t>
  </si>
  <si>
    <t>TP332</t>
    <phoneticPr fontId="7"/>
  </si>
  <si>
    <t>TP331</t>
    <phoneticPr fontId="7"/>
  </si>
  <si>
    <t>TP332.5</t>
    <phoneticPr fontId="7"/>
  </si>
  <si>
    <t>LINKS</t>
    <phoneticPr fontId="7"/>
  </si>
  <si>
    <t>旧AW</t>
    <phoneticPr fontId="7"/>
  </si>
  <si>
    <t>X8</t>
    <phoneticPr fontId="7"/>
  </si>
  <si>
    <t>TP343</t>
  </si>
  <si>
    <t>AKK005’ 子連れ便</t>
    <rPh sb="8" eb="10">
      <t>コヅ</t>
    </rPh>
    <rPh sb="11" eb="12">
      <t>ビン</t>
    </rPh>
    <phoneticPr fontId="7"/>
  </si>
  <si>
    <t>TP344</t>
  </si>
  <si>
    <t>1G</t>
  </si>
  <si>
    <t>TP342</t>
  </si>
  <si>
    <t>TP342.5</t>
    <phoneticPr fontId="7"/>
  </si>
  <si>
    <t>金枠</t>
    <rPh sb="0" eb="2">
      <t>カナワク</t>
    </rPh>
    <phoneticPr fontId="7"/>
  </si>
  <si>
    <t>鉄パレ</t>
    <rPh sb="0" eb="1">
      <t>テツ</t>
    </rPh>
    <phoneticPr fontId="7"/>
  </si>
  <si>
    <t>TP331.5</t>
  </si>
  <si>
    <t>TP332</t>
  </si>
  <si>
    <t>AKK002</t>
    <phoneticPr fontId="7"/>
  </si>
  <si>
    <t>60</t>
  </si>
  <si>
    <t>岡崎工場</t>
    <phoneticPr fontId="7"/>
  </si>
  <si>
    <t>82</t>
  </si>
  <si>
    <t>TP341</t>
  </si>
  <si>
    <t>01</t>
  </si>
  <si>
    <t>27</t>
  </si>
  <si>
    <t>04</t>
  </si>
  <si>
    <t>02</t>
  </si>
  <si>
    <t>40箱1ロット（アイシン殿焼き入れロット）</t>
    <rPh sb="2" eb="3">
      <t>ハコ</t>
    </rPh>
    <rPh sb="12" eb="13">
      <t>ドノ</t>
    </rPh>
    <rPh sb="13" eb="14">
      <t>ヤ</t>
    </rPh>
    <rPh sb="15" eb="16">
      <t>イ</t>
    </rPh>
    <phoneticPr fontId="7"/>
  </si>
  <si>
    <t>TP361.5</t>
    <phoneticPr fontId="7"/>
  </si>
  <si>
    <t>Cパレ</t>
    <phoneticPr fontId="7"/>
  </si>
  <si>
    <t>横積のみ</t>
    <rPh sb="0" eb="2">
      <t>ヨコヅ</t>
    </rPh>
    <phoneticPr fontId="7"/>
  </si>
  <si>
    <t>Cパレ</t>
  </si>
  <si>
    <t>PULL</t>
  </si>
  <si>
    <t xml:space="preserve">1217      </t>
  </si>
  <si>
    <t xml:space="preserve">2   </t>
  </si>
  <si>
    <t>アイシン機工</t>
  </si>
  <si>
    <t xml:space="preserve">75        </t>
  </si>
  <si>
    <t>城山工場</t>
  </si>
  <si>
    <t>15</t>
  </si>
  <si>
    <t>1</t>
  </si>
  <si>
    <t xml:space="preserve">70        </t>
  </si>
  <si>
    <t xml:space="preserve">M5        </t>
  </si>
  <si>
    <t>80</t>
  </si>
  <si>
    <t xml:space="preserve">63        </t>
  </si>
  <si>
    <t>72</t>
  </si>
  <si>
    <t>箱種</t>
    <rPh sb="0" eb="2">
      <t>ハコシュ</t>
    </rPh>
    <phoneticPr fontId="6"/>
  </si>
  <si>
    <t>Cパレ</t>
    <phoneticPr fontId="6"/>
  </si>
  <si>
    <t>箱体積(m3)</t>
    <rPh sb="0" eb="1">
      <t>ハコ</t>
    </rPh>
    <rPh sb="1" eb="3">
      <t>タイセキ</t>
    </rPh>
    <phoneticPr fontId="6"/>
  </si>
  <si>
    <t>受入：E2 L2 X7 T8 N7 R7 E4 L4 X8</t>
    <rPh sb="0" eb="2">
      <t>ウケイレ</t>
    </rPh>
    <phoneticPr fontId="6"/>
  </si>
  <si>
    <t>TP343</t>
    <phoneticPr fontId="6"/>
  </si>
  <si>
    <t>ポリ箱</t>
  </si>
  <si>
    <t>ポリ箱</t>
    <rPh sb="2" eb="3">
      <t>バコ</t>
    </rPh>
    <phoneticPr fontId="6"/>
  </si>
  <si>
    <t>TP341</t>
    <phoneticPr fontId="6"/>
  </si>
  <si>
    <t>TP331</t>
  </si>
  <si>
    <t>TP331</t>
    <phoneticPr fontId="6"/>
  </si>
  <si>
    <t>TP332.5</t>
  </si>
  <si>
    <t>金枠</t>
    <rPh sb="0" eb="2">
      <t>カナワク</t>
    </rPh>
    <phoneticPr fontId="6"/>
  </si>
  <si>
    <t>Bパレ</t>
  </si>
  <si>
    <t>Bパレ</t>
    <phoneticPr fontId="6"/>
  </si>
  <si>
    <t>鉄パレ</t>
  </si>
  <si>
    <t>合計</t>
    <rPh sb="0" eb="2">
      <t>ゴウケイ</t>
    </rPh>
    <phoneticPr fontId="6"/>
  </si>
  <si>
    <t>総計</t>
  </si>
  <si>
    <t>整備室</t>
  </si>
  <si>
    <t>確定箱数</t>
    <rPh sb="0" eb="2">
      <t>カクテイ</t>
    </rPh>
    <rPh sb="2" eb="4">
      <t>ハコスウ</t>
    </rPh>
    <phoneticPr fontId="6"/>
  </si>
  <si>
    <t>確定荷量</t>
    <rPh sb="0" eb="2">
      <t>カクテイ</t>
    </rPh>
    <rPh sb="2" eb="4">
      <t>ニリョウ</t>
    </rPh>
    <phoneticPr fontId="6"/>
  </si>
  <si>
    <t>2日1便</t>
    <rPh sb="1" eb="2">
      <t>ニチ</t>
    </rPh>
    <rPh sb="3" eb="4">
      <t>ビン</t>
    </rPh>
    <phoneticPr fontId="6"/>
  </si>
  <si>
    <t>2日2便</t>
    <rPh sb="1" eb="2">
      <t>ニチ</t>
    </rPh>
    <rPh sb="3" eb="4">
      <t>ビン</t>
    </rPh>
    <phoneticPr fontId="6"/>
  </si>
  <si>
    <t>2日3便</t>
    <rPh sb="1" eb="2">
      <t>ニチ</t>
    </rPh>
    <rPh sb="3" eb="4">
      <t>ビン</t>
    </rPh>
    <phoneticPr fontId="6"/>
  </si>
  <si>
    <t>2日4便</t>
    <rPh sb="1" eb="2">
      <t>ニチ</t>
    </rPh>
    <rPh sb="3" eb="4">
      <t>ビン</t>
    </rPh>
    <phoneticPr fontId="6"/>
  </si>
  <si>
    <t>3日1便</t>
    <rPh sb="1" eb="2">
      <t>ニチ</t>
    </rPh>
    <rPh sb="3" eb="4">
      <t>ビン</t>
    </rPh>
    <phoneticPr fontId="6"/>
  </si>
  <si>
    <t>3日2便</t>
    <rPh sb="1" eb="2">
      <t>ニチ</t>
    </rPh>
    <rPh sb="3" eb="4">
      <t>ビン</t>
    </rPh>
    <phoneticPr fontId="6"/>
  </si>
  <si>
    <t>3日3便</t>
    <rPh sb="1" eb="2">
      <t>ニチ</t>
    </rPh>
    <rPh sb="3" eb="4">
      <t>ビン</t>
    </rPh>
    <phoneticPr fontId="6"/>
  </si>
  <si>
    <t>3日4便</t>
    <rPh sb="1" eb="2">
      <t>ニチ</t>
    </rPh>
    <rPh sb="3" eb="4">
      <t>ビン</t>
    </rPh>
    <phoneticPr fontId="6"/>
  </si>
  <si>
    <t>1日1便</t>
    <rPh sb="1" eb="2">
      <t>ニチ</t>
    </rPh>
    <rPh sb="3" eb="4">
      <t>ビン</t>
    </rPh>
    <phoneticPr fontId="6"/>
  </si>
  <si>
    <t>1日2便</t>
    <rPh sb="1" eb="2">
      <t>ニチ</t>
    </rPh>
    <rPh sb="3" eb="4">
      <t>ビン</t>
    </rPh>
    <phoneticPr fontId="6"/>
  </si>
  <si>
    <t>1日3便</t>
    <rPh sb="1" eb="2">
      <t>ニチ</t>
    </rPh>
    <rPh sb="3" eb="4">
      <t>ビン</t>
    </rPh>
    <phoneticPr fontId="6"/>
  </si>
  <si>
    <t>1日4便</t>
    <rPh sb="1" eb="2">
      <t>ニチ</t>
    </rPh>
    <rPh sb="3" eb="4">
      <t>ビン</t>
    </rPh>
    <phoneticPr fontId="6"/>
  </si>
  <si>
    <t>4日1便</t>
    <rPh sb="1" eb="2">
      <t>ニチ</t>
    </rPh>
    <rPh sb="3" eb="4">
      <t>ビン</t>
    </rPh>
    <phoneticPr fontId="6"/>
  </si>
  <si>
    <t>5日1便</t>
    <rPh sb="1" eb="2">
      <t>ニチ</t>
    </rPh>
    <rPh sb="3" eb="4">
      <t>ビン</t>
    </rPh>
    <phoneticPr fontId="6"/>
  </si>
  <si>
    <t>4日2便</t>
    <rPh sb="1" eb="2">
      <t>ニチ</t>
    </rPh>
    <rPh sb="3" eb="4">
      <t>ビン</t>
    </rPh>
    <phoneticPr fontId="6"/>
  </si>
  <si>
    <t>4日3便</t>
    <rPh sb="1" eb="2">
      <t>ニチ</t>
    </rPh>
    <rPh sb="3" eb="4">
      <t>ビン</t>
    </rPh>
    <phoneticPr fontId="6"/>
  </si>
  <si>
    <t>4日4便</t>
    <rPh sb="1" eb="2">
      <t>ニチ</t>
    </rPh>
    <rPh sb="3" eb="4">
      <t>ビン</t>
    </rPh>
    <phoneticPr fontId="6"/>
  </si>
  <si>
    <t>5日2便</t>
    <rPh sb="1" eb="2">
      <t>ニチ</t>
    </rPh>
    <rPh sb="3" eb="4">
      <t>ビン</t>
    </rPh>
    <phoneticPr fontId="6"/>
  </si>
  <si>
    <t>5日3便</t>
    <rPh sb="1" eb="2">
      <t>ニチ</t>
    </rPh>
    <rPh sb="3" eb="4">
      <t>ビン</t>
    </rPh>
    <phoneticPr fontId="6"/>
  </si>
  <si>
    <t>5日4便</t>
    <rPh sb="1" eb="2">
      <t>ニチ</t>
    </rPh>
    <rPh sb="3" eb="4">
      <t>ビン</t>
    </rPh>
    <phoneticPr fontId="6"/>
  </si>
  <si>
    <t>6日1便</t>
    <rPh sb="1" eb="2">
      <t>ニチ</t>
    </rPh>
    <rPh sb="3" eb="4">
      <t>ビン</t>
    </rPh>
    <phoneticPr fontId="6"/>
  </si>
  <si>
    <t>6日2便</t>
    <rPh sb="1" eb="2">
      <t>ニチ</t>
    </rPh>
    <rPh sb="3" eb="4">
      <t>ビン</t>
    </rPh>
    <phoneticPr fontId="6"/>
  </si>
  <si>
    <t>6日3便</t>
    <rPh sb="1" eb="2">
      <t>ニチ</t>
    </rPh>
    <rPh sb="3" eb="4">
      <t>ビン</t>
    </rPh>
    <phoneticPr fontId="6"/>
  </si>
  <si>
    <t>6日4便</t>
    <rPh sb="1" eb="2">
      <t>ニチ</t>
    </rPh>
    <rPh sb="3" eb="4">
      <t>ビン</t>
    </rPh>
    <phoneticPr fontId="6"/>
  </si>
  <si>
    <t>7日1便</t>
    <rPh sb="1" eb="2">
      <t>ニチ</t>
    </rPh>
    <rPh sb="3" eb="4">
      <t>ビン</t>
    </rPh>
    <phoneticPr fontId="6"/>
  </si>
  <si>
    <t>7日2便</t>
    <rPh sb="1" eb="2">
      <t>ニチ</t>
    </rPh>
    <rPh sb="3" eb="4">
      <t>ビン</t>
    </rPh>
    <phoneticPr fontId="6"/>
  </si>
  <si>
    <t>7日3便</t>
    <rPh sb="1" eb="2">
      <t>ニチ</t>
    </rPh>
    <rPh sb="3" eb="4">
      <t>ビン</t>
    </rPh>
    <phoneticPr fontId="6"/>
  </si>
  <si>
    <t>7日4便</t>
    <rPh sb="1" eb="2">
      <t>ニチ</t>
    </rPh>
    <rPh sb="3" eb="4">
      <t>ビン</t>
    </rPh>
    <phoneticPr fontId="6"/>
  </si>
  <si>
    <t>8日1便</t>
    <rPh sb="1" eb="2">
      <t>ニチ</t>
    </rPh>
    <rPh sb="3" eb="4">
      <t>ビン</t>
    </rPh>
    <phoneticPr fontId="6"/>
  </si>
  <si>
    <t>8日2便</t>
    <rPh sb="1" eb="2">
      <t>ニチ</t>
    </rPh>
    <rPh sb="3" eb="4">
      <t>ビン</t>
    </rPh>
    <phoneticPr fontId="6"/>
  </si>
  <si>
    <t>8日3便</t>
    <rPh sb="1" eb="2">
      <t>ニチ</t>
    </rPh>
    <rPh sb="3" eb="4">
      <t>ビン</t>
    </rPh>
    <phoneticPr fontId="6"/>
  </si>
  <si>
    <t>8日4便</t>
    <rPh sb="1" eb="2">
      <t>ニチ</t>
    </rPh>
    <rPh sb="3" eb="4">
      <t>ビン</t>
    </rPh>
    <phoneticPr fontId="6"/>
  </si>
  <si>
    <t>9日1便</t>
    <rPh sb="1" eb="2">
      <t>ニチ</t>
    </rPh>
    <rPh sb="3" eb="4">
      <t>ビン</t>
    </rPh>
    <phoneticPr fontId="6"/>
  </si>
  <si>
    <t>9日2便</t>
    <rPh sb="1" eb="2">
      <t>ニチ</t>
    </rPh>
    <rPh sb="3" eb="4">
      <t>ビン</t>
    </rPh>
    <phoneticPr fontId="6"/>
  </si>
  <si>
    <t>9日3便</t>
    <rPh sb="1" eb="2">
      <t>ニチ</t>
    </rPh>
    <rPh sb="3" eb="4">
      <t>ビン</t>
    </rPh>
    <phoneticPr fontId="6"/>
  </si>
  <si>
    <t>9日4便</t>
    <rPh sb="1" eb="2">
      <t>ニチ</t>
    </rPh>
    <rPh sb="3" eb="4">
      <t>ビン</t>
    </rPh>
    <phoneticPr fontId="6"/>
  </si>
  <si>
    <t>10日1便</t>
    <rPh sb="2" eb="3">
      <t>ニチ</t>
    </rPh>
    <rPh sb="4" eb="5">
      <t>ビン</t>
    </rPh>
    <phoneticPr fontId="6"/>
  </si>
  <si>
    <t>10日2便</t>
    <rPh sb="2" eb="3">
      <t>ニチ</t>
    </rPh>
    <rPh sb="4" eb="5">
      <t>ビン</t>
    </rPh>
    <phoneticPr fontId="6"/>
  </si>
  <si>
    <t>10日3便</t>
    <rPh sb="2" eb="3">
      <t>ニチ</t>
    </rPh>
    <rPh sb="4" eb="5">
      <t>ビン</t>
    </rPh>
    <phoneticPr fontId="6"/>
  </si>
  <si>
    <t>10日4便</t>
    <rPh sb="2" eb="3">
      <t>ニチ</t>
    </rPh>
    <rPh sb="4" eb="5">
      <t>ビン</t>
    </rPh>
    <phoneticPr fontId="6"/>
  </si>
  <si>
    <t>11日1便</t>
    <rPh sb="2" eb="3">
      <t>ニチ</t>
    </rPh>
    <rPh sb="4" eb="5">
      <t>ビン</t>
    </rPh>
    <phoneticPr fontId="6"/>
  </si>
  <si>
    <t>11日2便</t>
    <rPh sb="2" eb="3">
      <t>ニチ</t>
    </rPh>
    <rPh sb="4" eb="5">
      <t>ビン</t>
    </rPh>
    <phoneticPr fontId="6"/>
  </si>
  <si>
    <t>11日3便</t>
    <rPh sb="2" eb="3">
      <t>ニチ</t>
    </rPh>
    <rPh sb="4" eb="5">
      <t>ビン</t>
    </rPh>
    <phoneticPr fontId="6"/>
  </si>
  <si>
    <t>11日4便</t>
    <rPh sb="2" eb="3">
      <t>ニチ</t>
    </rPh>
    <rPh sb="4" eb="5">
      <t>ビン</t>
    </rPh>
    <phoneticPr fontId="6"/>
  </si>
  <si>
    <t>12日1便</t>
    <rPh sb="2" eb="3">
      <t>ニチ</t>
    </rPh>
    <rPh sb="4" eb="5">
      <t>ビン</t>
    </rPh>
    <phoneticPr fontId="6"/>
  </si>
  <si>
    <t>12日2便</t>
    <rPh sb="2" eb="3">
      <t>ニチ</t>
    </rPh>
    <rPh sb="4" eb="5">
      <t>ビン</t>
    </rPh>
    <phoneticPr fontId="6"/>
  </si>
  <si>
    <t>12日3便</t>
    <rPh sb="2" eb="3">
      <t>ニチ</t>
    </rPh>
    <rPh sb="4" eb="5">
      <t>ビン</t>
    </rPh>
    <phoneticPr fontId="6"/>
  </si>
  <si>
    <t>12日4便</t>
    <rPh sb="2" eb="3">
      <t>ニチ</t>
    </rPh>
    <rPh sb="4" eb="5">
      <t>ビン</t>
    </rPh>
    <phoneticPr fontId="6"/>
  </si>
  <si>
    <t>13日1便</t>
    <rPh sb="2" eb="3">
      <t>ニチ</t>
    </rPh>
    <rPh sb="4" eb="5">
      <t>ビン</t>
    </rPh>
    <phoneticPr fontId="6"/>
  </si>
  <si>
    <t>13日2便</t>
    <rPh sb="2" eb="3">
      <t>ニチ</t>
    </rPh>
    <rPh sb="4" eb="5">
      <t>ビン</t>
    </rPh>
    <phoneticPr fontId="6"/>
  </si>
  <si>
    <t>13日3便</t>
    <rPh sb="2" eb="3">
      <t>ニチ</t>
    </rPh>
    <rPh sb="4" eb="5">
      <t>ビン</t>
    </rPh>
    <phoneticPr fontId="6"/>
  </si>
  <si>
    <t>13日4便</t>
    <rPh sb="2" eb="3">
      <t>ニチ</t>
    </rPh>
    <rPh sb="4" eb="5">
      <t>ビン</t>
    </rPh>
    <phoneticPr fontId="6"/>
  </si>
  <si>
    <t>14日1便</t>
    <rPh sb="2" eb="3">
      <t>ニチ</t>
    </rPh>
    <rPh sb="4" eb="5">
      <t>ビン</t>
    </rPh>
    <phoneticPr fontId="6"/>
  </si>
  <si>
    <t>14日2便</t>
    <rPh sb="2" eb="3">
      <t>ニチ</t>
    </rPh>
    <rPh sb="4" eb="5">
      <t>ビン</t>
    </rPh>
    <phoneticPr fontId="6"/>
  </si>
  <si>
    <t>14日3便</t>
    <rPh sb="2" eb="3">
      <t>ニチ</t>
    </rPh>
    <rPh sb="4" eb="5">
      <t>ビン</t>
    </rPh>
    <phoneticPr fontId="6"/>
  </si>
  <si>
    <t>14日4便</t>
    <rPh sb="2" eb="3">
      <t>ニチ</t>
    </rPh>
    <rPh sb="4" eb="5">
      <t>ビン</t>
    </rPh>
    <phoneticPr fontId="6"/>
  </si>
  <si>
    <t>15日1便</t>
    <rPh sb="2" eb="3">
      <t>ニチ</t>
    </rPh>
    <rPh sb="4" eb="5">
      <t>ビン</t>
    </rPh>
    <phoneticPr fontId="6"/>
  </si>
  <si>
    <t>15日2便</t>
    <rPh sb="2" eb="3">
      <t>ニチ</t>
    </rPh>
    <rPh sb="4" eb="5">
      <t>ビン</t>
    </rPh>
    <phoneticPr fontId="6"/>
  </si>
  <si>
    <t>15日3便</t>
    <rPh sb="2" eb="3">
      <t>ニチ</t>
    </rPh>
    <rPh sb="4" eb="5">
      <t>ビン</t>
    </rPh>
    <phoneticPr fontId="6"/>
  </si>
  <si>
    <t>15日4便</t>
    <rPh sb="2" eb="3">
      <t>ニチ</t>
    </rPh>
    <rPh sb="4" eb="5">
      <t>ビン</t>
    </rPh>
    <phoneticPr fontId="6"/>
  </si>
  <si>
    <t>16日1便</t>
    <rPh sb="2" eb="3">
      <t>ニチ</t>
    </rPh>
    <rPh sb="4" eb="5">
      <t>ビン</t>
    </rPh>
    <phoneticPr fontId="6"/>
  </si>
  <si>
    <t>16日2便</t>
    <rPh sb="2" eb="3">
      <t>ニチ</t>
    </rPh>
    <rPh sb="4" eb="5">
      <t>ビン</t>
    </rPh>
    <phoneticPr fontId="6"/>
  </si>
  <si>
    <t>17日3便</t>
    <rPh sb="2" eb="3">
      <t>ニチ</t>
    </rPh>
    <rPh sb="4" eb="5">
      <t>ビン</t>
    </rPh>
    <phoneticPr fontId="6"/>
  </si>
  <si>
    <t>16日3便</t>
    <rPh sb="2" eb="3">
      <t>ニチ</t>
    </rPh>
    <rPh sb="4" eb="5">
      <t>ビン</t>
    </rPh>
    <phoneticPr fontId="6"/>
  </si>
  <si>
    <t>16日4便</t>
    <rPh sb="2" eb="3">
      <t>ニチ</t>
    </rPh>
    <rPh sb="4" eb="5">
      <t>ビン</t>
    </rPh>
    <phoneticPr fontId="6"/>
  </si>
  <si>
    <t>17日1便</t>
    <rPh sb="2" eb="3">
      <t>ニチ</t>
    </rPh>
    <rPh sb="4" eb="5">
      <t>ビン</t>
    </rPh>
    <phoneticPr fontId="6"/>
  </si>
  <si>
    <t>17日2便</t>
    <rPh sb="2" eb="3">
      <t>ニチ</t>
    </rPh>
    <rPh sb="4" eb="5">
      <t>ビン</t>
    </rPh>
    <phoneticPr fontId="6"/>
  </si>
  <si>
    <t>17日4便</t>
    <rPh sb="2" eb="3">
      <t>ニチ</t>
    </rPh>
    <rPh sb="4" eb="5">
      <t>ビン</t>
    </rPh>
    <phoneticPr fontId="6"/>
  </si>
  <si>
    <r>
      <t>内示箱数</t>
    </r>
    <r>
      <rPr>
        <sz val="11"/>
        <color theme="1"/>
        <rFont val="Meiryo UI"/>
        <family val="3"/>
        <charset val="128"/>
      </rPr>
      <t>（収容数に満たない場合は1箱換算　 例：収容数100、必要数250→2.5箱でなく3箱）</t>
    </r>
    <rPh sb="0" eb="4">
      <t>ナイジハコスウ</t>
    </rPh>
    <rPh sb="5" eb="8">
      <t>シュウヨウスウ</t>
    </rPh>
    <rPh sb="9" eb="10">
      <t>ミ</t>
    </rPh>
    <rPh sb="13" eb="15">
      <t>バアイ</t>
    </rPh>
    <rPh sb="17" eb="18">
      <t>ハコ</t>
    </rPh>
    <rPh sb="18" eb="20">
      <t>カンサン</t>
    </rPh>
    <rPh sb="22" eb="23">
      <t>レイ</t>
    </rPh>
    <rPh sb="24" eb="27">
      <t>シュウヨウスウ</t>
    </rPh>
    <rPh sb="31" eb="34">
      <t>ヒツヨウスウ</t>
    </rPh>
    <rPh sb="41" eb="42">
      <t>ハコ</t>
    </rPh>
    <rPh sb="46" eb="47">
      <t>ハコ</t>
    </rPh>
    <phoneticPr fontId="6"/>
  </si>
  <si>
    <t>確定ー内示（m3）</t>
    <rPh sb="0" eb="2">
      <t>カクテイ</t>
    </rPh>
    <rPh sb="3" eb="5">
      <t>ナイジ</t>
    </rPh>
    <phoneticPr fontId="6"/>
  </si>
  <si>
    <t>確定➡内示（%）</t>
    <rPh sb="0" eb="2">
      <t>カクテイ</t>
    </rPh>
    <rPh sb="3" eb="5">
      <t>ナイジ</t>
    </rPh>
    <phoneticPr fontId="6"/>
  </si>
  <si>
    <t>内示（m3）</t>
    <rPh sb="0" eb="2">
      <t>ナイジ</t>
    </rPh>
    <phoneticPr fontId="6"/>
  </si>
  <si>
    <t>確定（m3）</t>
    <rPh sb="0" eb="2">
      <t>カクテイ</t>
    </rPh>
    <phoneticPr fontId="6"/>
  </si>
  <si>
    <t>10月度荷量</t>
    <rPh sb="2" eb="4">
      <t>ガツド</t>
    </rPh>
    <rPh sb="4" eb="6">
      <t>ニリョウ</t>
    </rPh>
    <phoneticPr fontId="6"/>
  </si>
  <si>
    <t>AAAA</t>
  </si>
  <si>
    <t>AABB</t>
  </si>
  <si>
    <t>AACC</t>
  </si>
  <si>
    <t>AADD</t>
  </si>
  <si>
    <t>AAEE</t>
  </si>
  <si>
    <t>AAFF</t>
  </si>
  <si>
    <t>AAGG</t>
  </si>
  <si>
    <t>AAHH</t>
  </si>
  <si>
    <t>AAII</t>
  </si>
  <si>
    <t>AAJJ</t>
  </si>
  <si>
    <t>AAKK</t>
  </si>
  <si>
    <t>AALL</t>
  </si>
  <si>
    <t>AAMM</t>
  </si>
  <si>
    <t>AANN</t>
  </si>
  <si>
    <t>AAOO</t>
  </si>
  <si>
    <t>AAPP</t>
  </si>
  <si>
    <t>AAQQ</t>
  </si>
  <si>
    <t>AARR</t>
  </si>
  <si>
    <t>AASS</t>
  </si>
  <si>
    <t>AATT</t>
  </si>
  <si>
    <t>AAUU</t>
  </si>
  <si>
    <t>AAVV</t>
  </si>
  <si>
    <t>AAWW</t>
  </si>
  <si>
    <t>AAXX</t>
  </si>
  <si>
    <t>AAYY</t>
  </si>
  <si>
    <t>AAZZ</t>
  </si>
  <si>
    <t>BBAA</t>
  </si>
  <si>
    <t>BBBB</t>
  </si>
  <si>
    <t>BBCC</t>
  </si>
  <si>
    <t>BBDD</t>
  </si>
  <si>
    <t>BBEE</t>
  </si>
  <si>
    <t>BBFF</t>
  </si>
  <si>
    <t>BBGG</t>
  </si>
  <si>
    <t>BBHH</t>
  </si>
  <si>
    <t>ZZZZ</t>
  </si>
  <si>
    <t>ZZYY</t>
  </si>
  <si>
    <t>ZZXX</t>
  </si>
  <si>
    <t>ZZWW</t>
  </si>
  <si>
    <t>ZZVV</t>
  </si>
  <si>
    <t>ZZUU</t>
  </si>
  <si>
    <t>ZZTT</t>
  </si>
  <si>
    <t>ZZSS</t>
  </si>
  <si>
    <t>ZZRR</t>
  </si>
  <si>
    <t>ZZQQ</t>
  </si>
  <si>
    <t>ZZPP</t>
  </si>
  <si>
    <t>ZZOO</t>
  </si>
  <si>
    <t>ZZNN</t>
  </si>
  <si>
    <t>ZZMM</t>
  </si>
  <si>
    <t>ZZKK</t>
  </si>
  <si>
    <t>ZZJJ</t>
  </si>
  <si>
    <t>ZZII</t>
  </si>
  <si>
    <t>ZZHH</t>
  </si>
  <si>
    <t>ZZGG</t>
  </si>
  <si>
    <t>ZZFF</t>
  </si>
  <si>
    <t>ZZEE</t>
  </si>
  <si>
    <t>ZZDD</t>
  </si>
  <si>
    <t>ZZCC</t>
  </si>
  <si>
    <t>ZZBB</t>
  </si>
  <si>
    <t>ZZAA</t>
  </si>
  <si>
    <t>YYYY</t>
  </si>
  <si>
    <t>YYXX</t>
  </si>
  <si>
    <t>YYWW</t>
  </si>
  <si>
    <t>YYUU</t>
  </si>
  <si>
    <t>YYTT</t>
  </si>
  <si>
    <t>YYSS</t>
  </si>
  <si>
    <t>YYRR</t>
  </si>
  <si>
    <t>YYQQ</t>
  </si>
  <si>
    <t>YYPP</t>
  </si>
  <si>
    <t>YYOO</t>
  </si>
  <si>
    <t>YYNN</t>
  </si>
  <si>
    <t>YYMM</t>
  </si>
  <si>
    <t>YYLL</t>
  </si>
  <si>
    <t>YYKK</t>
  </si>
  <si>
    <t>YYJJ</t>
  </si>
  <si>
    <t>YYII</t>
  </si>
  <si>
    <t>YYHH</t>
  </si>
  <si>
    <t>YYGG</t>
  </si>
  <si>
    <t>YYFF</t>
  </si>
  <si>
    <t>YYEE</t>
  </si>
  <si>
    <t>YYDD</t>
  </si>
  <si>
    <t>YYCC</t>
  </si>
  <si>
    <t>YYBB</t>
  </si>
  <si>
    <t>YYBA</t>
  </si>
  <si>
    <t>YYAA</t>
  </si>
  <si>
    <t>WWWW</t>
  </si>
  <si>
    <t>WWVV</t>
  </si>
  <si>
    <t>WWUU</t>
  </si>
  <si>
    <t>WWTT</t>
  </si>
  <si>
    <t>WWSS</t>
  </si>
  <si>
    <t>WWRR</t>
  </si>
  <si>
    <t>WWQQ</t>
  </si>
  <si>
    <t>WWPQ</t>
  </si>
  <si>
    <t>WWPP</t>
  </si>
  <si>
    <t>WWOO</t>
  </si>
  <si>
    <t>WWNN</t>
  </si>
  <si>
    <t>WWNM</t>
  </si>
  <si>
    <t>WWMM</t>
  </si>
  <si>
    <t>WWLL</t>
  </si>
  <si>
    <t>WWKK</t>
  </si>
  <si>
    <t>WWKJ</t>
  </si>
  <si>
    <t>WWJJ</t>
  </si>
  <si>
    <t>WWII</t>
  </si>
  <si>
    <t>WWIH</t>
  </si>
  <si>
    <t>WWHH</t>
  </si>
  <si>
    <t>WWGG</t>
  </si>
  <si>
    <t>WWGF</t>
  </si>
  <si>
    <t>WWFF</t>
  </si>
  <si>
    <t>WWFE</t>
  </si>
  <si>
    <t>WWEE</t>
  </si>
  <si>
    <t>WWED</t>
  </si>
  <si>
    <t>WWDD</t>
  </si>
  <si>
    <t>WWDC</t>
  </si>
  <si>
    <t>WWDB</t>
  </si>
  <si>
    <t>WWDA</t>
  </si>
  <si>
    <t>WWCC</t>
  </si>
  <si>
    <t>WWCB</t>
  </si>
  <si>
    <t>WWBB</t>
  </si>
  <si>
    <t>WWAA</t>
  </si>
  <si>
    <t>VVVV</t>
  </si>
  <si>
    <t>VVUU</t>
  </si>
  <si>
    <t>VVTT</t>
  </si>
  <si>
    <t>VVSS</t>
  </si>
  <si>
    <t>VVRR</t>
  </si>
  <si>
    <t>VVQQ</t>
  </si>
  <si>
    <t>VVPP</t>
  </si>
  <si>
    <t>VVPO</t>
  </si>
  <si>
    <t>VVOO</t>
  </si>
  <si>
    <t>VVNN</t>
  </si>
  <si>
    <t>VVMN</t>
  </si>
  <si>
    <t>VVMM</t>
  </si>
  <si>
    <t>VVML</t>
  </si>
  <si>
    <t>VVLL</t>
  </si>
  <si>
    <t>VVLK</t>
  </si>
  <si>
    <t>VVKK</t>
  </si>
  <si>
    <t>VVJJ</t>
  </si>
  <si>
    <t>VVJI</t>
  </si>
  <si>
    <t>VVJH</t>
  </si>
  <si>
    <t>VVJG</t>
  </si>
  <si>
    <t>VVJF</t>
  </si>
  <si>
    <t>VVJE</t>
  </si>
  <si>
    <t>VVJD</t>
  </si>
  <si>
    <t>VVJC</t>
  </si>
  <si>
    <t>VVJB</t>
  </si>
  <si>
    <t>VVJA</t>
  </si>
  <si>
    <t>VVFF</t>
  </si>
  <si>
    <t>VVFE</t>
  </si>
  <si>
    <t>VVFD</t>
  </si>
  <si>
    <t>VVFC</t>
  </si>
  <si>
    <t>VVFB</t>
  </si>
  <si>
    <t>VVFA</t>
  </si>
  <si>
    <t>VVEE</t>
  </si>
  <si>
    <t>VVED</t>
  </si>
  <si>
    <t>VVEC</t>
  </si>
  <si>
    <t>VVEB</t>
  </si>
  <si>
    <t>VVEA</t>
  </si>
  <si>
    <t>VVDD</t>
  </si>
  <si>
    <t>VVCC</t>
  </si>
  <si>
    <t>VVCB</t>
  </si>
  <si>
    <t>VVCA</t>
  </si>
  <si>
    <t>VVBB</t>
  </si>
  <si>
    <t>VVBA</t>
  </si>
  <si>
    <t>VVAA</t>
  </si>
  <si>
    <t>UUUU</t>
  </si>
  <si>
    <t>UUTT</t>
  </si>
  <si>
    <t>UUTS</t>
  </si>
  <si>
    <t>UUSS</t>
  </si>
  <si>
    <t>UURR</t>
  </si>
  <si>
    <t>UURQ</t>
  </si>
  <si>
    <t>UUQQ</t>
  </si>
  <si>
    <t>UUQP</t>
  </si>
  <si>
    <t>UUPP</t>
  </si>
  <si>
    <t>UUPO</t>
  </si>
  <si>
    <t>UUNN</t>
  </si>
  <si>
    <t>UUNM</t>
  </si>
  <si>
    <t>UUMM</t>
  </si>
  <si>
    <t>UUKK</t>
  </si>
  <si>
    <t>UUKJ</t>
  </si>
  <si>
    <t>UUJJ</t>
  </si>
  <si>
    <t>UUII</t>
  </si>
  <si>
    <t>UUIH</t>
  </si>
  <si>
    <t>UUHH</t>
  </si>
  <si>
    <t>UUHG</t>
  </si>
  <si>
    <t>UUGG</t>
  </si>
  <si>
    <t>UUGF</t>
  </si>
  <si>
    <t>UUFF</t>
  </si>
  <si>
    <t>UUEE</t>
  </si>
  <si>
    <t>UUDD</t>
  </si>
  <si>
    <t>UUCC</t>
  </si>
  <si>
    <t>UUBB</t>
  </si>
  <si>
    <t>UUAA</t>
  </si>
  <si>
    <t>TTTT</t>
  </si>
  <si>
    <t>TTSS</t>
  </si>
  <si>
    <t>TTRR</t>
  </si>
  <si>
    <t>TTQQ</t>
  </si>
  <si>
    <t>TTPP</t>
  </si>
  <si>
    <t>TTOO</t>
  </si>
  <si>
    <t>TTNN</t>
  </si>
  <si>
    <t>TTMM</t>
  </si>
  <si>
    <t>TTKK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</si>
</sst>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_);[Red]\(0.0\)"/>
    <numFmt numFmtId="177" formatCode="0.0_ "/>
    <numFmt numFmtId="178" formatCode="0_ "/>
    <numFmt numFmtId="179" formatCode="0.000_ "/>
    <numFmt numFmtId="180" formatCode="0.00_ "/>
    <numFmt numFmtId="183" formatCode="0.0000_);[Red]\(0.0000\)"/>
    <numFmt numFmtId="184" formatCode="0.0_ ;[Red]\-0.0\ "/>
  </numFmts>
  <fonts count="25" x14ac:knownFonts="1">
    <font>
      <sz val="11"/>
      <color theme="1"/>
      <name val="ＭＳ Ｐゴシック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1"/>
      <color theme="1"/>
      <name val="ＭＳ Ｐゴシック"/>
      <family val="2"/>
      <charset val="128"/>
      <scheme val="minor"/>
    </font>
    <font>
      <b/>
      <sz val="11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HGSｺﾞｼｯｸM"/>
      <family val="3"/>
      <charset val="128"/>
    </font>
    <font>
      <b/>
      <sz val="18"/>
      <color theme="1"/>
      <name val="Meiryo UI"/>
      <family val="3"/>
      <charset val="128"/>
    </font>
    <font>
      <sz val="6"/>
      <name val="游ゴシック"/>
      <family val="3"/>
      <charset val="128"/>
    </font>
    <font>
      <sz val="11"/>
      <color rgb="FFFF0000"/>
      <name val="メイリオ"/>
      <family val="3"/>
      <charset val="128"/>
    </font>
    <font>
      <b/>
      <sz val="11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sz val="11"/>
      <color indexed="8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>
      <alignment vertical="center"/>
    </xf>
    <xf numFmtId="0" fontId="5" fillId="0" borderId="0">
      <alignment vertical="center"/>
    </xf>
    <xf numFmtId="0" fontId="15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22" fillId="0" borderId="0"/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ill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49" fontId="16" fillId="0" borderId="0" xfId="2" applyNumberFormat="1" applyFont="1" applyAlignment="1">
      <alignment vertical="top"/>
    </xf>
    <xf numFmtId="0" fontId="10" fillId="0" borderId="0" xfId="3" applyFont="1" applyAlignment="1">
      <alignment horizontal="center" vertical="center"/>
    </xf>
    <xf numFmtId="49" fontId="10" fillId="0" borderId="0" xfId="3" applyNumberFormat="1" applyFont="1" applyAlignment="1">
      <alignment horizontal="center" vertical="center"/>
    </xf>
    <xf numFmtId="49" fontId="18" fillId="0" borderId="0" xfId="3" applyNumberFormat="1" applyFont="1" applyAlignment="1">
      <alignment horizontal="center" vertical="center"/>
    </xf>
    <xf numFmtId="49" fontId="10" fillId="0" borderId="0" xfId="3" applyNumberFormat="1" applyFont="1" applyAlignment="1">
      <alignment horizontal="left" vertical="center"/>
    </xf>
    <xf numFmtId="0" fontId="10" fillId="0" borderId="0" xfId="3" applyFont="1">
      <alignment vertical="center"/>
    </xf>
    <xf numFmtId="0" fontId="11" fillId="0" borderId="0" xfId="3" applyFont="1" applyAlignment="1">
      <alignment horizontal="center" vertical="center"/>
    </xf>
    <xf numFmtId="38" fontId="10" fillId="0" borderId="0" xfId="4" applyFont="1" applyFill="1" applyAlignment="1">
      <alignment horizontal="center" vertical="center"/>
    </xf>
    <xf numFmtId="0" fontId="10" fillId="0" borderId="0" xfId="3" applyFont="1" applyAlignment="1">
      <alignment horizontal="center" vertical="center" shrinkToFit="1"/>
    </xf>
    <xf numFmtId="0" fontId="11" fillId="0" borderId="4" xfId="3" applyFont="1" applyBorder="1" applyAlignment="1">
      <alignment horizontal="center" vertical="center"/>
    </xf>
    <xf numFmtId="0" fontId="19" fillId="0" borderId="4" xfId="3" applyFont="1" applyBorder="1" applyAlignment="1">
      <alignment vertical="center" wrapText="1"/>
    </xf>
    <xf numFmtId="49" fontId="19" fillId="0" borderId="4" xfId="3" applyNumberFormat="1" applyFont="1" applyBorder="1" applyAlignment="1">
      <alignment horizontal="center" vertical="center"/>
    </xf>
    <xf numFmtId="0" fontId="19" fillId="0" borderId="4" xfId="3" applyFont="1" applyBorder="1" applyAlignment="1">
      <alignment horizontal="center" vertical="center" shrinkToFit="1"/>
    </xf>
    <xf numFmtId="0" fontId="11" fillId="0" borderId="8" xfId="3" applyFont="1" applyBorder="1" applyAlignment="1">
      <alignment horizontal="center" vertical="center"/>
    </xf>
    <xf numFmtId="0" fontId="10" fillId="0" borderId="0" xfId="3" applyFont="1" applyAlignment="1">
      <alignment horizontal="right" vertical="center"/>
    </xf>
    <xf numFmtId="0" fontId="11" fillId="0" borderId="2" xfId="3" applyFont="1" applyBorder="1" applyAlignment="1">
      <alignment horizontal="center" vertical="center" wrapText="1"/>
    </xf>
    <xf numFmtId="0" fontId="19" fillId="0" borderId="2" xfId="3" applyFont="1" applyBorder="1" applyAlignment="1">
      <alignment vertical="center" wrapText="1"/>
    </xf>
    <xf numFmtId="49" fontId="19" fillId="0" borderId="2" xfId="3" applyNumberFormat="1" applyFont="1" applyBorder="1" applyAlignment="1">
      <alignment horizontal="center" vertical="center"/>
    </xf>
    <xf numFmtId="49" fontId="19" fillId="2" borderId="2" xfId="3" applyNumberFormat="1" applyFont="1" applyFill="1" applyBorder="1" applyAlignment="1">
      <alignment horizontal="center" vertical="center" wrapText="1"/>
    </xf>
    <xf numFmtId="0" fontId="19" fillId="0" borderId="2" xfId="3" applyFont="1" applyBorder="1" applyAlignment="1">
      <alignment vertical="center" shrinkToFit="1"/>
    </xf>
    <xf numFmtId="49" fontId="19" fillId="0" borderId="2" xfId="3" applyNumberFormat="1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/>
    </xf>
    <xf numFmtId="38" fontId="11" fillId="0" borderId="7" xfId="4" applyFont="1" applyFill="1" applyBorder="1" applyAlignment="1">
      <alignment horizontal="center" vertical="center" wrapText="1"/>
    </xf>
    <xf numFmtId="0" fontId="11" fillId="0" borderId="7" xfId="3" applyFont="1" applyBorder="1" applyAlignment="1">
      <alignment horizontal="center" vertical="center"/>
    </xf>
    <xf numFmtId="0" fontId="11" fillId="0" borderId="4" xfId="3" applyFont="1" applyBorder="1" applyAlignment="1">
      <alignment horizontal="center" vertical="center" wrapText="1"/>
    </xf>
    <xf numFmtId="38" fontId="11" fillId="0" borderId="3" xfId="4" applyFont="1" applyFill="1" applyBorder="1" applyAlignment="1">
      <alignment horizontal="center" vertical="center" wrapText="1"/>
    </xf>
    <xf numFmtId="0" fontId="11" fillId="0" borderId="3" xfId="3" applyFont="1" applyBorder="1" applyAlignment="1">
      <alignment horizontal="center" vertical="center"/>
    </xf>
    <xf numFmtId="0" fontId="11" fillId="0" borderId="4" xfId="3" applyFont="1" applyBorder="1" applyAlignment="1">
      <alignment vertical="center" wrapText="1"/>
    </xf>
    <xf numFmtId="0" fontId="11" fillId="0" borderId="2" xfId="3" applyFont="1" applyBorder="1">
      <alignment vertical="center"/>
    </xf>
    <xf numFmtId="0" fontId="11" fillId="0" borderId="2" xfId="3" applyFont="1" applyBorder="1" applyAlignment="1">
      <alignment vertical="center" wrapText="1"/>
    </xf>
    <xf numFmtId="0" fontId="12" fillId="0" borderId="2" xfId="3" applyFont="1" applyBorder="1">
      <alignment vertical="center"/>
    </xf>
    <xf numFmtId="0" fontId="10" fillId="0" borderId="2" xfId="3" applyFont="1" applyBorder="1">
      <alignment vertical="center"/>
    </xf>
    <xf numFmtId="0" fontId="4" fillId="0" borderId="2" xfId="3" applyBorder="1">
      <alignment vertical="center"/>
    </xf>
    <xf numFmtId="179" fontId="12" fillId="0" borderId="2" xfId="3" applyNumberFormat="1" applyFont="1" applyBorder="1">
      <alignment vertical="center"/>
    </xf>
    <xf numFmtId="38" fontId="0" fillId="0" borderId="2" xfId="4" applyFont="1" applyFill="1" applyBorder="1">
      <alignment vertical="center"/>
    </xf>
    <xf numFmtId="38" fontId="11" fillId="0" borderId="2" xfId="4" applyFont="1" applyFill="1" applyBorder="1" applyAlignment="1">
      <alignment horizontal="center" vertical="center" wrapText="1"/>
    </xf>
    <xf numFmtId="180" fontId="4" fillId="0" borderId="2" xfId="3" applyNumberFormat="1" applyBorder="1">
      <alignment vertical="center"/>
    </xf>
    <xf numFmtId="178" fontId="4" fillId="0" borderId="2" xfId="3" applyNumberFormat="1" applyBorder="1">
      <alignment vertical="center"/>
    </xf>
    <xf numFmtId="0" fontId="4" fillId="0" borderId="0" xfId="3">
      <alignment vertical="center"/>
    </xf>
    <xf numFmtId="38" fontId="10" fillId="2" borderId="0" xfId="4" applyFont="1" applyFill="1" applyAlignment="1">
      <alignment horizontal="center" vertical="center"/>
    </xf>
    <xf numFmtId="0" fontId="10" fillId="2" borderId="0" xfId="3" applyFont="1" applyFill="1" applyAlignment="1">
      <alignment horizontal="center" vertical="center"/>
    </xf>
    <xf numFmtId="0" fontId="11" fillId="2" borderId="0" xfId="3" applyFont="1" applyFill="1" applyAlignment="1">
      <alignment horizontal="center" vertical="center"/>
    </xf>
    <xf numFmtId="0" fontId="10" fillId="2" borderId="0" xfId="3" applyFont="1" applyFill="1">
      <alignment vertical="center"/>
    </xf>
    <xf numFmtId="0" fontId="12" fillId="2" borderId="2" xfId="3" applyFont="1" applyFill="1" applyBorder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11" fillId="4" borderId="0" xfId="3" applyFont="1" applyFill="1" applyBorder="1" applyAlignment="1">
      <alignment horizontal="center" vertical="center"/>
    </xf>
    <xf numFmtId="179" fontId="12" fillId="0" borderId="0" xfId="3" applyNumberFormat="1" applyFont="1" applyBorder="1">
      <alignment vertical="center"/>
    </xf>
    <xf numFmtId="0" fontId="14" fillId="3" borderId="0" xfId="0" applyFont="1" applyFill="1">
      <alignment vertical="center"/>
    </xf>
    <xf numFmtId="0" fontId="14" fillId="0" borderId="0" xfId="0" applyFont="1" applyAlignment="1">
      <alignment horizontal="left" vertical="center"/>
    </xf>
    <xf numFmtId="56" fontId="14" fillId="0" borderId="0" xfId="0" applyNumberFormat="1" applyFont="1">
      <alignment vertical="center"/>
    </xf>
    <xf numFmtId="183" fontId="14" fillId="0" borderId="0" xfId="0" applyNumberFormat="1" applyFont="1">
      <alignment vertical="center"/>
    </xf>
    <xf numFmtId="177" fontId="14" fillId="0" borderId="0" xfId="0" applyNumberFormat="1" applyFont="1">
      <alignment vertical="center"/>
    </xf>
    <xf numFmtId="176" fontId="14" fillId="0" borderId="0" xfId="0" applyNumberFormat="1" applyFont="1">
      <alignment vertical="center"/>
    </xf>
    <xf numFmtId="0" fontId="14" fillId="0" borderId="0" xfId="0" applyFont="1" applyFill="1">
      <alignment vertical="center"/>
    </xf>
    <xf numFmtId="177" fontId="14" fillId="0" borderId="0" xfId="0" applyNumberFormat="1" applyFont="1" applyFill="1">
      <alignment vertical="center"/>
    </xf>
    <xf numFmtId="183" fontId="14" fillId="2" borderId="0" xfId="0" applyNumberFormat="1" applyFont="1" applyFill="1">
      <alignment vertical="center"/>
    </xf>
    <xf numFmtId="0" fontId="0" fillId="2" borderId="0" xfId="0" applyFill="1">
      <alignment vertical="center"/>
    </xf>
    <xf numFmtId="56" fontId="14" fillId="3" borderId="0" xfId="0" applyNumberFormat="1" applyFont="1" applyFill="1">
      <alignment vertical="center"/>
    </xf>
    <xf numFmtId="0" fontId="13" fillId="0" borderId="0" xfId="0" applyFont="1" applyFill="1">
      <alignment vertical="center"/>
    </xf>
    <xf numFmtId="184" fontId="14" fillId="0" borderId="0" xfId="0" applyNumberFormat="1" applyFont="1">
      <alignment vertical="center"/>
    </xf>
    <xf numFmtId="9" fontId="14" fillId="0" borderId="0" xfId="7" applyFont="1" applyFill="1">
      <alignment vertical="center"/>
    </xf>
    <xf numFmtId="0" fontId="1" fillId="0" borderId="2" xfId="3" applyFont="1" applyBorder="1">
      <alignment vertical="center"/>
    </xf>
    <xf numFmtId="0" fontId="11" fillId="4" borderId="9" xfId="3" applyFont="1" applyFill="1" applyBorder="1" applyAlignment="1">
      <alignment horizontal="center" vertical="center"/>
    </xf>
    <xf numFmtId="0" fontId="11" fillId="4" borderId="10" xfId="3" applyFont="1" applyFill="1" applyBorder="1" applyAlignment="1">
      <alignment horizontal="center" vertical="center"/>
    </xf>
    <xf numFmtId="0" fontId="11" fillId="4" borderId="11" xfId="3" applyFont="1" applyFill="1" applyBorder="1" applyAlignment="1">
      <alignment horizontal="center" vertical="center"/>
    </xf>
    <xf numFmtId="49" fontId="19" fillId="0" borderId="1" xfId="3" applyNumberFormat="1" applyFont="1" applyBorder="1" applyAlignment="1">
      <alignment horizontal="center" vertical="center" wrapText="1"/>
    </xf>
    <xf numFmtId="49" fontId="19" fillId="0" borderId="5" xfId="3" applyNumberFormat="1" applyFont="1" applyBorder="1" applyAlignment="1">
      <alignment horizontal="center" vertical="center"/>
    </xf>
    <xf numFmtId="49" fontId="19" fillId="0" borderId="6" xfId="3" applyNumberFormat="1" applyFont="1" applyBorder="1" applyAlignment="1">
      <alignment horizontal="center" vertical="center"/>
    </xf>
    <xf numFmtId="49" fontId="19" fillId="0" borderId="1" xfId="3" applyNumberFormat="1" applyFont="1" applyBorder="1" applyAlignment="1">
      <alignment horizontal="center" vertical="center"/>
    </xf>
  </cellXfs>
  <cellStyles count="11">
    <cellStyle name="パーセント" xfId="7" builtinId="5"/>
    <cellStyle name="パーセント 2" xfId="10" xr:uid="{DBAAE945-A584-49C7-A595-ABCF4EC35D03}"/>
    <cellStyle name="桁区切り 2" xfId="4" xr:uid="{D0F8AC5F-8011-4CCF-A749-520B616B38D1}"/>
    <cellStyle name="標準" xfId="0" builtinId="0"/>
    <cellStyle name="標準 2" xfId="1" xr:uid="{00000000-0005-0000-0000-000002000000}"/>
    <cellStyle name="標準 2 2" xfId="5" xr:uid="{BE8A84B8-E37F-4357-8016-F99C720B4BA9}"/>
    <cellStyle name="標準 3" xfId="2" xr:uid="{F0EE73EA-906D-4C7F-B622-0107F5840FA0}"/>
    <cellStyle name="標準 4" xfId="3" xr:uid="{C9D4AE09-BEDB-48F1-801F-647F23CF423F}"/>
    <cellStyle name="標準 4 2" xfId="6" xr:uid="{B1D83191-20BA-46EF-AB53-7D22985ECD0D}"/>
    <cellStyle name="標準 5" xfId="8" xr:uid="{108DAF92-01E8-4CB3-AB06-C08395FB3489}"/>
    <cellStyle name="標準 6" xfId="9" xr:uid="{0AC62640-3926-4B04-8B8C-190E02F80F8F}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FF33CC"/>
      <color rgb="FF0000FF"/>
      <color rgb="FFFFCCFF"/>
      <color rgb="FFFFFFCC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10</a:t>
            </a:r>
            <a:r>
              <a:rPr lang="ja-JP" altLang="en-US"/>
              <a:t>月荷量（日ごと）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まとめ!$J$171:$AN$171</c:f>
              <c:numCache>
                <c:formatCode>0.0000_);[Red]\(0.0000\)</c:formatCode>
                <c:ptCount val="31"/>
                <c:pt idx="0">
                  <c:v>0</c:v>
                </c:pt>
                <c:pt idx="1">
                  <c:v>90.479626200000013</c:v>
                </c:pt>
                <c:pt idx="2">
                  <c:v>88.607116200000021</c:v>
                </c:pt>
                <c:pt idx="3">
                  <c:v>84.537916200000026</c:v>
                </c:pt>
                <c:pt idx="4">
                  <c:v>89.389368125000033</c:v>
                </c:pt>
                <c:pt idx="5">
                  <c:v>82.555385050000027</c:v>
                </c:pt>
                <c:pt idx="6">
                  <c:v>0</c:v>
                </c:pt>
                <c:pt idx="7">
                  <c:v>0</c:v>
                </c:pt>
                <c:pt idx="8">
                  <c:v>89.692166200000017</c:v>
                </c:pt>
                <c:pt idx="9">
                  <c:v>86.31207337500004</c:v>
                </c:pt>
                <c:pt idx="10">
                  <c:v>84.443911200000016</c:v>
                </c:pt>
                <c:pt idx="11">
                  <c:v>89.250392125000019</c:v>
                </c:pt>
                <c:pt idx="12">
                  <c:v>84.512281200000018</c:v>
                </c:pt>
                <c:pt idx="13">
                  <c:v>0</c:v>
                </c:pt>
                <c:pt idx="14">
                  <c:v>0</c:v>
                </c:pt>
                <c:pt idx="15">
                  <c:v>90.983721775000021</c:v>
                </c:pt>
                <c:pt idx="16">
                  <c:v>90.775795575000004</c:v>
                </c:pt>
                <c:pt idx="17">
                  <c:v>83.945403050000039</c:v>
                </c:pt>
                <c:pt idx="18">
                  <c:v>89.532129700000013</c:v>
                </c:pt>
                <c:pt idx="19">
                  <c:v>84.902857200000028</c:v>
                </c:pt>
                <c:pt idx="20">
                  <c:v>0</c:v>
                </c:pt>
                <c:pt idx="21">
                  <c:v>0</c:v>
                </c:pt>
                <c:pt idx="22">
                  <c:v>92.944317775000044</c:v>
                </c:pt>
                <c:pt idx="23">
                  <c:v>90.100479950000022</c:v>
                </c:pt>
                <c:pt idx="24">
                  <c:v>84.653826200000026</c:v>
                </c:pt>
                <c:pt idx="25">
                  <c:v>89.700663275000039</c:v>
                </c:pt>
                <c:pt idx="26">
                  <c:v>85.441484700000018</c:v>
                </c:pt>
                <c:pt idx="27">
                  <c:v>0</c:v>
                </c:pt>
                <c:pt idx="28">
                  <c:v>0</c:v>
                </c:pt>
                <c:pt idx="29">
                  <c:v>91.914189700000023</c:v>
                </c:pt>
                <c:pt idx="30">
                  <c:v>90.405660275000031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E-4DCB-B17F-C1383822D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531647"/>
        <c:axId val="77524991"/>
      </c:barChart>
      <c:catAx>
        <c:axId val="7753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7524991"/>
        <c:crosses val="autoZero"/>
        <c:auto val="1"/>
        <c:lblAlgn val="ctr"/>
        <c:lblOffset val="100"/>
        <c:noMultiLvlLbl val="0"/>
      </c:catAx>
      <c:valAx>
        <c:axId val="7752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_);[Red]\(0.00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753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内示</a:t>
            </a:r>
            <a:r>
              <a:rPr lang="en-US" altLang="ja-JP"/>
              <a:t>×</a:t>
            </a:r>
            <a:r>
              <a:rPr lang="ja-JP" altLang="en-US"/>
              <a:t>確定　差</a:t>
            </a:r>
          </a:p>
        </c:rich>
      </c:tx>
      <c:layout>
        <c:manualLayout>
          <c:xMode val="edge"/>
          <c:yMode val="edge"/>
          <c:x val="0.46256802729549296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まとめ!$B$36</c:f>
              <c:strCache>
                <c:ptCount val="1"/>
                <c:pt idx="0">
                  <c:v>内示（m3）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まとめ!$C$35:$BR$35</c:f>
              <c:strCache>
                <c:ptCount val="68"/>
                <c:pt idx="0">
                  <c:v>1日1便</c:v>
                </c:pt>
                <c:pt idx="1">
                  <c:v>1日2便</c:v>
                </c:pt>
                <c:pt idx="2">
                  <c:v>1日3便</c:v>
                </c:pt>
                <c:pt idx="3">
                  <c:v>1日4便</c:v>
                </c:pt>
                <c:pt idx="4">
                  <c:v>2日1便</c:v>
                </c:pt>
                <c:pt idx="5">
                  <c:v>2日2便</c:v>
                </c:pt>
                <c:pt idx="6">
                  <c:v>2日3便</c:v>
                </c:pt>
                <c:pt idx="7">
                  <c:v>2日4便</c:v>
                </c:pt>
                <c:pt idx="8">
                  <c:v>3日1便</c:v>
                </c:pt>
                <c:pt idx="9">
                  <c:v>3日2便</c:v>
                </c:pt>
                <c:pt idx="10">
                  <c:v>3日3便</c:v>
                </c:pt>
                <c:pt idx="11">
                  <c:v>3日4便</c:v>
                </c:pt>
                <c:pt idx="12">
                  <c:v>4日1便</c:v>
                </c:pt>
                <c:pt idx="13">
                  <c:v>4日2便</c:v>
                </c:pt>
                <c:pt idx="14">
                  <c:v>4日3便</c:v>
                </c:pt>
                <c:pt idx="15">
                  <c:v>4日4便</c:v>
                </c:pt>
                <c:pt idx="16">
                  <c:v>5日1便</c:v>
                </c:pt>
                <c:pt idx="17">
                  <c:v>5日2便</c:v>
                </c:pt>
                <c:pt idx="18">
                  <c:v>5日3便</c:v>
                </c:pt>
                <c:pt idx="19">
                  <c:v>5日4便</c:v>
                </c:pt>
                <c:pt idx="20">
                  <c:v>6日1便</c:v>
                </c:pt>
                <c:pt idx="21">
                  <c:v>6日2便</c:v>
                </c:pt>
                <c:pt idx="22">
                  <c:v>6日3便</c:v>
                </c:pt>
                <c:pt idx="23">
                  <c:v>6日4便</c:v>
                </c:pt>
                <c:pt idx="24">
                  <c:v>7日1便</c:v>
                </c:pt>
                <c:pt idx="25">
                  <c:v>7日2便</c:v>
                </c:pt>
                <c:pt idx="26">
                  <c:v>7日3便</c:v>
                </c:pt>
                <c:pt idx="27">
                  <c:v>7日4便</c:v>
                </c:pt>
                <c:pt idx="28">
                  <c:v>8日1便</c:v>
                </c:pt>
                <c:pt idx="29">
                  <c:v>8日2便</c:v>
                </c:pt>
                <c:pt idx="30">
                  <c:v>8日3便</c:v>
                </c:pt>
                <c:pt idx="31">
                  <c:v>8日4便</c:v>
                </c:pt>
                <c:pt idx="32">
                  <c:v>9日1便</c:v>
                </c:pt>
                <c:pt idx="33">
                  <c:v>9日2便</c:v>
                </c:pt>
                <c:pt idx="34">
                  <c:v>9日3便</c:v>
                </c:pt>
                <c:pt idx="35">
                  <c:v>9日4便</c:v>
                </c:pt>
                <c:pt idx="36">
                  <c:v>10日1便</c:v>
                </c:pt>
                <c:pt idx="37">
                  <c:v>10日2便</c:v>
                </c:pt>
                <c:pt idx="38">
                  <c:v>10日3便</c:v>
                </c:pt>
                <c:pt idx="39">
                  <c:v>10日4便</c:v>
                </c:pt>
                <c:pt idx="40">
                  <c:v>11日1便</c:v>
                </c:pt>
                <c:pt idx="41">
                  <c:v>11日2便</c:v>
                </c:pt>
                <c:pt idx="42">
                  <c:v>11日3便</c:v>
                </c:pt>
                <c:pt idx="43">
                  <c:v>11日4便</c:v>
                </c:pt>
                <c:pt idx="44">
                  <c:v>12日1便</c:v>
                </c:pt>
                <c:pt idx="45">
                  <c:v>12日2便</c:v>
                </c:pt>
                <c:pt idx="46">
                  <c:v>12日3便</c:v>
                </c:pt>
                <c:pt idx="47">
                  <c:v>12日4便</c:v>
                </c:pt>
                <c:pt idx="48">
                  <c:v>13日1便</c:v>
                </c:pt>
                <c:pt idx="49">
                  <c:v>13日2便</c:v>
                </c:pt>
                <c:pt idx="50">
                  <c:v>13日3便</c:v>
                </c:pt>
                <c:pt idx="51">
                  <c:v>13日4便</c:v>
                </c:pt>
                <c:pt idx="52">
                  <c:v>14日1便</c:v>
                </c:pt>
                <c:pt idx="53">
                  <c:v>14日2便</c:v>
                </c:pt>
                <c:pt idx="54">
                  <c:v>14日3便</c:v>
                </c:pt>
                <c:pt idx="55">
                  <c:v>14日4便</c:v>
                </c:pt>
                <c:pt idx="56">
                  <c:v>15日1便</c:v>
                </c:pt>
                <c:pt idx="57">
                  <c:v>15日2便</c:v>
                </c:pt>
                <c:pt idx="58">
                  <c:v>15日3便</c:v>
                </c:pt>
                <c:pt idx="59">
                  <c:v>15日4便</c:v>
                </c:pt>
                <c:pt idx="60">
                  <c:v>16日1便</c:v>
                </c:pt>
                <c:pt idx="61">
                  <c:v>16日2便</c:v>
                </c:pt>
                <c:pt idx="62">
                  <c:v>16日3便</c:v>
                </c:pt>
                <c:pt idx="63">
                  <c:v>16日4便</c:v>
                </c:pt>
                <c:pt idx="64">
                  <c:v>17日1便</c:v>
                </c:pt>
                <c:pt idx="65">
                  <c:v>17日2便</c:v>
                </c:pt>
                <c:pt idx="66">
                  <c:v>17日3便</c:v>
                </c:pt>
                <c:pt idx="67">
                  <c:v>17日4便</c:v>
                </c:pt>
              </c:strCache>
            </c:strRef>
          </c:cat>
          <c:val>
            <c:numRef>
              <c:f>まとめ!$C$36:$BR$36</c:f>
              <c:numCache>
                <c:formatCode>0.0_);[Red]\(0.0\)</c:formatCode>
                <c:ptCount val="68"/>
                <c:pt idx="4">
                  <c:v>22.619906550000003</c:v>
                </c:pt>
                <c:pt idx="5">
                  <c:v>22.619906550000003</c:v>
                </c:pt>
                <c:pt idx="6">
                  <c:v>22.619906550000003</c:v>
                </c:pt>
                <c:pt idx="7">
                  <c:v>22.619906550000003</c:v>
                </c:pt>
                <c:pt idx="8">
                  <c:v>22.151779050000005</c:v>
                </c:pt>
                <c:pt idx="9">
                  <c:v>22.151779050000005</c:v>
                </c:pt>
                <c:pt idx="10">
                  <c:v>22.151779050000005</c:v>
                </c:pt>
                <c:pt idx="11">
                  <c:v>22.151779050000005</c:v>
                </c:pt>
                <c:pt idx="12">
                  <c:v>21.134479050000007</c:v>
                </c:pt>
                <c:pt idx="13">
                  <c:v>21.134479050000007</c:v>
                </c:pt>
                <c:pt idx="14">
                  <c:v>21.134479050000007</c:v>
                </c:pt>
                <c:pt idx="15">
                  <c:v>21.134479050000007</c:v>
                </c:pt>
                <c:pt idx="16">
                  <c:v>22.347342031250008</c:v>
                </c:pt>
                <c:pt idx="17">
                  <c:v>22.347342031250008</c:v>
                </c:pt>
                <c:pt idx="18">
                  <c:v>22.347342031250008</c:v>
                </c:pt>
                <c:pt idx="19">
                  <c:v>22.347342031250008</c:v>
                </c:pt>
                <c:pt idx="20">
                  <c:v>20.638846262500007</c:v>
                </c:pt>
                <c:pt idx="21">
                  <c:v>20.638846262500007</c:v>
                </c:pt>
                <c:pt idx="22">
                  <c:v>20.638846262500007</c:v>
                </c:pt>
                <c:pt idx="23">
                  <c:v>20.638846262500007</c:v>
                </c:pt>
                <c:pt idx="32">
                  <c:v>22.423041550000004</c:v>
                </c:pt>
                <c:pt idx="33">
                  <c:v>22.423041550000004</c:v>
                </c:pt>
                <c:pt idx="34">
                  <c:v>22.423041550000004</c:v>
                </c:pt>
                <c:pt idx="35">
                  <c:v>22.423041550000004</c:v>
                </c:pt>
                <c:pt idx="36">
                  <c:v>21.57801834375001</c:v>
                </c:pt>
                <c:pt idx="37">
                  <c:v>21.57801834375001</c:v>
                </c:pt>
                <c:pt idx="38">
                  <c:v>21.57801834375001</c:v>
                </c:pt>
                <c:pt idx="39">
                  <c:v>21.57801834375001</c:v>
                </c:pt>
                <c:pt idx="40">
                  <c:v>21.110977800000004</c:v>
                </c:pt>
                <c:pt idx="41">
                  <c:v>21.110977800000004</c:v>
                </c:pt>
                <c:pt idx="42">
                  <c:v>21.110977800000004</c:v>
                </c:pt>
                <c:pt idx="43">
                  <c:v>21.110977800000004</c:v>
                </c:pt>
                <c:pt idx="44">
                  <c:v>22.312598031250005</c:v>
                </c:pt>
                <c:pt idx="45">
                  <c:v>22.312598031250005</c:v>
                </c:pt>
                <c:pt idx="46">
                  <c:v>22.312598031250005</c:v>
                </c:pt>
                <c:pt idx="47">
                  <c:v>22.312598031250005</c:v>
                </c:pt>
                <c:pt idx="48" formatCode="0.0_ ">
                  <c:v>21.128070300000005</c:v>
                </c:pt>
                <c:pt idx="49" formatCode="0.0_ ">
                  <c:v>21.128070300000005</c:v>
                </c:pt>
                <c:pt idx="50" formatCode="0.0_ ">
                  <c:v>21.128070300000005</c:v>
                </c:pt>
                <c:pt idx="51" formatCode="0.0_ ">
                  <c:v>21.128070300000005</c:v>
                </c:pt>
                <c:pt idx="60">
                  <c:v>22.745930443750005</c:v>
                </c:pt>
                <c:pt idx="61">
                  <c:v>22.745930443750005</c:v>
                </c:pt>
                <c:pt idx="62">
                  <c:v>22.745930443750005</c:v>
                </c:pt>
                <c:pt idx="63">
                  <c:v>22.745930443750005</c:v>
                </c:pt>
                <c:pt idx="64">
                  <c:v>22.693948893750001</c:v>
                </c:pt>
                <c:pt idx="65">
                  <c:v>22.693948893750001</c:v>
                </c:pt>
                <c:pt idx="66">
                  <c:v>22.693948893750001</c:v>
                </c:pt>
                <c:pt idx="67">
                  <c:v>22.693948893750001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24-4180-B6D1-64F0BD15080E}"/>
            </c:ext>
          </c:extLst>
        </c:ser>
        <c:ser>
          <c:idx val="1"/>
          <c:order val="1"/>
          <c:tx>
            <c:strRef>
              <c:f>まとめ!$B$37</c:f>
              <c:strCache>
                <c:ptCount val="1"/>
                <c:pt idx="0">
                  <c:v>確定（m3）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まとめ!$C$35:$BR$35</c:f>
              <c:strCache>
                <c:ptCount val="68"/>
                <c:pt idx="0">
                  <c:v>1日1便</c:v>
                </c:pt>
                <c:pt idx="1">
                  <c:v>1日2便</c:v>
                </c:pt>
                <c:pt idx="2">
                  <c:v>1日3便</c:v>
                </c:pt>
                <c:pt idx="3">
                  <c:v>1日4便</c:v>
                </c:pt>
                <c:pt idx="4">
                  <c:v>2日1便</c:v>
                </c:pt>
                <c:pt idx="5">
                  <c:v>2日2便</c:v>
                </c:pt>
                <c:pt idx="6">
                  <c:v>2日3便</c:v>
                </c:pt>
                <c:pt idx="7">
                  <c:v>2日4便</c:v>
                </c:pt>
                <c:pt idx="8">
                  <c:v>3日1便</c:v>
                </c:pt>
                <c:pt idx="9">
                  <c:v>3日2便</c:v>
                </c:pt>
                <c:pt idx="10">
                  <c:v>3日3便</c:v>
                </c:pt>
                <c:pt idx="11">
                  <c:v>3日4便</c:v>
                </c:pt>
                <c:pt idx="12">
                  <c:v>4日1便</c:v>
                </c:pt>
                <c:pt idx="13">
                  <c:v>4日2便</c:v>
                </c:pt>
                <c:pt idx="14">
                  <c:v>4日3便</c:v>
                </c:pt>
                <c:pt idx="15">
                  <c:v>4日4便</c:v>
                </c:pt>
                <c:pt idx="16">
                  <c:v>5日1便</c:v>
                </c:pt>
                <c:pt idx="17">
                  <c:v>5日2便</c:v>
                </c:pt>
                <c:pt idx="18">
                  <c:v>5日3便</c:v>
                </c:pt>
                <c:pt idx="19">
                  <c:v>5日4便</c:v>
                </c:pt>
                <c:pt idx="20">
                  <c:v>6日1便</c:v>
                </c:pt>
                <c:pt idx="21">
                  <c:v>6日2便</c:v>
                </c:pt>
                <c:pt idx="22">
                  <c:v>6日3便</c:v>
                </c:pt>
                <c:pt idx="23">
                  <c:v>6日4便</c:v>
                </c:pt>
                <c:pt idx="24">
                  <c:v>7日1便</c:v>
                </c:pt>
                <c:pt idx="25">
                  <c:v>7日2便</c:v>
                </c:pt>
                <c:pt idx="26">
                  <c:v>7日3便</c:v>
                </c:pt>
                <c:pt idx="27">
                  <c:v>7日4便</c:v>
                </c:pt>
                <c:pt idx="28">
                  <c:v>8日1便</c:v>
                </c:pt>
                <c:pt idx="29">
                  <c:v>8日2便</c:v>
                </c:pt>
                <c:pt idx="30">
                  <c:v>8日3便</c:v>
                </c:pt>
                <c:pt idx="31">
                  <c:v>8日4便</c:v>
                </c:pt>
                <c:pt idx="32">
                  <c:v>9日1便</c:v>
                </c:pt>
                <c:pt idx="33">
                  <c:v>9日2便</c:v>
                </c:pt>
                <c:pt idx="34">
                  <c:v>9日3便</c:v>
                </c:pt>
                <c:pt idx="35">
                  <c:v>9日4便</c:v>
                </c:pt>
                <c:pt idx="36">
                  <c:v>10日1便</c:v>
                </c:pt>
                <c:pt idx="37">
                  <c:v>10日2便</c:v>
                </c:pt>
                <c:pt idx="38">
                  <c:v>10日3便</c:v>
                </c:pt>
                <c:pt idx="39">
                  <c:v>10日4便</c:v>
                </c:pt>
                <c:pt idx="40">
                  <c:v>11日1便</c:v>
                </c:pt>
                <c:pt idx="41">
                  <c:v>11日2便</c:v>
                </c:pt>
                <c:pt idx="42">
                  <c:v>11日3便</c:v>
                </c:pt>
                <c:pt idx="43">
                  <c:v>11日4便</c:v>
                </c:pt>
                <c:pt idx="44">
                  <c:v>12日1便</c:v>
                </c:pt>
                <c:pt idx="45">
                  <c:v>12日2便</c:v>
                </c:pt>
                <c:pt idx="46">
                  <c:v>12日3便</c:v>
                </c:pt>
                <c:pt idx="47">
                  <c:v>12日4便</c:v>
                </c:pt>
                <c:pt idx="48">
                  <c:v>13日1便</c:v>
                </c:pt>
                <c:pt idx="49">
                  <c:v>13日2便</c:v>
                </c:pt>
                <c:pt idx="50">
                  <c:v>13日3便</c:v>
                </c:pt>
                <c:pt idx="51">
                  <c:v>13日4便</c:v>
                </c:pt>
                <c:pt idx="52">
                  <c:v>14日1便</c:v>
                </c:pt>
                <c:pt idx="53">
                  <c:v>14日2便</c:v>
                </c:pt>
                <c:pt idx="54">
                  <c:v>14日3便</c:v>
                </c:pt>
                <c:pt idx="55">
                  <c:v>14日4便</c:v>
                </c:pt>
                <c:pt idx="56">
                  <c:v>15日1便</c:v>
                </c:pt>
                <c:pt idx="57">
                  <c:v>15日2便</c:v>
                </c:pt>
                <c:pt idx="58">
                  <c:v>15日3便</c:v>
                </c:pt>
                <c:pt idx="59">
                  <c:v>15日4便</c:v>
                </c:pt>
                <c:pt idx="60">
                  <c:v>16日1便</c:v>
                </c:pt>
                <c:pt idx="61">
                  <c:v>16日2便</c:v>
                </c:pt>
                <c:pt idx="62">
                  <c:v>16日3便</c:v>
                </c:pt>
                <c:pt idx="63">
                  <c:v>16日4便</c:v>
                </c:pt>
                <c:pt idx="64">
                  <c:v>17日1便</c:v>
                </c:pt>
                <c:pt idx="65">
                  <c:v>17日2便</c:v>
                </c:pt>
                <c:pt idx="66">
                  <c:v>17日3便</c:v>
                </c:pt>
                <c:pt idx="67">
                  <c:v>17日4便</c:v>
                </c:pt>
              </c:strCache>
            </c:strRef>
          </c:cat>
          <c:val>
            <c:numRef>
              <c:f>まとめ!$C$37:$BR$37</c:f>
              <c:numCache>
                <c:formatCode>0.0_);[Red]\(0.0\)</c:formatCode>
                <c:ptCount val="68"/>
                <c:pt idx="4">
                  <c:v>22.019581700000003</c:v>
                </c:pt>
                <c:pt idx="5">
                  <c:v>24.588497275000002</c:v>
                </c:pt>
                <c:pt idx="6">
                  <c:v>23.618613425000007</c:v>
                </c:pt>
                <c:pt idx="7">
                  <c:v>19.163542500000002</c:v>
                </c:pt>
                <c:pt idx="8">
                  <c:v>21.565702275000003</c:v>
                </c:pt>
                <c:pt idx="9">
                  <c:v>20.940023200000006</c:v>
                </c:pt>
                <c:pt idx="10">
                  <c:v>21.764610125000008</c:v>
                </c:pt>
                <c:pt idx="11">
                  <c:v>21.673565000000011</c:v>
                </c:pt>
                <c:pt idx="12">
                  <c:v>21.053222500000004</c:v>
                </c:pt>
                <c:pt idx="13">
                  <c:v>24.467851275000001</c:v>
                </c:pt>
                <c:pt idx="14">
                  <c:v>21.677522625000009</c:v>
                </c:pt>
                <c:pt idx="15">
                  <c:v>19.111357500000004</c:v>
                </c:pt>
                <c:pt idx="16">
                  <c:v>21.66491820000001</c:v>
                </c:pt>
                <c:pt idx="17">
                  <c:v>22.363721500000004</c:v>
                </c:pt>
                <c:pt idx="18">
                  <c:v>18.828372625000004</c:v>
                </c:pt>
                <c:pt idx="19">
                  <c:v>15.622637500000002</c:v>
                </c:pt>
                <c:pt idx="20">
                  <c:v>23.753354200000011</c:v>
                </c:pt>
                <c:pt idx="21">
                  <c:v>19.849858625000003</c:v>
                </c:pt>
                <c:pt idx="22">
                  <c:v>24.279947625000009</c:v>
                </c:pt>
                <c:pt idx="23">
                  <c:v>19.435236500000002</c:v>
                </c:pt>
                <c:pt idx="32">
                  <c:v>23.296317075000005</c:v>
                </c:pt>
                <c:pt idx="33">
                  <c:v>24.842873775000001</c:v>
                </c:pt>
                <c:pt idx="34">
                  <c:v>23.427510125000005</c:v>
                </c:pt>
                <c:pt idx="35">
                  <c:v>21.666001500000007</c:v>
                </c:pt>
                <c:pt idx="36">
                  <c:v>15.308348200000005</c:v>
                </c:pt>
                <c:pt idx="37">
                  <c:v>21.773100250000002</c:v>
                </c:pt>
                <c:pt idx="38">
                  <c:v>22.734665125000006</c:v>
                </c:pt>
                <c:pt idx="39">
                  <c:v>20.671297500000009</c:v>
                </c:pt>
                <c:pt idx="40">
                  <c:v>20.734154200000003</c:v>
                </c:pt>
                <c:pt idx="41">
                  <c:v>19.235906274999998</c:v>
                </c:pt>
                <c:pt idx="42">
                  <c:v>21.788526125000004</c:v>
                </c:pt>
                <c:pt idx="43">
                  <c:v>20.050880000000006</c:v>
                </c:pt>
                <c:pt idx="44">
                  <c:v>23.599556000000007</c:v>
                </c:pt>
                <c:pt idx="45">
                  <c:v>23.334611774999999</c:v>
                </c:pt>
                <c:pt idx="46">
                  <c:v>22.169366125000007</c:v>
                </c:pt>
                <c:pt idx="47">
                  <c:v>20.141237500000006</c:v>
                </c:pt>
                <c:pt idx="48">
                  <c:v>24.008984000000005</c:v>
                </c:pt>
                <c:pt idx="49">
                  <c:v>19.693846274999999</c:v>
                </c:pt>
                <c:pt idx="50">
                  <c:v>21.580108425000006</c:v>
                </c:pt>
                <c:pt idx="51">
                  <c:v>20.252624000000004</c:v>
                </c:pt>
                <c:pt idx="60">
                  <c:v>23.740548775000008</c:v>
                </c:pt>
                <c:pt idx="61">
                  <c:v>24.166583774999999</c:v>
                </c:pt>
                <c:pt idx="62">
                  <c:v>21.086935700000002</c:v>
                </c:pt>
                <c:pt idx="63">
                  <c:v>23.285511700000008</c:v>
                </c:pt>
                <c:pt idx="64">
                  <c:v>20.765922475000004</c:v>
                </c:pt>
                <c:pt idx="65">
                  <c:v>21.676477175000006</c:v>
                </c:pt>
                <c:pt idx="66">
                  <c:v>25.9782157</c:v>
                </c:pt>
                <c:pt idx="67">
                  <c:v>23.150623625000009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24-4180-B6D1-64F0BD150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1726319"/>
        <c:axId val="1761735887"/>
      </c:barChart>
      <c:catAx>
        <c:axId val="176172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1735887"/>
        <c:crosses val="autoZero"/>
        <c:auto val="1"/>
        <c:lblAlgn val="ctr"/>
        <c:lblOffset val="100"/>
        <c:noMultiLvlLbl val="0"/>
      </c:catAx>
      <c:valAx>
        <c:axId val="176173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1726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524435</xdr:colOff>
      <xdr:row>3</xdr:row>
      <xdr:rowOff>2241</xdr:rowOff>
    </xdr:from>
    <xdr:to>
      <xdr:col>8</xdr:col>
      <xdr:colOff>615899</xdr:colOff>
      <xdr:row>32</xdr:row>
      <xdr:rowOff>44476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16A08F7-C4A2-8A71-0A25-5EF0E2D5E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4435" y="540123"/>
          <a:ext cx="6956374" cy="4913619"/>
        </a:xfrm>
        <a:prstGeom prst="rect">
          <a:avLst/>
        </a:prstGeom>
      </xdr:spPr>
    </xdr:pic>
    <xdr:clientData/>
  </xdr:twoCellAnchor>
  <xdr:twoCellAnchor editAs="oneCell">
    <xdr:from>
      <xdr:col>10</xdr:col>
      <xdr:colOff>672355</xdr:colOff>
      <xdr:row>8</xdr:row>
      <xdr:rowOff>89647</xdr:rowOff>
    </xdr:from>
    <xdr:to>
      <xdr:col>20</xdr:col>
      <xdr:colOff>183219</xdr:colOff>
      <xdr:row>12</xdr:row>
      <xdr:rowOff>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942B6E4-57EC-3710-2B6A-FDE659E99C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23442" b="2907"/>
        <a:stretch/>
      </xdr:blipFill>
      <xdr:spPr>
        <a:xfrm>
          <a:off x="8561296" y="1467971"/>
          <a:ext cx="6600264" cy="582706"/>
        </a:xfrm>
        <a:prstGeom prst="rect">
          <a:avLst/>
        </a:prstGeom>
      </xdr:spPr>
    </xdr:pic>
    <xdr:clientData/>
  </xdr:twoCellAnchor>
  <xdr:twoCellAnchor editAs="oneCell">
    <xdr:from>
      <xdr:col>10</xdr:col>
      <xdr:colOff>661150</xdr:colOff>
      <xdr:row>5</xdr:row>
      <xdr:rowOff>156883</xdr:rowOff>
    </xdr:from>
    <xdr:to>
      <xdr:col>20</xdr:col>
      <xdr:colOff>141758</xdr:colOff>
      <xdr:row>7</xdr:row>
      <xdr:rowOff>25588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417FA7C-4872-8EA3-9C98-FBBD091010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" r="23403" b="3756"/>
        <a:stretch/>
      </xdr:blipFill>
      <xdr:spPr>
        <a:xfrm>
          <a:off x="8550091" y="1030942"/>
          <a:ext cx="6589058" cy="201706"/>
        </a:xfrm>
        <a:prstGeom prst="rect">
          <a:avLst/>
        </a:prstGeom>
      </xdr:spPr>
    </xdr:pic>
    <xdr:clientData/>
  </xdr:twoCellAnchor>
  <xdr:oneCellAnchor>
    <xdr:from>
      <xdr:col>10</xdr:col>
      <xdr:colOff>582707</xdr:colOff>
      <xdr:row>4</xdr:row>
      <xdr:rowOff>56028</xdr:rowOff>
    </xdr:from>
    <xdr:ext cx="1457579" cy="325217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7609D74F-B002-6CDC-5DF8-0786172000BC}"/>
            </a:ext>
          </a:extLst>
        </xdr:cNvPr>
        <xdr:cNvSpPr txBox="1"/>
      </xdr:nvSpPr>
      <xdr:spPr>
        <a:xfrm>
          <a:off x="8471648" y="761999"/>
          <a:ext cx="1457579" cy="3252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LINKS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仕入先マスター</a:t>
          </a:r>
        </a:p>
      </xdr:txBody>
    </xdr:sp>
    <xdr:clientData/>
  </xdr:oneCellAnchor>
  <xdr:twoCellAnchor editAs="oneCell">
    <xdr:from>
      <xdr:col>11</xdr:col>
      <xdr:colOff>11206</xdr:colOff>
      <xdr:row>7</xdr:row>
      <xdr:rowOff>22412</xdr:rowOff>
    </xdr:from>
    <xdr:to>
      <xdr:col>20</xdr:col>
      <xdr:colOff>246335</xdr:colOff>
      <xdr:row>8</xdr:row>
      <xdr:rowOff>143288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5CA957BC-3727-FB34-F1C3-C637203BF6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678"/>
        <a:stretch/>
      </xdr:blipFill>
      <xdr:spPr>
        <a:xfrm>
          <a:off x="8583706" y="1232647"/>
          <a:ext cx="6566451" cy="285790"/>
        </a:xfrm>
        <a:prstGeom prst="rect">
          <a:avLst/>
        </a:prstGeom>
      </xdr:spPr>
    </xdr:pic>
    <xdr:clientData/>
  </xdr:twoCellAnchor>
  <xdr:oneCellAnchor>
    <xdr:from>
      <xdr:col>10</xdr:col>
      <xdr:colOff>616323</xdr:colOff>
      <xdr:row>2</xdr:row>
      <xdr:rowOff>112060</xdr:rowOff>
    </xdr:from>
    <xdr:ext cx="466794" cy="336423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8044DAF0-EF49-486F-A1ED-FA4735CBB739}"/>
            </a:ext>
          </a:extLst>
        </xdr:cNvPr>
        <xdr:cNvSpPr txBox="1"/>
      </xdr:nvSpPr>
      <xdr:spPr>
        <a:xfrm>
          <a:off x="8505264" y="481854"/>
          <a:ext cx="466794" cy="33642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参考</a:t>
          </a:r>
        </a:p>
      </xdr:txBody>
    </xdr:sp>
    <xdr:clientData/>
  </xdr:oneCellAnchor>
  <xdr:twoCellAnchor>
    <xdr:from>
      <xdr:col>1</xdr:col>
      <xdr:colOff>818028</xdr:colOff>
      <xdr:row>55</xdr:row>
      <xdr:rowOff>22412</xdr:rowOff>
    </xdr:from>
    <xdr:to>
      <xdr:col>8</xdr:col>
      <xdr:colOff>201704</xdr:colOff>
      <xdr:row>56</xdr:row>
      <xdr:rowOff>156883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E917B292-153C-4882-AFC1-303203A28A25}"/>
            </a:ext>
          </a:extLst>
        </xdr:cNvPr>
        <xdr:cNvSpPr/>
      </xdr:nvSpPr>
      <xdr:spPr>
        <a:xfrm>
          <a:off x="1501587" y="8628530"/>
          <a:ext cx="5221941" cy="33617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シート：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Active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の荷量データ（内示）をアイシン岡崎東既存区便の対象受入でソート</a:t>
          </a:r>
        </a:p>
      </xdr:txBody>
    </xdr:sp>
    <xdr:clientData/>
  </xdr:twoCellAnchor>
  <xdr:twoCellAnchor>
    <xdr:from>
      <xdr:col>25</xdr:col>
      <xdr:colOff>403414</xdr:colOff>
      <xdr:row>138</xdr:row>
      <xdr:rowOff>51547</xdr:rowOff>
    </xdr:from>
    <xdr:to>
      <xdr:col>38</xdr:col>
      <xdr:colOff>425825</xdr:colOff>
      <xdr:row>158</xdr:row>
      <xdr:rowOff>89648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AE5FDC88-9921-CE33-2441-6BAF1AD08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</xdr:colOff>
      <xdr:row>173</xdr:row>
      <xdr:rowOff>22412</xdr:rowOff>
    </xdr:from>
    <xdr:to>
      <xdr:col>20</xdr:col>
      <xdr:colOff>414617</xdr:colOff>
      <xdr:row>174</xdr:row>
      <xdr:rowOff>190499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C53F3D99-4B09-4D26-A1DD-FCA34185AAD5}"/>
            </a:ext>
          </a:extLst>
        </xdr:cNvPr>
        <xdr:cNvSpPr/>
      </xdr:nvSpPr>
      <xdr:spPr>
        <a:xfrm>
          <a:off x="1848973" y="33539206"/>
          <a:ext cx="13637556" cy="3361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内示段階では収容数に対して端数が出ている（例：収容数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250ko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の部品に対し必要数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9ko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日ごとにほんとに必要な数量？）→確定では収容数（箱）単位で発注が来ている</a:t>
          </a:r>
          <a:r>
            <a:rPr kumimoji="1" lang="ja-JP" altLang="ja-JP" sz="11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（例：収容数</a:t>
          </a:r>
          <a:r>
            <a:rPr kumimoji="1" lang="en-US" altLang="ja-JP" sz="11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250ko</a:t>
          </a:r>
          <a:r>
            <a:rPr kumimoji="1" lang="ja-JP" altLang="ja-JP" sz="11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の部品に対し必要数</a:t>
          </a:r>
          <a:r>
            <a:rPr kumimoji="1" lang="en-US" altLang="ja-JP" sz="11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250ko</a:t>
          </a:r>
          <a:r>
            <a:rPr kumimoji="1" lang="ja-JP" altLang="en-US" sz="11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）</a:t>
          </a:r>
          <a:r>
            <a:rPr kumimoji="1" lang="ja-JP" altLang="ja-JP" sz="1100">
              <a:solidFill>
                <a:schemeClr val="lt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16808</xdr:colOff>
      <xdr:row>40</xdr:row>
      <xdr:rowOff>29135</xdr:rowOff>
    </xdr:from>
    <xdr:to>
      <xdr:col>25</xdr:col>
      <xdr:colOff>89649</xdr:colOff>
      <xdr:row>53</xdr:row>
      <xdr:rowOff>150158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43CA49A0-FFF5-F000-6D46-5DD47005EC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89646</xdr:colOff>
      <xdr:row>40</xdr:row>
      <xdr:rowOff>78442</xdr:rowOff>
    </xdr:from>
    <xdr:to>
      <xdr:col>18</xdr:col>
      <xdr:colOff>470646</xdr:colOff>
      <xdr:row>42</xdr:row>
      <xdr:rowOff>11207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6D20BA4-9181-497D-B5F8-3CB3C9B9E314}"/>
            </a:ext>
          </a:extLst>
        </xdr:cNvPr>
        <xdr:cNvSpPr/>
      </xdr:nvSpPr>
      <xdr:spPr>
        <a:xfrm>
          <a:off x="10376646" y="6835589"/>
          <a:ext cx="3798794" cy="336177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10/1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～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10/17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全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48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便（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22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便・・・増加　　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26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便・・・減少）　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1053353</xdr:colOff>
      <xdr:row>0</xdr:row>
      <xdr:rowOff>89647</xdr:rowOff>
    </xdr:from>
    <xdr:to>
      <xdr:col>4</xdr:col>
      <xdr:colOff>2577353</xdr:colOff>
      <xdr:row>3</xdr:row>
      <xdr:rowOff>268941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CD82FAA8-CCE4-4A75-8F7B-6963D5974013}"/>
            </a:ext>
          </a:extLst>
        </xdr:cNvPr>
        <xdr:cNvSpPr/>
      </xdr:nvSpPr>
      <xdr:spPr>
        <a:xfrm>
          <a:off x="3720353" y="89647"/>
          <a:ext cx="2924175" cy="969869"/>
        </a:xfrm>
        <a:prstGeom prst="wedgeRectCallout">
          <a:avLst>
            <a:gd name="adj1" fmla="val -50705"/>
            <a:gd name="adj2" fmla="val 9907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 b="1"/>
            <a:t>D</a:t>
          </a:r>
          <a:r>
            <a:rPr kumimoji="1" lang="ja-JP" altLang="en-US" sz="1200" b="1"/>
            <a:t>列と”注文書の</a:t>
          </a:r>
          <a:r>
            <a:rPr kumimoji="1" lang="en-US" altLang="ja-JP" sz="1200" b="1"/>
            <a:t>C</a:t>
          </a:r>
          <a:r>
            <a:rPr kumimoji="1" lang="ja-JP" altLang="en-US" sz="1200" b="1"/>
            <a:t>列”を検索用にさせて頂きました。</a:t>
          </a:r>
        </a:p>
      </xdr:txBody>
    </xdr:sp>
    <xdr:clientData fPrintsWithSheet="0"/>
  </xdr:twoCellAnchor>
  <xdr:twoCellAnchor>
    <xdr:from>
      <xdr:col>13</xdr:col>
      <xdr:colOff>89647</xdr:colOff>
      <xdr:row>0</xdr:row>
      <xdr:rowOff>280144</xdr:rowOff>
    </xdr:from>
    <xdr:to>
      <xdr:col>14</xdr:col>
      <xdr:colOff>1680880</xdr:colOff>
      <xdr:row>3</xdr:row>
      <xdr:rowOff>1030939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6F933D51-29D3-4F8F-B5C6-80069D3086A8}"/>
            </a:ext>
          </a:extLst>
        </xdr:cNvPr>
        <xdr:cNvSpPr/>
      </xdr:nvSpPr>
      <xdr:spPr>
        <a:xfrm>
          <a:off x="13323794" y="280144"/>
          <a:ext cx="2868704" cy="1535207"/>
        </a:xfrm>
        <a:prstGeom prst="wedgeRectCallout">
          <a:avLst>
            <a:gd name="adj1" fmla="val 166789"/>
            <a:gd name="adj2" fmla="val 9296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 b="1"/>
            <a:t>EX</a:t>
          </a:r>
          <a:r>
            <a:rPr kumimoji="1" lang="ja-JP" altLang="en-US" sz="1200" b="1"/>
            <a:t>）</a:t>
          </a:r>
          <a:r>
            <a:rPr kumimoji="1" lang="en-US" altLang="ja-JP" sz="1200" b="1"/>
            <a:t>3040-237034D</a:t>
          </a:r>
        </a:p>
        <a:p>
          <a:pPr algn="ctr"/>
          <a:r>
            <a:rPr kumimoji="1" lang="ja-JP" altLang="en-US" sz="1200" b="1"/>
            <a:t>違う受入の荷姿を拾っていました。</a:t>
          </a:r>
          <a:endParaRPr kumimoji="1" lang="en-US" altLang="ja-JP" sz="1200" b="1"/>
        </a:p>
        <a:p>
          <a:pPr algn="ctr"/>
          <a:r>
            <a:rPr kumimoji="1" lang="ja-JP" altLang="en-US" sz="1200" b="1"/>
            <a:t>（本来</a:t>
          </a:r>
          <a:r>
            <a:rPr kumimoji="1" lang="en-US" altLang="ja-JP" sz="1200" b="1"/>
            <a:t>TP131</a:t>
          </a:r>
          <a:r>
            <a:rPr kumimoji="1" lang="ja-JP" altLang="en-US" sz="1200" b="1"/>
            <a:t>のはずが、</a:t>
          </a:r>
          <a:br>
            <a:rPr kumimoji="1" lang="en-US" altLang="ja-JP" sz="1200" b="1"/>
          </a:br>
          <a:r>
            <a:rPr kumimoji="1" lang="en-US" altLang="ja-JP" sz="1200" b="1"/>
            <a:t>AW-A</a:t>
          </a:r>
          <a:r>
            <a:rPr kumimoji="1" lang="ja-JP" altLang="en-US" sz="1200" b="1"/>
            <a:t>の荷姿データでした。）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ME00\30.&#35069;&#21697;\&#35069;&#21697;&#31649;&#29702;\&#29983;&#29987;&#35336;&#30011;\&#26376;&#24230;&#29983;&#29987;&#35336;&#30011;\&#29983;&#29987;&#26085;&#22577;\&#28023;&#22806;&#21521;&#12369;&#20986;&#33655;&#31649;&#29702;&#34920;\2020&#24180;2&#26376;\&#12304;2&#26376;&#24230;&#12305;G&#20986;&#33655;&#31649;&#29702;&#34920;&#22793;&#9314;_20021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.aisin-aw.co.jp\ME00\ME00\&#35069;&#21697;&#31649;&#29702;\&#29983;&#29987;&#35336;&#30011;\&#23713;&#23822;&#26481;&#24037;&#22580;&#31292;&#20685;&#26178;&#38291;\&#31292;&#20685;&#65423;&#65405;&#65408;&#65392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share01\share1\&#29983;&#29987;&#31649;&#29702;&#37096;\&#26360;&#24235;\&#24773;&#22577;&#20966;&#29702;&#23460;\&#24773;&#22577;G\_&#26989;&#21209;&#25913;&#21892;\2016_&#36939;&#36035;&#38598;&#35336;&#26989;&#21209;&#20877;&#27083;&#31689;\&#36939;&#36035;&#35336;&#31639;&#26360;&#20316;&#25104;&#12484;&#12540;&#12523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NPP\&#33258;&#37096;&#32626;\&#23713;&#23822;&#26481;&#24037;&#22580;\ME00\30.&#35069;&#21697;\01.10&#12539;20&#26085;&#24773;&#22577;&#12539;&#29983;&#29987;&#20250;&#35696;\17&#24180;\&#31292;&#20685;&#65423;&#65405;&#65408;&#65392;F++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ME00\30.&#35069;&#21697;\01.10&#12539;20&#26085;&#24773;&#22577;&#12539;&#29983;&#29987;&#20250;&#35696;\20&#24180;\2020&#24180;1&#26376;20&#26085;&#24773;&#22577;\&#21021;&#22238;&#30330;&#34892;\E8(G%231)\E8_2001-1N(20&#26085;&#24773;&#22577;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.aisin-aw.co.jp\NPP\&#33258;&#37096;&#32626;\&#23713;&#23822;&#26481;&#24037;&#22580;\ME00\30.&#35069;&#21697;\&#35069;&#21697;&#31649;&#29702;\&#29983;&#29987;&#35336;&#30011;\&#26376;&#24230;&#29983;&#29987;&#35336;&#30011;\&#29983;&#29987;&#26085;&#22577;\&#28023;&#22806;&#21521;&#12369;&#20986;&#33655;&#31649;&#29702;&#34920;\2017&#24180;2&#26376;\17&#24180;1&#26376;&#24230;&#26085;20&#24773;&#22577;(F22)&#30906;&#2345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定"/>
      <sheetName val="E8生計"/>
      <sheetName val="可動時間"/>
      <sheetName val="日程"/>
      <sheetName val="品番別生計E8"/>
      <sheetName val="E8品番別"/>
      <sheetName val="VOLVO"/>
      <sheetName val="BMW"/>
      <sheetName val="PSA"/>
      <sheetName val="簡易チェック"/>
      <sheetName val="11末在庫（1110情報）"/>
      <sheetName val="★振替"/>
      <sheetName val="★出荷実績"/>
      <sheetName val="★社内在庫"/>
      <sheetName val="生産管理表"/>
      <sheetName val="輸送便・パレット必要数"/>
      <sheetName val="ライン停止時間"/>
      <sheetName val="先行内訳"/>
      <sheetName val="Sheet4"/>
      <sheetName val="Sheet1"/>
      <sheetName val="Sheet2"/>
      <sheetName val="10月末持ちたい在庫"/>
      <sheetName val="BMW監査対応　調整"/>
    </sheetNames>
    <sheetDataSet>
      <sheetData sheetId="0"/>
      <sheetData sheetId="1"/>
      <sheetData sheetId="2"/>
      <sheetData sheetId="3">
        <row r="6">
          <cell r="V6">
            <v>-5903</v>
          </cell>
          <cell r="W6">
            <v>0</v>
          </cell>
          <cell r="X6">
            <v>0</v>
          </cell>
          <cell r="Y6">
            <v>-280</v>
          </cell>
          <cell r="Z6">
            <v>-280</v>
          </cell>
          <cell r="AA6">
            <v>-280</v>
          </cell>
          <cell r="AB6">
            <v>-324</v>
          </cell>
          <cell r="AC6">
            <v>-324</v>
          </cell>
          <cell r="AD6">
            <v>0</v>
          </cell>
          <cell r="AE6">
            <v>0</v>
          </cell>
          <cell r="AF6">
            <v>-269</v>
          </cell>
          <cell r="AG6">
            <v>-280</v>
          </cell>
          <cell r="AH6">
            <v>-280</v>
          </cell>
          <cell r="AI6">
            <v>-324</v>
          </cell>
          <cell r="AJ6">
            <v>-324</v>
          </cell>
          <cell r="AK6">
            <v>0</v>
          </cell>
          <cell r="AL6">
            <v>0</v>
          </cell>
          <cell r="AM6">
            <v>-280</v>
          </cell>
          <cell r="AN6">
            <v>-280</v>
          </cell>
          <cell r="AO6">
            <v>-280</v>
          </cell>
          <cell r="AP6">
            <v>-305</v>
          </cell>
          <cell r="AQ6">
            <v>-324</v>
          </cell>
          <cell r="AR6">
            <v>0</v>
          </cell>
          <cell r="AS6">
            <v>0</v>
          </cell>
          <cell r="AT6">
            <v>-280</v>
          </cell>
          <cell r="AU6">
            <v>-280</v>
          </cell>
          <cell r="AV6">
            <v>-280</v>
          </cell>
          <cell r="AW6">
            <v>-324</v>
          </cell>
          <cell r="AX6">
            <v>-305</v>
          </cell>
          <cell r="AY6">
            <v>0</v>
          </cell>
          <cell r="AZ6">
            <v>0</v>
          </cell>
          <cell r="BA6">
            <v>0</v>
          </cell>
        </row>
        <row r="8">
          <cell r="C8">
            <v>1285400</v>
          </cell>
          <cell r="E8">
            <v>265</v>
          </cell>
          <cell r="F8">
            <v>1000</v>
          </cell>
          <cell r="G8">
            <v>236</v>
          </cell>
          <cell r="H8">
            <v>971</v>
          </cell>
          <cell r="U8">
            <v>205</v>
          </cell>
          <cell r="V8">
            <v>940</v>
          </cell>
          <cell r="W8">
            <v>0</v>
          </cell>
          <cell r="X8">
            <v>0</v>
          </cell>
          <cell r="Y8">
            <v>45</v>
          </cell>
          <cell r="Z8">
            <v>45</v>
          </cell>
          <cell r="AA8">
            <v>45</v>
          </cell>
          <cell r="AB8">
            <v>50</v>
          </cell>
          <cell r="AC8">
            <v>50</v>
          </cell>
          <cell r="AD8">
            <v>0</v>
          </cell>
          <cell r="AE8">
            <v>0</v>
          </cell>
          <cell r="AF8">
            <v>45</v>
          </cell>
          <cell r="AG8">
            <v>45</v>
          </cell>
          <cell r="AH8">
            <v>45</v>
          </cell>
          <cell r="AI8">
            <v>50</v>
          </cell>
          <cell r="AJ8">
            <v>50</v>
          </cell>
          <cell r="AK8">
            <v>0</v>
          </cell>
          <cell r="AL8">
            <v>0</v>
          </cell>
          <cell r="AM8">
            <v>45</v>
          </cell>
          <cell r="AN8">
            <v>45</v>
          </cell>
          <cell r="AO8">
            <v>45</v>
          </cell>
          <cell r="AP8">
            <v>50</v>
          </cell>
          <cell r="AQ8">
            <v>50</v>
          </cell>
          <cell r="AR8">
            <v>0</v>
          </cell>
          <cell r="AS8">
            <v>0</v>
          </cell>
          <cell r="AT8">
            <v>45</v>
          </cell>
          <cell r="AU8">
            <v>45</v>
          </cell>
          <cell r="AV8">
            <v>45</v>
          </cell>
          <cell r="AW8">
            <v>50</v>
          </cell>
          <cell r="AX8">
            <v>50</v>
          </cell>
          <cell r="AY8">
            <v>0</v>
          </cell>
          <cell r="AZ8">
            <v>0</v>
          </cell>
          <cell r="BA8">
            <v>0</v>
          </cell>
        </row>
        <row r="9">
          <cell r="C9">
            <v>1285401</v>
          </cell>
          <cell r="E9">
            <v>140</v>
          </cell>
          <cell r="F9">
            <v>205</v>
          </cell>
          <cell r="G9">
            <v>55</v>
          </cell>
          <cell r="H9">
            <v>120</v>
          </cell>
          <cell r="U9">
            <v>35</v>
          </cell>
          <cell r="V9">
            <v>100</v>
          </cell>
          <cell r="W9">
            <v>0</v>
          </cell>
          <cell r="X9">
            <v>0</v>
          </cell>
          <cell r="Y9">
            <v>5</v>
          </cell>
          <cell r="Z9">
            <v>5</v>
          </cell>
          <cell r="AA9">
            <v>5</v>
          </cell>
          <cell r="AB9">
            <v>5</v>
          </cell>
          <cell r="AC9">
            <v>5</v>
          </cell>
          <cell r="AD9">
            <v>0</v>
          </cell>
          <cell r="AE9">
            <v>0</v>
          </cell>
          <cell r="AF9">
            <v>5</v>
          </cell>
          <cell r="AG9">
            <v>5</v>
          </cell>
          <cell r="AH9">
            <v>5</v>
          </cell>
          <cell r="AI9">
            <v>5</v>
          </cell>
          <cell r="AJ9">
            <v>5</v>
          </cell>
          <cell r="AK9">
            <v>0</v>
          </cell>
          <cell r="AL9">
            <v>0</v>
          </cell>
          <cell r="AM9">
            <v>5</v>
          </cell>
          <cell r="AN9">
            <v>5</v>
          </cell>
          <cell r="AO9">
            <v>5</v>
          </cell>
          <cell r="AP9">
            <v>5</v>
          </cell>
          <cell r="AQ9">
            <v>5</v>
          </cell>
          <cell r="AR9">
            <v>0</v>
          </cell>
          <cell r="AS9">
            <v>0</v>
          </cell>
          <cell r="AT9">
            <v>5</v>
          </cell>
          <cell r="AU9">
            <v>5</v>
          </cell>
          <cell r="AV9">
            <v>5</v>
          </cell>
          <cell r="AW9">
            <v>5</v>
          </cell>
          <cell r="AX9">
            <v>5</v>
          </cell>
          <cell r="AY9">
            <v>0</v>
          </cell>
          <cell r="AZ9">
            <v>0</v>
          </cell>
          <cell r="BA9">
            <v>0</v>
          </cell>
        </row>
        <row r="10">
          <cell r="C10">
            <v>1285389</v>
          </cell>
          <cell r="E10">
            <v>1100</v>
          </cell>
          <cell r="F10">
            <v>3960</v>
          </cell>
          <cell r="G10">
            <v>661</v>
          </cell>
          <cell r="H10">
            <v>3521</v>
          </cell>
          <cell r="U10">
            <v>645</v>
          </cell>
          <cell r="V10">
            <v>3505</v>
          </cell>
          <cell r="W10">
            <v>0</v>
          </cell>
          <cell r="X10">
            <v>0</v>
          </cell>
          <cell r="Y10">
            <v>170</v>
          </cell>
          <cell r="Z10">
            <v>170</v>
          </cell>
          <cell r="AA10">
            <v>170</v>
          </cell>
          <cell r="AB10">
            <v>185</v>
          </cell>
          <cell r="AC10">
            <v>185</v>
          </cell>
          <cell r="AD10">
            <v>0</v>
          </cell>
          <cell r="AE10">
            <v>0</v>
          </cell>
          <cell r="AF10">
            <v>165</v>
          </cell>
          <cell r="AG10">
            <v>170</v>
          </cell>
          <cell r="AH10">
            <v>170</v>
          </cell>
          <cell r="AI10">
            <v>185</v>
          </cell>
          <cell r="AJ10">
            <v>185</v>
          </cell>
          <cell r="AK10">
            <v>0</v>
          </cell>
          <cell r="AL10">
            <v>0</v>
          </cell>
          <cell r="AM10">
            <v>170</v>
          </cell>
          <cell r="AN10">
            <v>170</v>
          </cell>
          <cell r="AO10">
            <v>170</v>
          </cell>
          <cell r="AP10">
            <v>180</v>
          </cell>
          <cell r="AQ10">
            <v>185</v>
          </cell>
          <cell r="AR10">
            <v>0</v>
          </cell>
          <cell r="AS10">
            <v>0</v>
          </cell>
          <cell r="AT10">
            <v>170</v>
          </cell>
          <cell r="AU10">
            <v>170</v>
          </cell>
          <cell r="AV10">
            <v>170</v>
          </cell>
          <cell r="AW10">
            <v>185</v>
          </cell>
          <cell r="AX10">
            <v>180</v>
          </cell>
          <cell r="AY10">
            <v>0</v>
          </cell>
          <cell r="AZ10">
            <v>0</v>
          </cell>
          <cell r="BA10">
            <v>0</v>
          </cell>
        </row>
        <row r="11">
          <cell r="C11">
            <v>1285399</v>
          </cell>
          <cell r="E11">
            <v>60</v>
          </cell>
          <cell r="F11">
            <v>240</v>
          </cell>
          <cell r="G11">
            <v>44</v>
          </cell>
          <cell r="H11">
            <v>224</v>
          </cell>
          <cell r="U11">
            <v>20</v>
          </cell>
          <cell r="V11">
            <v>200</v>
          </cell>
          <cell r="W11">
            <v>0</v>
          </cell>
          <cell r="X11">
            <v>0</v>
          </cell>
          <cell r="Y11">
            <v>10</v>
          </cell>
          <cell r="Z11">
            <v>10</v>
          </cell>
          <cell r="AA11">
            <v>10</v>
          </cell>
          <cell r="AB11">
            <v>10</v>
          </cell>
          <cell r="AC11">
            <v>10</v>
          </cell>
          <cell r="AD11">
            <v>0</v>
          </cell>
          <cell r="AE11">
            <v>0</v>
          </cell>
          <cell r="AF11">
            <v>10</v>
          </cell>
          <cell r="AG11">
            <v>10</v>
          </cell>
          <cell r="AH11">
            <v>10</v>
          </cell>
          <cell r="AI11">
            <v>10</v>
          </cell>
          <cell r="AJ11">
            <v>10</v>
          </cell>
          <cell r="AK11">
            <v>0</v>
          </cell>
          <cell r="AL11">
            <v>0</v>
          </cell>
          <cell r="AM11">
            <v>10</v>
          </cell>
          <cell r="AN11">
            <v>10</v>
          </cell>
          <cell r="AO11">
            <v>10</v>
          </cell>
          <cell r="AP11">
            <v>10</v>
          </cell>
          <cell r="AQ11">
            <v>10</v>
          </cell>
          <cell r="AR11">
            <v>0</v>
          </cell>
          <cell r="AS11">
            <v>0</v>
          </cell>
          <cell r="AT11">
            <v>10</v>
          </cell>
          <cell r="AU11">
            <v>10</v>
          </cell>
          <cell r="AV11">
            <v>10</v>
          </cell>
          <cell r="AW11">
            <v>10</v>
          </cell>
          <cell r="AX11">
            <v>10</v>
          </cell>
          <cell r="AY11">
            <v>0</v>
          </cell>
          <cell r="AZ11">
            <v>0</v>
          </cell>
          <cell r="BA11">
            <v>0</v>
          </cell>
        </row>
        <row r="12">
          <cell r="C12">
            <v>1285436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</row>
        <row r="13">
          <cell r="C13">
            <v>1285437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</row>
        <row r="14">
          <cell r="C14">
            <v>1285438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</row>
        <row r="15">
          <cell r="C15">
            <v>1285439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</row>
        <row r="16">
          <cell r="C16">
            <v>1285465</v>
          </cell>
          <cell r="E16">
            <v>0</v>
          </cell>
          <cell r="F16">
            <v>0</v>
          </cell>
          <cell r="G16">
            <v>285</v>
          </cell>
          <cell r="H16">
            <v>285</v>
          </cell>
          <cell r="U16">
            <v>300</v>
          </cell>
          <cell r="V16">
            <v>300</v>
          </cell>
          <cell r="W16">
            <v>0</v>
          </cell>
          <cell r="X16">
            <v>0</v>
          </cell>
          <cell r="Y16">
            <v>15</v>
          </cell>
          <cell r="Z16">
            <v>15</v>
          </cell>
          <cell r="AA16">
            <v>15</v>
          </cell>
          <cell r="AB16">
            <v>15</v>
          </cell>
          <cell r="AC16">
            <v>15</v>
          </cell>
          <cell r="AD16">
            <v>0</v>
          </cell>
          <cell r="AE16">
            <v>0</v>
          </cell>
          <cell r="AF16">
            <v>15</v>
          </cell>
          <cell r="AG16">
            <v>15</v>
          </cell>
          <cell r="AH16">
            <v>15</v>
          </cell>
          <cell r="AI16">
            <v>15</v>
          </cell>
          <cell r="AJ16">
            <v>15</v>
          </cell>
          <cell r="AK16">
            <v>0</v>
          </cell>
          <cell r="AL16">
            <v>0</v>
          </cell>
          <cell r="AM16">
            <v>15</v>
          </cell>
          <cell r="AN16">
            <v>15</v>
          </cell>
          <cell r="AO16">
            <v>15</v>
          </cell>
          <cell r="AP16">
            <v>15</v>
          </cell>
          <cell r="AQ16">
            <v>15</v>
          </cell>
          <cell r="AR16">
            <v>0</v>
          </cell>
          <cell r="AS16">
            <v>0</v>
          </cell>
          <cell r="AT16">
            <v>15</v>
          </cell>
          <cell r="AU16">
            <v>15</v>
          </cell>
          <cell r="AV16">
            <v>15</v>
          </cell>
          <cell r="AW16">
            <v>15</v>
          </cell>
          <cell r="AX16">
            <v>15</v>
          </cell>
          <cell r="AY16">
            <v>0</v>
          </cell>
          <cell r="AZ16">
            <v>0</v>
          </cell>
          <cell r="BA16">
            <v>0</v>
          </cell>
        </row>
        <row r="17">
          <cell r="C17">
            <v>1285466</v>
          </cell>
          <cell r="E17">
            <v>0</v>
          </cell>
          <cell r="F17">
            <v>0</v>
          </cell>
          <cell r="G17">
            <v>147</v>
          </cell>
          <cell r="H17">
            <v>147</v>
          </cell>
          <cell r="U17">
            <v>140</v>
          </cell>
          <cell r="V17">
            <v>140</v>
          </cell>
          <cell r="W17">
            <v>0</v>
          </cell>
          <cell r="X17">
            <v>0</v>
          </cell>
          <cell r="Y17">
            <v>5</v>
          </cell>
          <cell r="Z17">
            <v>5</v>
          </cell>
          <cell r="AA17">
            <v>5</v>
          </cell>
          <cell r="AB17">
            <v>10</v>
          </cell>
          <cell r="AC17">
            <v>10</v>
          </cell>
          <cell r="AD17">
            <v>0</v>
          </cell>
          <cell r="AE17">
            <v>0</v>
          </cell>
          <cell r="AF17">
            <v>5</v>
          </cell>
          <cell r="AG17">
            <v>5</v>
          </cell>
          <cell r="AH17">
            <v>5</v>
          </cell>
          <cell r="AI17">
            <v>10</v>
          </cell>
          <cell r="AJ17">
            <v>10</v>
          </cell>
          <cell r="AK17">
            <v>0</v>
          </cell>
          <cell r="AL17">
            <v>0</v>
          </cell>
          <cell r="AM17">
            <v>5</v>
          </cell>
          <cell r="AN17">
            <v>5</v>
          </cell>
          <cell r="AO17">
            <v>5</v>
          </cell>
          <cell r="AP17">
            <v>10</v>
          </cell>
          <cell r="AQ17">
            <v>10</v>
          </cell>
          <cell r="AR17">
            <v>0</v>
          </cell>
          <cell r="AS17">
            <v>0</v>
          </cell>
          <cell r="AT17">
            <v>5</v>
          </cell>
          <cell r="AU17">
            <v>5</v>
          </cell>
          <cell r="AV17">
            <v>5</v>
          </cell>
          <cell r="AW17">
            <v>10</v>
          </cell>
          <cell r="AX17">
            <v>10</v>
          </cell>
          <cell r="AY17">
            <v>0</v>
          </cell>
          <cell r="AZ17">
            <v>0</v>
          </cell>
          <cell r="BA17">
            <v>0</v>
          </cell>
        </row>
        <row r="18">
          <cell r="C18">
            <v>1285468</v>
          </cell>
          <cell r="E18">
            <v>0</v>
          </cell>
          <cell r="F18">
            <v>0</v>
          </cell>
          <cell r="G18">
            <v>481</v>
          </cell>
          <cell r="H18">
            <v>481</v>
          </cell>
          <cell r="U18">
            <v>500</v>
          </cell>
          <cell r="V18">
            <v>500</v>
          </cell>
          <cell r="W18">
            <v>0</v>
          </cell>
          <cell r="X18">
            <v>0</v>
          </cell>
          <cell r="Y18">
            <v>25</v>
          </cell>
          <cell r="Z18">
            <v>25</v>
          </cell>
          <cell r="AA18">
            <v>25</v>
          </cell>
          <cell r="AB18">
            <v>25</v>
          </cell>
          <cell r="AC18">
            <v>25</v>
          </cell>
          <cell r="AD18">
            <v>0</v>
          </cell>
          <cell r="AE18">
            <v>0</v>
          </cell>
          <cell r="AF18">
            <v>25</v>
          </cell>
          <cell r="AG18">
            <v>25</v>
          </cell>
          <cell r="AH18">
            <v>25</v>
          </cell>
          <cell r="AI18">
            <v>25</v>
          </cell>
          <cell r="AJ18">
            <v>25</v>
          </cell>
          <cell r="AK18">
            <v>0</v>
          </cell>
          <cell r="AL18">
            <v>0</v>
          </cell>
          <cell r="AM18">
            <v>25</v>
          </cell>
          <cell r="AN18">
            <v>25</v>
          </cell>
          <cell r="AO18">
            <v>25</v>
          </cell>
          <cell r="AP18">
            <v>25</v>
          </cell>
          <cell r="AQ18">
            <v>25</v>
          </cell>
          <cell r="AR18">
            <v>0</v>
          </cell>
          <cell r="AS18">
            <v>0</v>
          </cell>
          <cell r="AT18">
            <v>25</v>
          </cell>
          <cell r="AU18">
            <v>25</v>
          </cell>
          <cell r="AV18">
            <v>25</v>
          </cell>
          <cell r="AW18">
            <v>25</v>
          </cell>
          <cell r="AX18">
            <v>25</v>
          </cell>
          <cell r="AY18">
            <v>0</v>
          </cell>
          <cell r="AZ18">
            <v>0</v>
          </cell>
          <cell r="BA18">
            <v>0</v>
          </cell>
        </row>
        <row r="19">
          <cell r="C19">
            <v>1285470</v>
          </cell>
          <cell r="E19">
            <v>0</v>
          </cell>
          <cell r="F19">
            <v>0</v>
          </cell>
          <cell r="G19">
            <v>155</v>
          </cell>
          <cell r="H19">
            <v>155</v>
          </cell>
          <cell r="U19">
            <v>195</v>
          </cell>
          <cell r="V19">
            <v>195</v>
          </cell>
          <cell r="W19">
            <v>0</v>
          </cell>
          <cell r="X19">
            <v>0</v>
          </cell>
          <cell r="Y19">
            <v>10</v>
          </cell>
          <cell r="Z19">
            <v>10</v>
          </cell>
          <cell r="AA19">
            <v>10</v>
          </cell>
          <cell r="AB19">
            <v>10</v>
          </cell>
          <cell r="AC19">
            <v>10</v>
          </cell>
          <cell r="AD19">
            <v>0</v>
          </cell>
          <cell r="AE19">
            <v>0</v>
          </cell>
          <cell r="AF19">
            <v>5</v>
          </cell>
          <cell r="AG19">
            <v>10</v>
          </cell>
          <cell r="AH19">
            <v>10</v>
          </cell>
          <cell r="AI19">
            <v>10</v>
          </cell>
          <cell r="AJ19">
            <v>10</v>
          </cell>
          <cell r="AK19">
            <v>0</v>
          </cell>
          <cell r="AL19">
            <v>0</v>
          </cell>
          <cell r="AM19">
            <v>10</v>
          </cell>
          <cell r="AN19">
            <v>10</v>
          </cell>
          <cell r="AO19">
            <v>10</v>
          </cell>
          <cell r="AP19">
            <v>10</v>
          </cell>
          <cell r="AQ19">
            <v>10</v>
          </cell>
          <cell r="AR19">
            <v>0</v>
          </cell>
          <cell r="AS19">
            <v>0</v>
          </cell>
          <cell r="AT19">
            <v>10</v>
          </cell>
          <cell r="AU19">
            <v>10</v>
          </cell>
          <cell r="AV19">
            <v>10</v>
          </cell>
          <cell r="AW19">
            <v>10</v>
          </cell>
          <cell r="AX19">
            <v>10</v>
          </cell>
          <cell r="AY19">
            <v>0</v>
          </cell>
          <cell r="AZ19">
            <v>0</v>
          </cell>
          <cell r="BA19">
            <v>0</v>
          </cell>
        </row>
        <row r="20">
          <cell r="C20">
            <v>1285472</v>
          </cell>
          <cell r="E20">
            <v>0</v>
          </cell>
          <cell r="F20">
            <v>0</v>
          </cell>
          <cell r="G20">
            <v>11</v>
          </cell>
          <cell r="H20">
            <v>11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</row>
        <row r="21">
          <cell r="C21">
            <v>1285434</v>
          </cell>
          <cell r="E21">
            <v>0</v>
          </cell>
          <cell r="F21">
            <v>0</v>
          </cell>
          <cell r="G21">
            <v>5</v>
          </cell>
          <cell r="H21">
            <v>5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</row>
        <row r="22">
          <cell r="C22">
            <v>1285435</v>
          </cell>
          <cell r="E22">
            <v>0</v>
          </cell>
          <cell r="F22">
            <v>0</v>
          </cell>
          <cell r="G22">
            <v>10</v>
          </cell>
          <cell r="H22">
            <v>10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</row>
        <row r="23">
          <cell r="C23">
            <v>1285436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</row>
        <row r="24">
          <cell r="C24">
            <v>1285437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</row>
        <row r="25">
          <cell r="C25">
            <v>1285471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</row>
        <row r="26">
          <cell r="C26">
            <v>1285434</v>
          </cell>
          <cell r="E26">
            <v>0</v>
          </cell>
          <cell r="F26">
            <v>0</v>
          </cell>
          <cell r="G26">
            <v>5</v>
          </cell>
          <cell r="H26">
            <v>5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</row>
        <row r="27">
          <cell r="C27" t="str">
            <v>305108GA012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</row>
        <row r="28">
          <cell r="C28" t="str">
            <v>305108GA013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</row>
        <row r="29">
          <cell r="C29" t="str">
            <v>305108GA015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</row>
        <row r="30">
          <cell r="C30" t="str">
            <v>305108GA016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</row>
        <row r="31">
          <cell r="C31" t="str">
            <v>305108GA017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</row>
        <row r="32">
          <cell r="C32" t="str">
            <v>305108GA018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</row>
        <row r="33">
          <cell r="C33" t="str">
            <v>305108GA019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</row>
        <row r="34">
          <cell r="C34" t="str">
            <v>305108GA020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</row>
        <row r="35">
          <cell r="C35" t="str">
            <v>305108GA022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</row>
        <row r="36">
          <cell r="C36" t="str">
            <v>305108GA023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</row>
        <row r="37">
          <cell r="C37" t="str">
            <v>305108GA024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</row>
        <row r="38">
          <cell r="C38" t="str">
            <v>305108GA025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</row>
        <row r="39">
          <cell r="C39" t="str">
            <v>305108GA026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</row>
        <row r="40">
          <cell r="C40" t="str">
            <v>305108GA061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</row>
        <row r="41">
          <cell r="C41" t="str">
            <v>305108GA063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</row>
        <row r="42">
          <cell r="C42" t="str">
            <v>305108GA064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</row>
        <row r="43">
          <cell r="C43" t="str">
            <v>305108GA066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</row>
        <row r="44">
          <cell r="C44" t="str">
            <v>305108GA067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</row>
        <row r="45">
          <cell r="C45" t="str">
            <v>305108GA076</v>
          </cell>
          <cell r="E45">
            <v>37</v>
          </cell>
          <cell r="F45">
            <v>0</v>
          </cell>
          <cell r="G45">
            <v>37</v>
          </cell>
          <cell r="H45">
            <v>0</v>
          </cell>
          <cell r="U45">
            <v>37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</row>
        <row r="46">
          <cell r="C46" t="str">
            <v>305108GA079</v>
          </cell>
          <cell r="E46">
            <v>5</v>
          </cell>
          <cell r="F46">
            <v>0</v>
          </cell>
          <cell r="G46">
            <v>5</v>
          </cell>
          <cell r="H46">
            <v>0</v>
          </cell>
          <cell r="U46">
            <v>5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</row>
        <row r="47">
          <cell r="C47" t="str">
            <v>305108GA074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</row>
        <row r="48">
          <cell r="C48" t="str">
            <v>305108GA090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</row>
        <row r="49">
          <cell r="C49" t="str">
            <v>305108GA091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</row>
        <row r="50">
          <cell r="C50" t="str">
            <v>305108GA092</v>
          </cell>
          <cell r="E50">
            <v>5</v>
          </cell>
          <cell r="F50">
            <v>0</v>
          </cell>
          <cell r="G50">
            <v>5</v>
          </cell>
          <cell r="H50">
            <v>0</v>
          </cell>
          <cell r="U50">
            <v>5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</row>
        <row r="51">
          <cell r="C51" t="str">
            <v>305108GA093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</row>
        <row r="52">
          <cell r="C52" t="str">
            <v>305108GA094</v>
          </cell>
          <cell r="E52">
            <v>54</v>
          </cell>
          <cell r="F52">
            <v>0</v>
          </cell>
          <cell r="G52">
            <v>54</v>
          </cell>
          <cell r="H52">
            <v>0</v>
          </cell>
          <cell r="U52">
            <v>54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</row>
        <row r="53">
          <cell r="C53" t="str">
            <v>305108GA095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</row>
        <row r="54">
          <cell r="C54" t="str">
            <v>305108GA096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</row>
        <row r="55">
          <cell r="C55" t="str">
            <v>305108GA097</v>
          </cell>
          <cell r="E55">
            <v>37</v>
          </cell>
          <cell r="F55">
            <v>0</v>
          </cell>
          <cell r="G55">
            <v>37</v>
          </cell>
          <cell r="H55">
            <v>0</v>
          </cell>
          <cell r="U55">
            <v>37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</row>
        <row r="56">
          <cell r="C56" t="str">
            <v>305108GA098</v>
          </cell>
          <cell r="E56">
            <v>2</v>
          </cell>
          <cell r="F56">
            <v>0</v>
          </cell>
          <cell r="G56">
            <v>2</v>
          </cell>
          <cell r="H56">
            <v>0</v>
          </cell>
          <cell r="U56">
            <v>2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</row>
        <row r="57">
          <cell r="C57" t="str">
            <v>305108GA099</v>
          </cell>
          <cell r="E57">
            <v>4</v>
          </cell>
          <cell r="F57">
            <v>0</v>
          </cell>
          <cell r="G57">
            <v>4</v>
          </cell>
          <cell r="H57">
            <v>0</v>
          </cell>
          <cell r="U57">
            <v>4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</row>
        <row r="58">
          <cell r="C58" t="str">
            <v>305108GA100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</row>
        <row r="59">
          <cell r="C59" t="str">
            <v>305108GA101</v>
          </cell>
          <cell r="E59">
            <v>39</v>
          </cell>
          <cell r="F59">
            <v>0</v>
          </cell>
          <cell r="G59">
            <v>39</v>
          </cell>
          <cell r="H59">
            <v>0</v>
          </cell>
          <cell r="U59">
            <v>39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</row>
        <row r="60">
          <cell r="C60" t="str">
            <v>305108GA102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</row>
        <row r="61">
          <cell r="C61" t="str">
            <v>305108GA103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</row>
        <row r="62">
          <cell r="C62" t="str">
            <v>305108GA109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</row>
        <row r="63">
          <cell r="C63" t="str">
            <v>305108GA110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</row>
        <row r="64">
          <cell r="C64" t="str">
            <v>305108GA111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</row>
        <row r="65">
          <cell r="C65" t="str">
            <v>305108GA112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</row>
        <row r="66">
          <cell r="C66" t="str">
            <v>305108GA113</v>
          </cell>
          <cell r="E66">
            <v>30</v>
          </cell>
          <cell r="F66">
            <v>0</v>
          </cell>
          <cell r="G66">
            <v>30</v>
          </cell>
          <cell r="H66">
            <v>0</v>
          </cell>
          <cell r="U66">
            <v>30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</row>
        <row r="67">
          <cell r="C67" t="str">
            <v>305108GA114</v>
          </cell>
          <cell r="E67">
            <v>1</v>
          </cell>
          <cell r="F67">
            <v>0</v>
          </cell>
          <cell r="G67">
            <v>1</v>
          </cell>
          <cell r="H67">
            <v>0</v>
          </cell>
          <cell r="U67">
            <v>1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</row>
        <row r="68">
          <cell r="C68" t="str">
            <v>305108GA115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</row>
        <row r="69">
          <cell r="C69" t="str">
            <v>305108GA116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</row>
        <row r="70">
          <cell r="C70" t="str">
            <v>305108GA117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</row>
        <row r="71">
          <cell r="C71" t="str">
            <v>305108GA118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</row>
        <row r="72">
          <cell r="C72" t="str">
            <v>305108GA119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</row>
        <row r="73">
          <cell r="C73" t="str">
            <v>305108GA120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</row>
        <row r="74">
          <cell r="C74" t="str">
            <v>305108GA121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</row>
        <row r="75">
          <cell r="C75" t="str">
            <v>305108GA122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</row>
        <row r="76">
          <cell r="C76" t="str">
            <v>305108GA123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</row>
        <row r="77">
          <cell r="C77" t="str">
            <v>305108GA124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</row>
        <row r="78">
          <cell r="C78" t="str">
            <v>305108GA125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</row>
        <row r="79">
          <cell r="C79" t="str">
            <v>305108GA126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</row>
        <row r="80">
          <cell r="C80" t="str">
            <v>305108GA127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</row>
        <row r="81">
          <cell r="C81" t="str">
            <v>305108GA128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</row>
        <row r="82">
          <cell r="C82" t="str">
            <v>305108GA129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</row>
        <row r="83">
          <cell r="C83" t="str">
            <v>305108GA130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</row>
        <row r="84">
          <cell r="C84" t="str">
            <v>305108GA131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</row>
        <row r="85">
          <cell r="C85" t="str">
            <v>305108GA132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</row>
        <row r="86">
          <cell r="C86" t="str">
            <v>305108GA133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</row>
        <row r="87">
          <cell r="C87" t="str">
            <v>5A0604801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</row>
        <row r="88">
          <cell r="C88">
            <v>984420101</v>
          </cell>
          <cell r="E88">
            <v>121</v>
          </cell>
          <cell r="F88">
            <v>210</v>
          </cell>
          <cell r="G88">
            <v>108</v>
          </cell>
          <cell r="H88">
            <v>197</v>
          </cell>
          <cell r="U88">
            <v>111</v>
          </cell>
          <cell r="V88">
            <v>200</v>
          </cell>
          <cell r="W88">
            <v>0</v>
          </cell>
          <cell r="X88">
            <v>0</v>
          </cell>
          <cell r="Y88">
            <v>10</v>
          </cell>
          <cell r="Z88">
            <v>10</v>
          </cell>
          <cell r="AA88">
            <v>10</v>
          </cell>
          <cell r="AB88">
            <v>10</v>
          </cell>
          <cell r="AC88">
            <v>10</v>
          </cell>
          <cell r="AD88">
            <v>0</v>
          </cell>
          <cell r="AE88">
            <v>0</v>
          </cell>
          <cell r="AF88">
            <v>10</v>
          </cell>
          <cell r="AG88">
            <v>10</v>
          </cell>
          <cell r="AH88">
            <v>10</v>
          </cell>
          <cell r="AI88">
            <v>10</v>
          </cell>
          <cell r="AJ88">
            <v>10</v>
          </cell>
          <cell r="AK88">
            <v>0</v>
          </cell>
          <cell r="AL88">
            <v>0</v>
          </cell>
          <cell r="AM88">
            <v>10</v>
          </cell>
          <cell r="AN88">
            <v>10</v>
          </cell>
          <cell r="AO88">
            <v>10</v>
          </cell>
          <cell r="AP88">
            <v>10</v>
          </cell>
          <cell r="AQ88">
            <v>10</v>
          </cell>
          <cell r="AR88">
            <v>0</v>
          </cell>
          <cell r="AS88">
            <v>0</v>
          </cell>
          <cell r="AT88">
            <v>10</v>
          </cell>
          <cell r="AU88">
            <v>10</v>
          </cell>
          <cell r="AV88">
            <v>10</v>
          </cell>
          <cell r="AW88">
            <v>10</v>
          </cell>
          <cell r="AX88">
            <v>10</v>
          </cell>
          <cell r="AY88">
            <v>0</v>
          </cell>
          <cell r="AZ88">
            <v>0</v>
          </cell>
          <cell r="BA88">
            <v>0</v>
          </cell>
        </row>
        <row r="89">
          <cell r="C89">
            <v>984420201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</row>
        <row r="90">
          <cell r="C90">
            <v>984420901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</row>
        <row r="91">
          <cell r="C91">
            <v>984421001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</row>
        <row r="92">
          <cell r="C92">
            <v>984421101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</row>
        <row r="93">
          <cell r="C93">
            <v>984421201</v>
          </cell>
          <cell r="E93">
            <v>168</v>
          </cell>
          <cell r="F93">
            <v>1130</v>
          </cell>
          <cell r="G93">
            <v>184</v>
          </cell>
          <cell r="H93">
            <v>1146</v>
          </cell>
          <cell r="U93">
            <v>178</v>
          </cell>
          <cell r="V93">
            <v>1140</v>
          </cell>
          <cell r="W93">
            <v>0</v>
          </cell>
          <cell r="X93">
            <v>0</v>
          </cell>
          <cell r="Y93">
            <v>55</v>
          </cell>
          <cell r="Z93">
            <v>55</v>
          </cell>
          <cell r="AA93">
            <v>55</v>
          </cell>
          <cell r="AB93">
            <v>60</v>
          </cell>
          <cell r="AC93">
            <v>60</v>
          </cell>
          <cell r="AD93">
            <v>0</v>
          </cell>
          <cell r="AE93">
            <v>0</v>
          </cell>
          <cell r="AF93">
            <v>55</v>
          </cell>
          <cell r="AG93">
            <v>55</v>
          </cell>
          <cell r="AH93">
            <v>55</v>
          </cell>
          <cell r="AI93">
            <v>60</v>
          </cell>
          <cell r="AJ93">
            <v>60</v>
          </cell>
          <cell r="AK93">
            <v>0</v>
          </cell>
          <cell r="AL93">
            <v>0</v>
          </cell>
          <cell r="AM93">
            <v>55</v>
          </cell>
          <cell r="AN93">
            <v>55</v>
          </cell>
          <cell r="AO93">
            <v>55</v>
          </cell>
          <cell r="AP93">
            <v>60</v>
          </cell>
          <cell r="AQ93">
            <v>60</v>
          </cell>
          <cell r="AR93">
            <v>0</v>
          </cell>
          <cell r="AS93">
            <v>0</v>
          </cell>
          <cell r="AT93">
            <v>55</v>
          </cell>
          <cell r="AU93">
            <v>55</v>
          </cell>
          <cell r="AV93">
            <v>55</v>
          </cell>
          <cell r="AW93">
            <v>60</v>
          </cell>
          <cell r="AX93">
            <v>60</v>
          </cell>
          <cell r="AY93">
            <v>0</v>
          </cell>
          <cell r="AZ93">
            <v>0</v>
          </cell>
          <cell r="BA93">
            <v>0</v>
          </cell>
        </row>
        <row r="94">
          <cell r="C94">
            <v>984421301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</row>
        <row r="95">
          <cell r="C95">
            <v>984421501</v>
          </cell>
          <cell r="E95">
            <v>33</v>
          </cell>
          <cell r="F95">
            <v>260</v>
          </cell>
          <cell r="G95">
            <v>40</v>
          </cell>
          <cell r="H95">
            <v>267</v>
          </cell>
          <cell r="U95">
            <v>73</v>
          </cell>
          <cell r="V95">
            <v>300</v>
          </cell>
          <cell r="W95">
            <v>0</v>
          </cell>
          <cell r="X95">
            <v>0</v>
          </cell>
          <cell r="Y95">
            <v>15</v>
          </cell>
          <cell r="Z95">
            <v>15</v>
          </cell>
          <cell r="AA95">
            <v>15</v>
          </cell>
          <cell r="AB95">
            <v>15</v>
          </cell>
          <cell r="AC95">
            <v>15</v>
          </cell>
          <cell r="AD95">
            <v>0</v>
          </cell>
          <cell r="AE95">
            <v>0</v>
          </cell>
          <cell r="AF95">
            <v>15</v>
          </cell>
          <cell r="AG95">
            <v>15</v>
          </cell>
          <cell r="AH95">
            <v>15</v>
          </cell>
          <cell r="AI95">
            <v>15</v>
          </cell>
          <cell r="AJ95">
            <v>15</v>
          </cell>
          <cell r="AK95">
            <v>0</v>
          </cell>
          <cell r="AL95">
            <v>0</v>
          </cell>
          <cell r="AM95">
            <v>15</v>
          </cell>
          <cell r="AN95">
            <v>15</v>
          </cell>
          <cell r="AO95">
            <v>15</v>
          </cell>
          <cell r="AP95">
            <v>15</v>
          </cell>
          <cell r="AQ95">
            <v>15</v>
          </cell>
          <cell r="AR95">
            <v>0</v>
          </cell>
          <cell r="AS95">
            <v>0</v>
          </cell>
          <cell r="AT95">
            <v>15</v>
          </cell>
          <cell r="AU95">
            <v>15</v>
          </cell>
          <cell r="AV95">
            <v>15</v>
          </cell>
          <cell r="AW95">
            <v>15</v>
          </cell>
          <cell r="AX95">
            <v>15</v>
          </cell>
          <cell r="AY95">
            <v>0</v>
          </cell>
          <cell r="AZ95">
            <v>0</v>
          </cell>
          <cell r="BA95">
            <v>0</v>
          </cell>
        </row>
        <row r="96">
          <cell r="C96">
            <v>984421601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</row>
        <row r="97">
          <cell r="C97">
            <v>984421701</v>
          </cell>
          <cell r="E97">
            <v>0</v>
          </cell>
          <cell r="F97">
            <v>135</v>
          </cell>
          <cell r="G97">
            <v>25</v>
          </cell>
          <cell r="H97">
            <v>160</v>
          </cell>
          <cell r="U97">
            <v>65</v>
          </cell>
          <cell r="V97">
            <v>200</v>
          </cell>
          <cell r="W97">
            <v>0</v>
          </cell>
          <cell r="X97">
            <v>0</v>
          </cell>
          <cell r="Y97">
            <v>10</v>
          </cell>
          <cell r="Z97">
            <v>10</v>
          </cell>
          <cell r="AA97">
            <v>10</v>
          </cell>
          <cell r="AB97">
            <v>10</v>
          </cell>
          <cell r="AC97">
            <v>10</v>
          </cell>
          <cell r="AD97">
            <v>0</v>
          </cell>
          <cell r="AE97">
            <v>0</v>
          </cell>
          <cell r="AF97">
            <v>10</v>
          </cell>
          <cell r="AG97">
            <v>10</v>
          </cell>
          <cell r="AH97">
            <v>10</v>
          </cell>
          <cell r="AI97">
            <v>10</v>
          </cell>
          <cell r="AJ97">
            <v>10</v>
          </cell>
          <cell r="AK97">
            <v>0</v>
          </cell>
          <cell r="AL97">
            <v>0</v>
          </cell>
          <cell r="AM97">
            <v>10</v>
          </cell>
          <cell r="AN97">
            <v>10</v>
          </cell>
          <cell r="AO97">
            <v>10</v>
          </cell>
          <cell r="AP97">
            <v>10</v>
          </cell>
          <cell r="AQ97">
            <v>10</v>
          </cell>
          <cell r="AR97">
            <v>0</v>
          </cell>
          <cell r="AS97">
            <v>0</v>
          </cell>
          <cell r="AT97">
            <v>10</v>
          </cell>
          <cell r="AU97">
            <v>10</v>
          </cell>
          <cell r="AV97">
            <v>10</v>
          </cell>
          <cell r="AW97">
            <v>10</v>
          </cell>
          <cell r="AX97">
            <v>10</v>
          </cell>
          <cell r="AY97">
            <v>0</v>
          </cell>
          <cell r="AZ97">
            <v>0</v>
          </cell>
          <cell r="BA97">
            <v>0</v>
          </cell>
        </row>
        <row r="98">
          <cell r="C98">
            <v>984421801</v>
          </cell>
          <cell r="E98">
            <v>21</v>
          </cell>
          <cell r="F98">
            <v>40</v>
          </cell>
          <cell r="G98">
            <v>50</v>
          </cell>
          <cell r="H98">
            <v>69</v>
          </cell>
          <cell r="U98">
            <v>81</v>
          </cell>
          <cell r="V98">
            <v>100</v>
          </cell>
          <cell r="W98">
            <v>0</v>
          </cell>
          <cell r="X98">
            <v>0</v>
          </cell>
          <cell r="Y98">
            <v>5</v>
          </cell>
          <cell r="Z98">
            <v>5</v>
          </cell>
          <cell r="AA98">
            <v>5</v>
          </cell>
          <cell r="AB98">
            <v>5</v>
          </cell>
          <cell r="AC98">
            <v>5</v>
          </cell>
          <cell r="AD98">
            <v>0</v>
          </cell>
          <cell r="AE98">
            <v>0</v>
          </cell>
          <cell r="AF98">
            <v>5</v>
          </cell>
          <cell r="AG98">
            <v>5</v>
          </cell>
          <cell r="AH98">
            <v>5</v>
          </cell>
          <cell r="AI98">
            <v>5</v>
          </cell>
          <cell r="AJ98">
            <v>5</v>
          </cell>
          <cell r="AK98">
            <v>0</v>
          </cell>
          <cell r="AL98">
            <v>0</v>
          </cell>
          <cell r="AM98">
            <v>5</v>
          </cell>
          <cell r="AN98">
            <v>5</v>
          </cell>
          <cell r="AO98">
            <v>5</v>
          </cell>
          <cell r="AP98">
            <v>5</v>
          </cell>
          <cell r="AQ98">
            <v>5</v>
          </cell>
          <cell r="AR98">
            <v>0</v>
          </cell>
          <cell r="AS98">
            <v>0</v>
          </cell>
          <cell r="AT98">
            <v>5</v>
          </cell>
          <cell r="AU98">
            <v>5</v>
          </cell>
          <cell r="AV98">
            <v>5</v>
          </cell>
          <cell r="AW98">
            <v>5</v>
          </cell>
          <cell r="AX98">
            <v>5</v>
          </cell>
          <cell r="AY98">
            <v>0</v>
          </cell>
          <cell r="AZ98">
            <v>0</v>
          </cell>
          <cell r="BA98">
            <v>0</v>
          </cell>
        </row>
        <row r="99">
          <cell r="C99">
            <v>984421901</v>
          </cell>
          <cell r="E99">
            <v>116</v>
          </cell>
          <cell r="F99">
            <v>10</v>
          </cell>
          <cell r="G99">
            <v>111</v>
          </cell>
          <cell r="H99">
            <v>5</v>
          </cell>
          <cell r="U99">
            <v>106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</row>
        <row r="100">
          <cell r="C100">
            <v>984422001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</row>
        <row r="101">
          <cell r="C101">
            <v>984422101</v>
          </cell>
          <cell r="E101">
            <v>46</v>
          </cell>
          <cell r="F101">
            <v>35</v>
          </cell>
          <cell r="G101">
            <v>34</v>
          </cell>
          <cell r="H101">
            <v>23</v>
          </cell>
          <cell r="U101">
            <v>11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</row>
        <row r="102">
          <cell r="C102">
            <v>984422201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</row>
        <row r="103">
          <cell r="C103">
            <v>984422701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</row>
        <row r="104">
          <cell r="C104">
            <v>984423101</v>
          </cell>
          <cell r="E104">
            <v>18</v>
          </cell>
          <cell r="F104">
            <v>0</v>
          </cell>
          <cell r="G104">
            <v>19</v>
          </cell>
          <cell r="H104">
            <v>1</v>
          </cell>
          <cell r="U104">
            <v>18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</row>
        <row r="105">
          <cell r="C105">
            <v>984423201</v>
          </cell>
          <cell r="E105">
            <v>46</v>
          </cell>
          <cell r="F105">
            <v>80</v>
          </cell>
          <cell r="G105">
            <v>25</v>
          </cell>
          <cell r="H105">
            <v>59</v>
          </cell>
          <cell r="U105">
            <v>66</v>
          </cell>
          <cell r="V105">
            <v>100</v>
          </cell>
          <cell r="W105">
            <v>0</v>
          </cell>
          <cell r="X105">
            <v>0</v>
          </cell>
          <cell r="Y105">
            <v>5</v>
          </cell>
          <cell r="Z105">
            <v>5</v>
          </cell>
          <cell r="AA105">
            <v>5</v>
          </cell>
          <cell r="AB105">
            <v>5</v>
          </cell>
          <cell r="AC105">
            <v>5</v>
          </cell>
          <cell r="AD105">
            <v>0</v>
          </cell>
          <cell r="AE105">
            <v>0</v>
          </cell>
          <cell r="AF105">
            <v>5</v>
          </cell>
          <cell r="AG105">
            <v>5</v>
          </cell>
          <cell r="AH105">
            <v>5</v>
          </cell>
          <cell r="AI105">
            <v>5</v>
          </cell>
          <cell r="AJ105">
            <v>5</v>
          </cell>
          <cell r="AK105">
            <v>0</v>
          </cell>
          <cell r="AL105">
            <v>0</v>
          </cell>
          <cell r="AM105">
            <v>5</v>
          </cell>
          <cell r="AN105">
            <v>5</v>
          </cell>
          <cell r="AO105">
            <v>5</v>
          </cell>
          <cell r="AP105">
            <v>5</v>
          </cell>
          <cell r="AQ105">
            <v>5</v>
          </cell>
          <cell r="AR105">
            <v>0</v>
          </cell>
          <cell r="AS105">
            <v>0</v>
          </cell>
          <cell r="AT105">
            <v>5</v>
          </cell>
          <cell r="AU105">
            <v>5</v>
          </cell>
          <cell r="AV105">
            <v>5</v>
          </cell>
          <cell r="AW105">
            <v>5</v>
          </cell>
          <cell r="AX105">
            <v>5</v>
          </cell>
          <cell r="AY105">
            <v>0</v>
          </cell>
          <cell r="AZ105">
            <v>0</v>
          </cell>
          <cell r="BA105">
            <v>0</v>
          </cell>
        </row>
        <row r="106">
          <cell r="C106">
            <v>984423301</v>
          </cell>
          <cell r="E106">
            <v>53</v>
          </cell>
          <cell r="F106">
            <v>400</v>
          </cell>
          <cell r="G106">
            <v>58</v>
          </cell>
          <cell r="H106">
            <v>405</v>
          </cell>
          <cell r="U106">
            <v>53</v>
          </cell>
          <cell r="V106">
            <v>400</v>
          </cell>
          <cell r="W106">
            <v>0</v>
          </cell>
          <cell r="X106">
            <v>0</v>
          </cell>
          <cell r="Y106">
            <v>20</v>
          </cell>
          <cell r="Z106">
            <v>20</v>
          </cell>
          <cell r="AA106">
            <v>20</v>
          </cell>
          <cell r="AB106">
            <v>20</v>
          </cell>
          <cell r="AC106">
            <v>20</v>
          </cell>
          <cell r="AD106">
            <v>0</v>
          </cell>
          <cell r="AE106">
            <v>0</v>
          </cell>
          <cell r="AF106">
            <v>20</v>
          </cell>
          <cell r="AG106">
            <v>20</v>
          </cell>
          <cell r="AH106">
            <v>20</v>
          </cell>
          <cell r="AI106">
            <v>20</v>
          </cell>
          <cell r="AJ106">
            <v>20</v>
          </cell>
          <cell r="AK106">
            <v>0</v>
          </cell>
          <cell r="AL106">
            <v>0</v>
          </cell>
          <cell r="AM106">
            <v>20</v>
          </cell>
          <cell r="AN106">
            <v>20</v>
          </cell>
          <cell r="AO106">
            <v>20</v>
          </cell>
          <cell r="AP106">
            <v>20</v>
          </cell>
          <cell r="AQ106">
            <v>20</v>
          </cell>
          <cell r="AR106">
            <v>0</v>
          </cell>
          <cell r="AS106">
            <v>0</v>
          </cell>
          <cell r="AT106">
            <v>20</v>
          </cell>
          <cell r="AU106">
            <v>20</v>
          </cell>
          <cell r="AV106">
            <v>20</v>
          </cell>
          <cell r="AW106">
            <v>20</v>
          </cell>
          <cell r="AX106">
            <v>20</v>
          </cell>
          <cell r="AY106">
            <v>0</v>
          </cell>
          <cell r="AZ106">
            <v>0</v>
          </cell>
          <cell r="BA106">
            <v>0</v>
          </cell>
        </row>
        <row r="107">
          <cell r="C107">
            <v>984423601</v>
          </cell>
          <cell r="E107">
            <v>18</v>
          </cell>
          <cell r="F107">
            <v>160</v>
          </cell>
          <cell r="G107">
            <v>16</v>
          </cell>
          <cell r="H107">
            <v>158</v>
          </cell>
          <cell r="U107">
            <v>58</v>
          </cell>
          <cell r="V107">
            <v>200</v>
          </cell>
          <cell r="W107">
            <v>0</v>
          </cell>
          <cell r="X107">
            <v>0</v>
          </cell>
          <cell r="Y107">
            <v>10</v>
          </cell>
          <cell r="Z107">
            <v>10</v>
          </cell>
          <cell r="AA107">
            <v>10</v>
          </cell>
          <cell r="AB107">
            <v>10</v>
          </cell>
          <cell r="AC107">
            <v>10</v>
          </cell>
          <cell r="AD107">
            <v>0</v>
          </cell>
          <cell r="AE107">
            <v>0</v>
          </cell>
          <cell r="AF107">
            <v>10</v>
          </cell>
          <cell r="AG107">
            <v>10</v>
          </cell>
          <cell r="AH107">
            <v>10</v>
          </cell>
          <cell r="AI107">
            <v>10</v>
          </cell>
          <cell r="AJ107">
            <v>10</v>
          </cell>
          <cell r="AK107">
            <v>0</v>
          </cell>
          <cell r="AL107">
            <v>0</v>
          </cell>
          <cell r="AM107">
            <v>10</v>
          </cell>
          <cell r="AN107">
            <v>10</v>
          </cell>
          <cell r="AO107">
            <v>10</v>
          </cell>
          <cell r="AP107">
            <v>10</v>
          </cell>
          <cell r="AQ107">
            <v>10</v>
          </cell>
          <cell r="AR107">
            <v>0</v>
          </cell>
          <cell r="AS107">
            <v>0</v>
          </cell>
          <cell r="AT107">
            <v>10</v>
          </cell>
          <cell r="AU107">
            <v>10</v>
          </cell>
          <cell r="AV107">
            <v>10</v>
          </cell>
          <cell r="AW107">
            <v>10</v>
          </cell>
          <cell r="AX107">
            <v>10</v>
          </cell>
          <cell r="AY107">
            <v>0</v>
          </cell>
          <cell r="AZ107">
            <v>0</v>
          </cell>
          <cell r="BA107">
            <v>0</v>
          </cell>
        </row>
        <row r="108">
          <cell r="C108">
            <v>984423701</v>
          </cell>
          <cell r="E108">
            <v>151</v>
          </cell>
          <cell r="F108">
            <v>560</v>
          </cell>
          <cell r="G108">
            <v>175</v>
          </cell>
          <cell r="H108">
            <v>584</v>
          </cell>
          <cell r="U108">
            <v>191</v>
          </cell>
          <cell r="V108">
            <v>600</v>
          </cell>
          <cell r="W108">
            <v>0</v>
          </cell>
          <cell r="X108">
            <v>0</v>
          </cell>
          <cell r="Y108">
            <v>30</v>
          </cell>
          <cell r="Z108">
            <v>30</v>
          </cell>
          <cell r="AA108">
            <v>30</v>
          </cell>
          <cell r="AB108">
            <v>30</v>
          </cell>
          <cell r="AC108">
            <v>30</v>
          </cell>
          <cell r="AD108">
            <v>0</v>
          </cell>
          <cell r="AE108">
            <v>0</v>
          </cell>
          <cell r="AF108">
            <v>30</v>
          </cell>
          <cell r="AG108">
            <v>30</v>
          </cell>
          <cell r="AH108">
            <v>30</v>
          </cell>
          <cell r="AI108">
            <v>30</v>
          </cell>
          <cell r="AJ108">
            <v>30</v>
          </cell>
          <cell r="AK108">
            <v>0</v>
          </cell>
          <cell r="AL108">
            <v>0</v>
          </cell>
          <cell r="AM108">
            <v>30</v>
          </cell>
          <cell r="AN108">
            <v>30</v>
          </cell>
          <cell r="AO108">
            <v>30</v>
          </cell>
          <cell r="AP108">
            <v>30</v>
          </cell>
          <cell r="AQ108">
            <v>30</v>
          </cell>
          <cell r="AR108">
            <v>0</v>
          </cell>
          <cell r="AS108">
            <v>0</v>
          </cell>
          <cell r="AT108">
            <v>30</v>
          </cell>
          <cell r="AU108">
            <v>30</v>
          </cell>
          <cell r="AV108">
            <v>30</v>
          </cell>
          <cell r="AW108">
            <v>30</v>
          </cell>
          <cell r="AX108">
            <v>30</v>
          </cell>
          <cell r="AY108">
            <v>0</v>
          </cell>
          <cell r="AZ108">
            <v>0</v>
          </cell>
          <cell r="BA108">
            <v>0</v>
          </cell>
        </row>
        <row r="109">
          <cell r="C109">
            <v>984423901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</row>
        <row r="110">
          <cell r="C110">
            <v>984424001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</row>
        <row r="111">
          <cell r="C111">
            <v>984424101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</row>
        <row r="112">
          <cell r="C112">
            <v>984424201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</row>
        <row r="113">
          <cell r="C113">
            <v>984424301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</row>
        <row r="114">
          <cell r="C114">
            <v>984424501</v>
          </cell>
          <cell r="E114">
            <v>337</v>
          </cell>
          <cell r="F114">
            <v>0</v>
          </cell>
          <cell r="G114">
            <v>337</v>
          </cell>
          <cell r="H114">
            <v>0</v>
          </cell>
          <cell r="U114">
            <v>337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</row>
        <row r="115">
          <cell r="C115">
            <v>984424701</v>
          </cell>
          <cell r="E115">
            <v>176</v>
          </cell>
          <cell r="F115">
            <v>1010</v>
          </cell>
          <cell r="G115">
            <v>167</v>
          </cell>
          <cell r="H115">
            <v>1001</v>
          </cell>
          <cell r="U115">
            <v>166</v>
          </cell>
          <cell r="V115">
            <v>1000</v>
          </cell>
          <cell r="W115">
            <v>0</v>
          </cell>
          <cell r="X115">
            <v>0</v>
          </cell>
          <cell r="Y115">
            <v>50</v>
          </cell>
          <cell r="Z115">
            <v>50</v>
          </cell>
          <cell r="AA115">
            <v>50</v>
          </cell>
          <cell r="AB115">
            <v>50</v>
          </cell>
          <cell r="AC115">
            <v>50</v>
          </cell>
          <cell r="AD115">
            <v>0</v>
          </cell>
          <cell r="AE115">
            <v>0</v>
          </cell>
          <cell r="AF115">
            <v>50</v>
          </cell>
          <cell r="AG115">
            <v>50</v>
          </cell>
          <cell r="AH115">
            <v>50</v>
          </cell>
          <cell r="AI115">
            <v>50</v>
          </cell>
          <cell r="AJ115">
            <v>50</v>
          </cell>
          <cell r="AK115">
            <v>0</v>
          </cell>
          <cell r="AL115">
            <v>0</v>
          </cell>
          <cell r="AM115">
            <v>50</v>
          </cell>
          <cell r="AN115">
            <v>50</v>
          </cell>
          <cell r="AO115">
            <v>50</v>
          </cell>
          <cell r="AP115">
            <v>50</v>
          </cell>
          <cell r="AQ115">
            <v>50</v>
          </cell>
          <cell r="AR115">
            <v>0</v>
          </cell>
          <cell r="AS115">
            <v>0</v>
          </cell>
          <cell r="AT115">
            <v>50</v>
          </cell>
          <cell r="AU115">
            <v>50</v>
          </cell>
          <cell r="AV115">
            <v>50</v>
          </cell>
          <cell r="AW115">
            <v>50</v>
          </cell>
          <cell r="AX115">
            <v>50</v>
          </cell>
          <cell r="AY115">
            <v>0</v>
          </cell>
          <cell r="AZ115">
            <v>0</v>
          </cell>
          <cell r="BA115">
            <v>0</v>
          </cell>
        </row>
        <row r="116">
          <cell r="C116">
            <v>984431701</v>
          </cell>
          <cell r="E116">
            <v>173</v>
          </cell>
          <cell r="F116">
            <v>1120</v>
          </cell>
          <cell r="G116">
            <v>192</v>
          </cell>
          <cell r="H116">
            <v>1139</v>
          </cell>
          <cell r="U116">
            <v>193</v>
          </cell>
          <cell r="V116">
            <v>1140</v>
          </cell>
          <cell r="W116">
            <v>0</v>
          </cell>
          <cell r="X116">
            <v>0</v>
          </cell>
          <cell r="Y116">
            <v>55</v>
          </cell>
          <cell r="Z116">
            <v>55</v>
          </cell>
          <cell r="AA116">
            <v>55</v>
          </cell>
          <cell r="AB116">
            <v>60</v>
          </cell>
          <cell r="AC116">
            <v>60</v>
          </cell>
          <cell r="AD116">
            <v>0</v>
          </cell>
          <cell r="AE116">
            <v>0</v>
          </cell>
          <cell r="AF116">
            <v>55</v>
          </cell>
          <cell r="AG116">
            <v>55</v>
          </cell>
          <cell r="AH116">
            <v>55</v>
          </cell>
          <cell r="AI116">
            <v>60</v>
          </cell>
          <cell r="AJ116">
            <v>60</v>
          </cell>
          <cell r="AK116">
            <v>0</v>
          </cell>
          <cell r="AL116">
            <v>0</v>
          </cell>
          <cell r="AM116">
            <v>55</v>
          </cell>
          <cell r="AN116">
            <v>55</v>
          </cell>
          <cell r="AO116">
            <v>55</v>
          </cell>
          <cell r="AP116">
            <v>60</v>
          </cell>
          <cell r="AQ116">
            <v>60</v>
          </cell>
          <cell r="AR116">
            <v>0</v>
          </cell>
          <cell r="AS116">
            <v>0</v>
          </cell>
          <cell r="AT116">
            <v>55</v>
          </cell>
          <cell r="AU116">
            <v>55</v>
          </cell>
          <cell r="AV116">
            <v>55</v>
          </cell>
          <cell r="AW116">
            <v>60</v>
          </cell>
          <cell r="AX116">
            <v>60</v>
          </cell>
          <cell r="AY116">
            <v>0</v>
          </cell>
          <cell r="AZ116">
            <v>0</v>
          </cell>
          <cell r="BA116">
            <v>0</v>
          </cell>
        </row>
        <row r="117">
          <cell r="C117">
            <v>984433301</v>
          </cell>
          <cell r="E117">
            <v>308</v>
          </cell>
          <cell r="F117">
            <v>1675</v>
          </cell>
          <cell r="G117">
            <v>392</v>
          </cell>
          <cell r="H117">
            <v>1759</v>
          </cell>
          <cell r="U117">
            <v>373</v>
          </cell>
          <cell r="V117">
            <v>1740</v>
          </cell>
          <cell r="W117">
            <v>0</v>
          </cell>
          <cell r="X117">
            <v>0</v>
          </cell>
          <cell r="Y117">
            <v>85</v>
          </cell>
          <cell r="Z117">
            <v>85</v>
          </cell>
          <cell r="AA117">
            <v>85</v>
          </cell>
          <cell r="AB117">
            <v>90</v>
          </cell>
          <cell r="AC117">
            <v>90</v>
          </cell>
          <cell r="AD117">
            <v>0</v>
          </cell>
          <cell r="AE117">
            <v>0</v>
          </cell>
          <cell r="AF117">
            <v>85</v>
          </cell>
          <cell r="AG117">
            <v>85</v>
          </cell>
          <cell r="AH117">
            <v>85</v>
          </cell>
          <cell r="AI117">
            <v>90</v>
          </cell>
          <cell r="AJ117">
            <v>90</v>
          </cell>
          <cell r="AK117">
            <v>0</v>
          </cell>
          <cell r="AL117">
            <v>0</v>
          </cell>
          <cell r="AM117">
            <v>85</v>
          </cell>
          <cell r="AN117">
            <v>85</v>
          </cell>
          <cell r="AO117">
            <v>85</v>
          </cell>
          <cell r="AP117">
            <v>90</v>
          </cell>
          <cell r="AQ117">
            <v>90</v>
          </cell>
          <cell r="AR117">
            <v>0</v>
          </cell>
          <cell r="AS117">
            <v>0</v>
          </cell>
          <cell r="AT117">
            <v>85</v>
          </cell>
          <cell r="AU117">
            <v>85</v>
          </cell>
          <cell r="AV117">
            <v>85</v>
          </cell>
          <cell r="AW117">
            <v>90</v>
          </cell>
          <cell r="AX117">
            <v>90</v>
          </cell>
          <cell r="AY117">
            <v>0</v>
          </cell>
          <cell r="AZ117">
            <v>0</v>
          </cell>
          <cell r="BA117">
            <v>0</v>
          </cell>
        </row>
        <row r="118">
          <cell r="C118">
            <v>984434701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</row>
        <row r="119">
          <cell r="C119">
            <v>945504501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</row>
        <row r="120">
          <cell r="C120">
            <v>989484501</v>
          </cell>
          <cell r="E120">
            <v>11</v>
          </cell>
          <cell r="F120">
            <v>0</v>
          </cell>
          <cell r="G120">
            <v>11</v>
          </cell>
          <cell r="H120">
            <v>0</v>
          </cell>
          <cell r="U120">
            <v>11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</row>
        <row r="121">
          <cell r="C121">
            <v>945501901</v>
          </cell>
          <cell r="E121">
            <v>4</v>
          </cell>
          <cell r="F121">
            <v>0</v>
          </cell>
          <cell r="G121">
            <v>4</v>
          </cell>
          <cell r="H121">
            <v>0</v>
          </cell>
          <cell r="U121">
            <v>4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</row>
        <row r="122">
          <cell r="C122">
            <v>984421901</v>
          </cell>
          <cell r="E122">
            <v>0</v>
          </cell>
          <cell r="F122">
            <v>96</v>
          </cell>
          <cell r="G122">
            <v>111</v>
          </cell>
          <cell r="H122">
            <v>207</v>
          </cell>
          <cell r="U122">
            <v>104</v>
          </cell>
          <cell r="V122">
            <v>200</v>
          </cell>
          <cell r="W122">
            <v>0</v>
          </cell>
          <cell r="X122">
            <v>0</v>
          </cell>
          <cell r="Y122">
            <v>10</v>
          </cell>
          <cell r="Z122">
            <v>10</v>
          </cell>
          <cell r="AA122">
            <v>10</v>
          </cell>
          <cell r="AB122">
            <v>10</v>
          </cell>
          <cell r="AC122">
            <v>10</v>
          </cell>
          <cell r="AD122">
            <v>0</v>
          </cell>
          <cell r="AE122">
            <v>0</v>
          </cell>
          <cell r="AF122">
            <v>10</v>
          </cell>
          <cell r="AG122">
            <v>10</v>
          </cell>
          <cell r="AH122">
            <v>10</v>
          </cell>
          <cell r="AI122">
            <v>10</v>
          </cell>
          <cell r="AJ122">
            <v>10</v>
          </cell>
          <cell r="AK122">
            <v>0</v>
          </cell>
          <cell r="AL122">
            <v>0</v>
          </cell>
          <cell r="AM122">
            <v>10</v>
          </cell>
          <cell r="AN122">
            <v>10</v>
          </cell>
          <cell r="AO122">
            <v>10</v>
          </cell>
          <cell r="AP122">
            <v>10</v>
          </cell>
          <cell r="AQ122">
            <v>10</v>
          </cell>
          <cell r="AR122">
            <v>0</v>
          </cell>
          <cell r="AS122">
            <v>0</v>
          </cell>
          <cell r="AT122">
            <v>10</v>
          </cell>
          <cell r="AU122">
            <v>10</v>
          </cell>
          <cell r="AV122">
            <v>10</v>
          </cell>
          <cell r="AW122">
            <v>10</v>
          </cell>
          <cell r="AX122">
            <v>10</v>
          </cell>
          <cell r="AY122">
            <v>0</v>
          </cell>
          <cell r="AZ122">
            <v>0</v>
          </cell>
          <cell r="BA122">
            <v>0</v>
          </cell>
        </row>
        <row r="123">
          <cell r="C123">
            <v>947031901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</row>
        <row r="124">
          <cell r="C124">
            <v>984424501</v>
          </cell>
          <cell r="E124">
            <v>0</v>
          </cell>
          <cell r="F124">
            <v>1360</v>
          </cell>
          <cell r="G124">
            <v>337</v>
          </cell>
          <cell r="H124">
            <v>1697</v>
          </cell>
          <cell r="U124">
            <v>365</v>
          </cell>
          <cell r="V124">
            <v>1725</v>
          </cell>
          <cell r="W124">
            <v>0</v>
          </cell>
          <cell r="X124">
            <v>0</v>
          </cell>
          <cell r="Y124">
            <v>85</v>
          </cell>
          <cell r="Z124">
            <v>85</v>
          </cell>
          <cell r="AA124">
            <v>85</v>
          </cell>
          <cell r="AB124">
            <v>90</v>
          </cell>
          <cell r="AC124">
            <v>90</v>
          </cell>
          <cell r="AD124">
            <v>0</v>
          </cell>
          <cell r="AE124">
            <v>0</v>
          </cell>
          <cell r="AF124">
            <v>80</v>
          </cell>
          <cell r="AG124">
            <v>85</v>
          </cell>
          <cell r="AH124">
            <v>85</v>
          </cell>
          <cell r="AI124">
            <v>90</v>
          </cell>
          <cell r="AJ124">
            <v>90</v>
          </cell>
          <cell r="AK124">
            <v>0</v>
          </cell>
          <cell r="AL124">
            <v>0</v>
          </cell>
          <cell r="AM124">
            <v>85</v>
          </cell>
          <cell r="AN124">
            <v>85</v>
          </cell>
          <cell r="AO124">
            <v>85</v>
          </cell>
          <cell r="AP124">
            <v>85</v>
          </cell>
          <cell r="AQ124">
            <v>90</v>
          </cell>
          <cell r="AR124">
            <v>0</v>
          </cell>
          <cell r="AS124">
            <v>0</v>
          </cell>
          <cell r="AT124">
            <v>85</v>
          </cell>
          <cell r="AU124">
            <v>85</v>
          </cell>
          <cell r="AV124">
            <v>85</v>
          </cell>
          <cell r="AW124">
            <v>90</v>
          </cell>
          <cell r="AX124">
            <v>85</v>
          </cell>
          <cell r="AY124">
            <v>0</v>
          </cell>
          <cell r="AZ124">
            <v>0</v>
          </cell>
          <cell r="BA124">
            <v>0</v>
          </cell>
        </row>
        <row r="125">
          <cell r="C125">
            <v>9823495680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</row>
        <row r="126">
          <cell r="C126">
            <v>9823499580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</row>
        <row r="127">
          <cell r="C127">
            <v>9824805580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</row>
        <row r="128">
          <cell r="C128">
            <v>9827156780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</row>
        <row r="129">
          <cell r="C129">
            <v>9828299780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</row>
        <row r="130">
          <cell r="C130">
            <v>9828330480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</row>
        <row r="131">
          <cell r="C131">
            <v>9830763580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</row>
        <row r="132">
          <cell r="C132">
            <v>9830763780</v>
          </cell>
          <cell r="E132">
            <v>1589</v>
          </cell>
          <cell r="F132">
            <v>4864</v>
          </cell>
          <cell r="G132">
            <v>1159</v>
          </cell>
          <cell r="H132">
            <v>4434</v>
          </cell>
          <cell r="U132">
            <v>1149</v>
          </cell>
          <cell r="V132">
            <v>4424</v>
          </cell>
          <cell r="W132">
            <v>0</v>
          </cell>
          <cell r="X132">
            <v>0</v>
          </cell>
          <cell r="Y132">
            <v>216</v>
          </cell>
          <cell r="Z132">
            <v>216</v>
          </cell>
          <cell r="AA132">
            <v>216</v>
          </cell>
          <cell r="AB132">
            <v>232</v>
          </cell>
          <cell r="AC132">
            <v>232</v>
          </cell>
          <cell r="AD132">
            <v>0</v>
          </cell>
          <cell r="AE132">
            <v>0</v>
          </cell>
          <cell r="AF132">
            <v>208</v>
          </cell>
          <cell r="AG132">
            <v>216</v>
          </cell>
          <cell r="AH132">
            <v>216</v>
          </cell>
          <cell r="AI132">
            <v>232</v>
          </cell>
          <cell r="AJ132">
            <v>232</v>
          </cell>
          <cell r="AK132">
            <v>0</v>
          </cell>
          <cell r="AL132">
            <v>0</v>
          </cell>
          <cell r="AM132">
            <v>216</v>
          </cell>
          <cell r="AN132">
            <v>216</v>
          </cell>
          <cell r="AO132">
            <v>216</v>
          </cell>
          <cell r="AP132">
            <v>224</v>
          </cell>
          <cell r="AQ132">
            <v>232</v>
          </cell>
          <cell r="AR132">
            <v>0</v>
          </cell>
          <cell r="AS132">
            <v>0</v>
          </cell>
          <cell r="AT132">
            <v>216</v>
          </cell>
          <cell r="AU132">
            <v>216</v>
          </cell>
          <cell r="AV132">
            <v>216</v>
          </cell>
          <cell r="AW132">
            <v>232</v>
          </cell>
          <cell r="AX132">
            <v>224</v>
          </cell>
          <cell r="AY132">
            <v>0</v>
          </cell>
          <cell r="AZ132">
            <v>0</v>
          </cell>
          <cell r="BA132">
            <v>0</v>
          </cell>
        </row>
        <row r="133">
          <cell r="C133">
            <v>9838184280</v>
          </cell>
          <cell r="E133">
            <v>0</v>
          </cell>
          <cell r="F133">
            <v>0</v>
          </cell>
          <cell r="G133">
            <v>174</v>
          </cell>
          <cell r="H133">
            <v>174</v>
          </cell>
          <cell r="U133">
            <v>160</v>
          </cell>
          <cell r="V133">
            <v>160</v>
          </cell>
          <cell r="W133">
            <v>0</v>
          </cell>
          <cell r="X133">
            <v>0</v>
          </cell>
          <cell r="Y133">
            <v>8</v>
          </cell>
          <cell r="Z133">
            <v>8</v>
          </cell>
          <cell r="AA133">
            <v>8</v>
          </cell>
          <cell r="AB133">
            <v>8</v>
          </cell>
          <cell r="AC133">
            <v>8</v>
          </cell>
          <cell r="AD133">
            <v>0</v>
          </cell>
          <cell r="AE133">
            <v>0</v>
          </cell>
          <cell r="AF133">
            <v>8</v>
          </cell>
          <cell r="AG133">
            <v>8</v>
          </cell>
          <cell r="AH133">
            <v>8</v>
          </cell>
          <cell r="AI133">
            <v>8</v>
          </cell>
          <cell r="AJ133">
            <v>8</v>
          </cell>
          <cell r="AK133">
            <v>0</v>
          </cell>
          <cell r="AL133">
            <v>0</v>
          </cell>
          <cell r="AM133">
            <v>8</v>
          </cell>
          <cell r="AN133">
            <v>8</v>
          </cell>
          <cell r="AO133">
            <v>8</v>
          </cell>
          <cell r="AP133">
            <v>8</v>
          </cell>
          <cell r="AQ133">
            <v>8</v>
          </cell>
          <cell r="AR133">
            <v>0</v>
          </cell>
          <cell r="AS133">
            <v>0</v>
          </cell>
          <cell r="AT133">
            <v>8</v>
          </cell>
          <cell r="AU133">
            <v>8</v>
          </cell>
          <cell r="AV133">
            <v>8</v>
          </cell>
          <cell r="AW133">
            <v>8</v>
          </cell>
          <cell r="AX133">
            <v>8</v>
          </cell>
          <cell r="AY133">
            <v>0</v>
          </cell>
          <cell r="AZ133">
            <v>0</v>
          </cell>
          <cell r="BA133">
            <v>0</v>
          </cell>
        </row>
        <row r="134">
          <cell r="C134">
            <v>9822373280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</row>
        <row r="135">
          <cell r="C135">
            <v>9823840780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</row>
        <row r="136">
          <cell r="C136">
            <v>9824806380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</row>
        <row r="137">
          <cell r="C137">
            <v>9825292580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</row>
        <row r="138">
          <cell r="C138">
            <v>9825292780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</row>
        <row r="139">
          <cell r="C139">
            <v>9825697280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</row>
        <row r="140">
          <cell r="C140">
            <v>9826627180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</row>
        <row r="141">
          <cell r="C141">
            <v>9827962180</v>
          </cell>
          <cell r="E141">
            <v>27</v>
          </cell>
          <cell r="F141">
            <v>0</v>
          </cell>
          <cell r="G141">
            <v>27</v>
          </cell>
          <cell r="H141">
            <v>0</v>
          </cell>
          <cell r="U141">
            <v>27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</row>
        <row r="142">
          <cell r="C142">
            <v>9827962280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</row>
        <row r="143">
          <cell r="C143">
            <v>9827962380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</row>
        <row r="144">
          <cell r="C144">
            <v>9828300080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</row>
        <row r="145">
          <cell r="C145">
            <v>9828330680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</row>
        <row r="146">
          <cell r="C146">
            <v>9828330780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</row>
        <row r="147">
          <cell r="C147">
            <v>9828330880</v>
          </cell>
          <cell r="E147">
            <v>261</v>
          </cell>
          <cell r="F147">
            <v>702</v>
          </cell>
          <cell r="G147">
            <v>315</v>
          </cell>
          <cell r="H147">
            <v>756</v>
          </cell>
          <cell r="U147">
            <v>279</v>
          </cell>
          <cell r="V147">
            <v>720</v>
          </cell>
          <cell r="W147">
            <v>0</v>
          </cell>
          <cell r="X147">
            <v>0</v>
          </cell>
          <cell r="Y147">
            <v>36</v>
          </cell>
          <cell r="Z147">
            <v>36</v>
          </cell>
          <cell r="AA147">
            <v>36</v>
          </cell>
          <cell r="AB147">
            <v>36</v>
          </cell>
          <cell r="AC147">
            <v>36</v>
          </cell>
          <cell r="AD147">
            <v>0</v>
          </cell>
          <cell r="AE147">
            <v>0</v>
          </cell>
          <cell r="AF147">
            <v>36</v>
          </cell>
          <cell r="AG147">
            <v>36</v>
          </cell>
          <cell r="AH147">
            <v>36</v>
          </cell>
          <cell r="AI147">
            <v>36</v>
          </cell>
          <cell r="AJ147">
            <v>36</v>
          </cell>
          <cell r="AK147">
            <v>0</v>
          </cell>
          <cell r="AL147">
            <v>0</v>
          </cell>
          <cell r="AM147">
            <v>36</v>
          </cell>
          <cell r="AN147">
            <v>36</v>
          </cell>
          <cell r="AO147">
            <v>36</v>
          </cell>
          <cell r="AP147">
            <v>36</v>
          </cell>
          <cell r="AQ147">
            <v>36</v>
          </cell>
          <cell r="AR147">
            <v>0</v>
          </cell>
          <cell r="AS147">
            <v>0</v>
          </cell>
          <cell r="AT147">
            <v>36</v>
          </cell>
          <cell r="AU147">
            <v>36</v>
          </cell>
          <cell r="AV147">
            <v>36</v>
          </cell>
          <cell r="AW147">
            <v>36</v>
          </cell>
          <cell r="AX147">
            <v>36</v>
          </cell>
          <cell r="AY147">
            <v>0</v>
          </cell>
          <cell r="AZ147">
            <v>0</v>
          </cell>
          <cell r="BA147">
            <v>0</v>
          </cell>
        </row>
        <row r="148">
          <cell r="C148">
            <v>9829178180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</row>
        <row r="149">
          <cell r="C149">
            <v>9828330980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</row>
        <row r="150">
          <cell r="C150">
            <v>9830300280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</row>
        <row r="151">
          <cell r="C151">
            <v>9830759180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</row>
        <row r="152">
          <cell r="C152">
            <v>9830759280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</row>
        <row r="153">
          <cell r="C153">
            <v>9830759380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</row>
        <row r="154">
          <cell r="C154">
            <v>9830759480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</row>
        <row r="155">
          <cell r="C155">
            <v>9830759680</v>
          </cell>
          <cell r="E155">
            <v>607</v>
          </cell>
          <cell r="F155">
            <v>1368</v>
          </cell>
          <cell r="G155">
            <v>313</v>
          </cell>
          <cell r="H155">
            <v>1074</v>
          </cell>
          <cell r="U155">
            <v>319</v>
          </cell>
          <cell r="V155">
            <v>1080</v>
          </cell>
          <cell r="W155">
            <v>0</v>
          </cell>
          <cell r="X155">
            <v>0</v>
          </cell>
          <cell r="Y155">
            <v>54</v>
          </cell>
          <cell r="Z155">
            <v>54</v>
          </cell>
          <cell r="AA155">
            <v>54</v>
          </cell>
          <cell r="AB155">
            <v>54</v>
          </cell>
          <cell r="AC155">
            <v>54</v>
          </cell>
          <cell r="AD155">
            <v>0</v>
          </cell>
          <cell r="AE155">
            <v>0</v>
          </cell>
          <cell r="AF155">
            <v>54</v>
          </cell>
          <cell r="AG155">
            <v>54</v>
          </cell>
          <cell r="AH155">
            <v>54</v>
          </cell>
          <cell r="AI155">
            <v>54</v>
          </cell>
          <cell r="AJ155">
            <v>54</v>
          </cell>
          <cell r="AK155">
            <v>0</v>
          </cell>
          <cell r="AL155">
            <v>0</v>
          </cell>
          <cell r="AM155">
            <v>54</v>
          </cell>
          <cell r="AN155">
            <v>54</v>
          </cell>
          <cell r="AO155">
            <v>54</v>
          </cell>
          <cell r="AP155">
            <v>54</v>
          </cell>
          <cell r="AQ155">
            <v>54</v>
          </cell>
          <cell r="AR155">
            <v>0</v>
          </cell>
          <cell r="AS155">
            <v>0</v>
          </cell>
          <cell r="AT155">
            <v>54</v>
          </cell>
          <cell r="AU155">
            <v>54</v>
          </cell>
          <cell r="AV155">
            <v>54</v>
          </cell>
          <cell r="AW155">
            <v>54</v>
          </cell>
          <cell r="AX155">
            <v>54</v>
          </cell>
          <cell r="AY155">
            <v>0</v>
          </cell>
          <cell r="AZ155">
            <v>0</v>
          </cell>
          <cell r="BA155">
            <v>0</v>
          </cell>
        </row>
        <row r="156">
          <cell r="C156">
            <v>9830759780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</row>
        <row r="157">
          <cell r="C157">
            <v>9830759880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</row>
        <row r="158">
          <cell r="C158">
            <v>9831759880</v>
          </cell>
          <cell r="E158">
            <v>36</v>
          </cell>
          <cell r="F158">
            <v>0</v>
          </cell>
          <cell r="G158">
            <v>36</v>
          </cell>
          <cell r="H158">
            <v>0</v>
          </cell>
          <cell r="U158">
            <v>36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</row>
        <row r="159">
          <cell r="C159">
            <v>9831759980</v>
          </cell>
          <cell r="E159">
            <v>9</v>
          </cell>
          <cell r="F159">
            <v>0</v>
          </cell>
          <cell r="G159">
            <v>9</v>
          </cell>
          <cell r="H159">
            <v>0</v>
          </cell>
          <cell r="U159">
            <v>9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</row>
        <row r="160">
          <cell r="C160">
            <v>9831760080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</row>
        <row r="161">
          <cell r="C161">
            <v>9832770180</v>
          </cell>
          <cell r="E161">
            <v>205</v>
          </cell>
          <cell r="F161">
            <v>270</v>
          </cell>
          <cell r="G161">
            <v>0</v>
          </cell>
          <cell r="H161">
            <v>65</v>
          </cell>
          <cell r="U161">
            <v>-65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</row>
        <row r="162">
          <cell r="C162">
            <v>9838183280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</row>
        <row r="163">
          <cell r="C163">
            <v>9837259680</v>
          </cell>
          <cell r="E163">
            <v>31</v>
          </cell>
          <cell r="F163">
            <v>54</v>
          </cell>
          <cell r="G163">
            <v>0</v>
          </cell>
          <cell r="H163">
            <v>23</v>
          </cell>
          <cell r="U163">
            <v>-23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</row>
        <row r="164">
          <cell r="C164">
            <v>9837259780</v>
          </cell>
          <cell r="E164">
            <v>27</v>
          </cell>
          <cell r="F164">
            <v>54</v>
          </cell>
          <cell r="G164">
            <v>15</v>
          </cell>
          <cell r="H164">
            <v>42</v>
          </cell>
          <cell r="U164">
            <v>-27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</row>
        <row r="165">
          <cell r="C165">
            <v>9837691780</v>
          </cell>
          <cell r="E165">
            <v>37</v>
          </cell>
          <cell r="F165">
            <v>54</v>
          </cell>
          <cell r="G165">
            <v>15</v>
          </cell>
          <cell r="H165">
            <v>32</v>
          </cell>
          <cell r="U165">
            <v>-17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</row>
        <row r="166">
          <cell r="C166">
            <v>9829177980</v>
          </cell>
          <cell r="E166">
            <v>202</v>
          </cell>
          <cell r="F166">
            <v>1864</v>
          </cell>
          <cell r="G166">
            <v>223</v>
          </cell>
          <cell r="H166">
            <v>1885</v>
          </cell>
          <cell r="U166">
            <v>162</v>
          </cell>
          <cell r="V166">
            <v>1824</v>
          </cell>
          <cell r="W166">
            <v>0</v>
          </cell>
          <cell r="X166">
            <v>0</v>
          </cell>
          <cell r="Y166">
            <v>88</v>
          </cell>
          <cell r="Z166">
            <v>88</v>
          </cell>
          <cell r="AA166">
            <v>88</v>
          </cell>
          <cell r="AB166">
            <v>96</v>
          </cell>
          <cell r="AC166">
            <v>96</v>
          </cell>
          <cell r="AD166">
            <v>0</v>
          </cell>
          <cell r="AE166">
            <v>0</v>
          </cell>
          <cell r="AF166">
            <v>88</v>
          </cell>
          <cell r="AG166">
            <v>88</v>
          </cell>
          <cell r="AH166">
            <v>88</v>
          </cell>
          <cell r="AI166">
            <v>96</v>
          </cell>
          <cell r="AJ166">
            <v>96</v>
          </cell>
          <cell r="AK166">
            <v>0</v>
          </cell>
          <cell r="AL166">
            <v>0</v>
          </cell>
          <cell r="AM166">
            <v>88</v>
          </cell>
          <cell r="AN166">
            <v>88</v>
          </cell>
          <cell r="AO166">
            <v>88</v>
          </cell>
          <cell r="AP166">
            <v>96</v>
          </cell>
          <cell r="AQ166">
            <v>96</v>
          </cell>
          <cell r="AR166">
            <v>0</v>
          </cell>
          <cell r="AS166">
            <v>0</v>
          </cell>
          <cell r="AT166">
            <v>88</v>
          </cell>
          <cell r="AU166">
            <v>88</v>
          </cell>
          <cell r="AV166">
            <v>88</v>
          </cell>
          <cell r="AW166">
            <v>96</v>
          </cell>
          <cell r="AX166">
            <v>96</v>
          </cell>
          <cell r="AY166">
            <v>0</v>
          </cell>
          <cell r="AZ166">
            <v>0</v>
          </cell>
          <cell r="BA166">
            <v>0</v>
          </cell>
        </row>
        <row r="167">
          <cell r="C167">
            <v>9830761080</v>
          </cell>
          <cell r="E167">
            <v>912</v>
          </cell>
          <cell r="F167">
            <v>3280</v>
          </cell>
          <cell r="G167">
            <v>853</v>
          </cell>
          <cell r="H167">
            <v>3221</v>
          </cell>
          <cell r="U167">
            <v>888</v>
          </cell>
          <cell r="V167">
            <v>3256</v>
          </cell>
          <cell r="W167">
            <v>0</v>
          </cell>
          <cell r="X167">
            <v>0</v>
          </cell>
          <cell r="Y167">
            <v>160</v>
          </cell>
          <cell r="Z167">
            <v>160</v>
          </cell>
          <cell r="AA167">
            <v>160</v>
          </cell>
          <cell r="AB167">
            <v>168</v>
          </cell>
          <cell r="AC167">
            <v>168</v>
          </cell>
          <cell r="AD167">
            <v>0</v>
          </cell>
          <cell r="AE167">
            <v>0</v>
          </cell>
          <cell r="AF167">
            <v>152</v>
          </cell>
          <cell r="AG167">
            <v>160</v>
          </cell>
          <cell r="AH167">
            <v>160</v>
          </cell>
          <cell r="AI167">
            <v>168</v>
          </cell>
          <cell r="AJ167">
            <v>168</v>
          </cell>
          <cell r="AK167">
            <v>0</v>
          </cell>
          <cell r="AL167">
            <v>0</v>
          </cell>
          <cell r="AM167">
            <v>160</v>
          </cell>
          <cell r="AN167">
            <v>160</v>
          </cell>
          <cell r="AO167">
            <v>160</v>
          </cell>
          <cell r="AP167">
            <v>168</v>
          </cell>
          <cell r="AQ167">
            <v>168</v>
          </cell>
          <cell r="AR167">
            <v>0</v>
          </cell>
          <cell r="AS167">
            <v>0</v>
          </cell>
          <cell r="AT167">
            <v>160</v>
          </cell>
          <cell r="AU167">
            <v>160</v>
          </cell>
          <cell r="AV167">
            <v>160</v>
          </cell>
          <cell r="AW167">
            <v>168</v>
          </cell>
          <cell r="AX167">
            <v>168</v>
          </cell>
          <cell r="AY167">
            <v>0</v>
          </cell>
          <cell r="AZ167">
            <v>0</v>
          </cell>
          <cell r="BA167">
            <v>0</v>
          </cell>
        </row>
        <row r="168">
          <cell r="C168">
            <v>9828185180</v>
          </cell>
          <cell r="E168">
            <v>133</v>
          </cell>
          <cell r="F168">
            <v>480</v>
          </cell>
          <cell r="G168">
            <v>88</v>
          </cell>
          <cell r="H168">
            <v>435</v>
          </cell>
          <cell r="U168">
            <v>133</v>
          </cell>
          <cell r="V168">
            <v>480</v>
          </cell>
          <cell r="W168">
            <v>0</v>
          </cell>
          <cell r="X168">
            <v>0</v>
          </cell>
          <cell r="Y168">
            <v>24</v>
          </cell>
          <cell r="Z168">
            <v>24</v>
          </cell>
          <cell r="AA168">
            <v>24</v>
          </cell>
          <cell r="AB168">
            <v>24</v>
          </cell>
          <cell r="AC168">
            <v>24</v>
          </cell>
          <cell r="AD168">
            <v>0</v>
          </cell>
          <cell r="AE168">
            <v>0</v>
          </cell>
          <cell r="AF168">
            <v>24</v>
          </cell>
          <cell r="AG168">
            <v>24</v>
          </cell>
          <cell r="AH168">
            <v>24</v>
          </cell>
          <cell r="AI168">
            <v>24</v>
          </cell>
          <cell r="AJ168">
            <v>24</v>
          </cell>
          <cell r="AK168">
            <v>0</v>
          </cell>
          <cell r="AL168">
            <v>0</v>
          </cell>
          <cell r="AM168">
            <v>24</v>
          </cell>
          <cell r="AN168">
            <v>24</v>
          </cell>
          <cell r="AO168">
            <v>24</v>
          </cell>
          <cell r="AP168">
            <v>24</v>
          </cell>
          <cell r="AQ168">
            <v>24</v>
          </cell>
          <cell r="AR168">
            <v>0</v>
          </cell>
          <cell r="AS168">
            <v>0</v>
          </cell>
          <cell r="AT168">
            <v>24</v>
          </cell>
          <cell r="AU168">
            <v>24</v>
          </cell>
          <cell r="AV168">
            <v>24</v>
          </cell>
          <cell r="AW168">
            <v>24</v>
          </cell>
          <cell r="AX168">
            <v>24</v>
          </cell>
          <cell r="AY168">
            <v>0</v>
          </cell>
          <cell r="AZ168">
            <v>0</v>
          </cell>
          <cell r="BA168">
            <v>0</v>
          </cell>
        </row>
        <row r="169">
          <cell r="C169">
            <v>9834577580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</row>
        <row r="170">
          <cell r="C170">
            <v>9838184080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</row>
        <row r="171">
          <cell r="C171">
            <v>9824806280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</row>
        <row r="172">
          <cell r="C172">
            <v>9827278780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</row>
        <row r="173">
          <cell r="C173">
            <v>9828300080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</row>
        <row r="174">
          <cell r="C174">
            <v>9831760080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</row>
        <row r="175">
          <cell r="C175">
            <v>9825603180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</row>
        <row r="176">
          <cell r="C176">
            <v>9830759780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</row>
        <row r="177">
          <cell r="C177">
            <v>9830759880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</row>
        <row r="178">
          <cell r="C178">
            <v>9823808980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</row>
        <row r="179">
          <cell r="C179">
            <v>9826627180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</row>
        <row r="180">
          <cell r="C180">
            <v>9830759780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</row>
        <row r="181">
          <cell r="C181">
            <v>9830759880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</row>
        <row r="190">
          <cell r="C190" t="str">
            <v>号試</v>
          </cell>
          <cell r="D190" t="str">
            <v>J8</v>
          </cell>
          <cell r="U190" t="str">
            <v>号試（J8）</v>
          </cell>
          <cell r="V190">
            <v>0</v>
          </cell>
        </row>
        <row r="191">
          <cell r="C191" t="str">
            <v>号試</v>
          </cell>
          <cell r="D191" t="str">
            <v>J6</v>
          </cell>
          <cell r="U191" t="str">
            <v>号試（J6）</v>
          </cell>
          <cell r="V191">
            <v>0</v>
          </cell>
        </row>
        <row r="192">
          <cell r="C192" t="str">
            <v>補給</v>
          </cell>
          <cell r="D192" t="str">
            <v>J8</v>
          </cell>
          <cell r="U192" t="str">
            <v>補給（J8）</v>
          </cell>
          <cell r="V192">
            <v>0</v>
          </cell>
        </row>
        <row r="193">
          <cell r="C193" t="str">
            <v>補給</v>
          </cell>
          <cell r="D193" t="str">
            <v>J6</v>
          </cell>
          <cell r="U193" t="str">
            <v>補給（J6）</v>
          </cell>
          <cell r="V193">
            <v>0</v>
          </cell>
        </row>
      </sheetData>
      <sheetData sheetId="4">
        <row r="6">
          <cell r="B6" t="str">
            <v>顧客品番</v>
          </cell>
          <cell r="C6" t="str">
            <v>機種</v>
          </cell>
          <cell r="D6" t="str">
            <v>ライン</v>
          </cell>
          <cell r="E6" t="str">
            <v>AW品番</v>
          </cell>
          <cell r="H6" t="str">
            <v>土</v>
          </cell>
          <cell r="I6" t="str">
            <v>日</v>
          </cell>
          <cell r="J6" t="str">
            <v>月</v>
          </cell>
          <cell r="K6" t="str">
            <v>火</v>
          </cell>
          <cell r="L6" t="str">
            <v>水</v>
          </cell>
          <cell r="M6" t="str">
            <v>木</v>
          </cell>
          <cell r="N6" t="str">
            <v>金</v>
          </cell>
          <cell r="O6" t="str">
            <v>土</v>
          </cell>
          <cell r="P6" t="str">
            <v>日</v>
          </cell>
          <cell r="Q6" t="str">
            <v>月</v>
          </cell>
          <cell r="R6" t="str">
            <v>火</v>
          </cell>
          <cell r="S6" t="str">
            <v>水</v>
          </cell>
          <cell r="T6" t="str">
            <v>木</v>
          </cell>
          <cell r="U6" t="str">
            <v>金</v>
          </cell>
          <cell r="V6" t="str">
            <v>土</v>
          </cell>
          <cell r="W6" t="str">
            <v>日</v>
          </cell>
          <cell r="X6" t="str">
            <v>月</v>
          </cell>
          <cell r="Y6" t="str">
            <v>火</v>
          </cell>
          <cell r="Z6" t="str">
            <v>水</v>
          </cell>
          <cell r="AA6" t="str">
            <v>木</v>
          </cell>
          <cell r="AB6" t="str">
            <v>金</v>
          </cell>
          <cell r="AC6" t="str">
            <v>土</v>
          </cell>
          <cell r="AD6" t="str">
            <v>日</v>
          </cell>
          <cell r="AE6" t="str">
            <v>月</v>
          </cell>
          <cell r="AF6" t="str">
            <v>火</v>
          </cell>
          <cell r="AG6" t="str">
            <v>水</v>
          </cell>
          <cell r="AH6" t="str">
            <v>木</v>
          </cell>
          <cell r="AI6" t="str">
            <v>金</v>
          </cell>
          <cell r="AJ6" t="str">
            <v>土</v>
          </cell>
          <cell r="AK6" t="str">
            <v>日</v>
          </cell>
          <cell r="AL6" t="str">
            <v>月</v>
          </cell>
          <cell r="AM6" t="str">
            <v>合計</v>
          </cell>
        </row>
        <row r="7">
          <cell r="B7">
            <v>1285389</v>
          </cell>
          <cell r="C7">
            <v>1285389</v>
          </cell>
          <cell r="E7" t="str">
            <v>305708GC001</v>
          </cell>
          <cell r="H7">
            <v>0</v>
          </cell>
          <cell r="I7">
            <v>0</v>
          </cell>
          <cell r="J7">
            <v>170</v>
          </cell>
          <cell r="K7">
            <v>170</v>
          </cell>
          <cell r="L7">
            <v>170</v>
          </cell>
          <cell r="M7">
            <v>185</v>
          </cell>
          <cell r="N7">
            <v>185</v>
          </cell>
          <cell r="O7">
            <v>0</v>
          </cell>
          <cell r="P7">
            <v>0</v>
          </cell>
          <cell r="Q7">
            <v>165</v>
          </cell>
          <cell r="R7">
            <v>170</v>
          </cell>
          <cell r="S7">
            <v>170</v>
          </cell>
          <cell r="T7">
            <v>185</v>
          </cell>
          <cell r="U7">
            <v>185</v>
          </cell>
          <cell r="V7">
            <v>0</v>
          </cell>
          <cell r="W7">
            <v>0</v>
          </cell>
          <cell r="X7">
            <v>170</v>
          </cell>
          <cell r="Y7">
            <v>170</v>
          </cell>
          <cell r="Z7">
            <v>170</v>
          </cell>
          <cell r="AA7">
            <v>180</v>
          </cell>
          <cell r="AB7">
            <v>185</v>
          </cell>
          <cell r="AC7">
            <v>0</v>
          </cell>
          <cell r="AD7">
            <v>0</v>
          </cell>
          <cell r="AE7">
            <v>170</v>
          </cell>
          <cell r="AF7">
            <v>170</v>
          </cell>
          <cell r="AG7">
            <v>170</v>
          </cell>
          <cell r="AH7">
            <v>185</v>
          </cell>
          <cell r="AI7">
            <v>180</v>
          </cell>
          <cell r="AJ7">
            <v>0</v>
          </cell>
          <cell r="AK7">
            <v>0</v>
          </cell>
          <cell r="AL7">
            <v>0</v>
          </cell>
          <cell r="AM7">
            <v>3505</v>
          </cell>
        </row>
        <row r="8">
          <cell r="B8">
            <v>1285399</v>
          </cell>
          <cell r="C8">
            <v>1285389</v>
          </cell>
          <cell r="E8" t="str">
            <v>305708GC002</v>
          </cell>
          <cell r="H8">
            <v>0</v>
          </cell>
          <cell r="I8">
            <v>0</v>
          </cell>
          <cell r="J8">
            <v>15</v>
          </cell>
          <cell r="K8">
            <v>15</v>
          </cell>
          <cell r="L8">
            <v>15</v>
          </cell>
          <cell r="M8">
            <v>15</v>
          </cell>
          <cell r="N8">
            <v>15</v>
          </cell>
          <cell r="O8">
            <v>0</v>
          </cell>
          <cell r="P8">
            <v>0</v>
          </cell>
          <cell r="Q8">
            <v>10</v>
          </cell>
          <cell r="R8">
            <v>10</v>
          </cell>
          <cell r="S8">
            <v>10</v>
          </cell>
          <cell r="T8">
            <v>10</v>
          </cell>
          <cell r="U8">
            <v>10</v>
          </cell>
          <cell r="V8">
            <v>0</v>
          </cell>
          <cell r="W8">
            <v>0</v>
          </cell>
          <cell r="X8">
            <v>10</v>
          </cell>
          <cell r="Y8">
            <v>10</v>
          </cell>
          <cell r="Z8">
            <v>10</v>
          </cell>
          <cell r="AA8">
            <v>10</v>
          </cell>
          <cell r="AB8">
            <v>10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175</v>
          </cell>
        </row>
        <row r="9">
          <cell r="B9">
            <v>1285434</v>
          </cell>
          <cell r="C9">
            <v>1285389</v>
          </cell>
          <cell r="E9" t="str">
            <v>305708GC005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5</v>
          </cell>
          <cell r="AF9">
            <v>5</v>
          </cell>
          <cell r="AG9">
            <v>5</v>
          </cell>
          <cell r="AH9">
            <v>5</v>
          </cell>
          <cell r="AI9">
            <v>5</v>
          </cell>
          <cell r="AJ9">
            <v>0</v>
          </cell>
          <cell r="AK9">
            <v>0</v>
          </cell>
          <cell r="AL9">
            <v>0</v>
          </cell>
          <cell r="AM9">
            <v>25</v>
          </cell>
        </row>
        <row r="10">
          <cell r="B10">
            <v>1285435</v>
          </cell>
          <cell r="C10">
            <v>1285389</v>
          </cell>
          <cell r="E10" t="str">
            <v>305708GC006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5</v>
          </cell>
          <cell r="AF10">
            <v>5</v>
          </cell>
          <cell r="AG10">
            <v>5</v>
          </cell>
          <cell r="AH10">
            <v>5</v>
          </cell>
          <cell r="AI10">
            <v>5</v>
          </cell>
          <cell r="AJ10">
            <v>0</v>
          </cell>
          <cell r="AK10">
            <v>0</v>
          </cell>
          <cell r="AL10">
            <v>0</v>
          </cell>
          <cell r="AM10">
            <v>25</v>
          </cell>
        </row>
        <row r="11">
          <cell r="B11">
            <v>1285468</v>
          </cell>
          <cell r="C11">
            <v>1285389</v>
          </cell>
          <cell r="E11" t="str">
            <v>305708GC007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15</v>
          </cell>
          <cell r="R11">
            <v>15</v>
          </cell>
          <cell r="S11">
            <v>15</v>
          </cell>
          <cell r="T11">
            <v>15</v>
          </cell>
          <cell r="U11">
            <v>15</v>
          </cell>
          <cell r="V11">
            <v>0</v>
          </cell>
          <cell r="W11">
            <v>0</v>
          </cell>
          <cell r="X11">
            <v>25</v>
          </cell>
          <cell r="Y11">
            <v>25</v>
          </cell>
          <cell r="Z11">
            <v>25</v>
          </cell>
          <cell r="AA11">
            <v>25</v>
          </cell>
          <cell r="AB11">
            <v>25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200</v>
          </cell>
        </row>
        <row r="12">
          <cell r="B12">
            <v>1285470</v>
          </cell>
          <cell r="C12">
            <v>1285389</v>
          </cell>
          <cell r="E12" t="str">
            <v>305708GC008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5</v>
          </cell>
          <cell r="R12">
            <v>10</v>
          </cell>
          <cell r="S12">
            <v>10</v>
          </cell>
          <cell r="T12">
            <v>10</v>
          </cell>
          <cell r="U12">
            <v>10</v>
          </cell>
          <cell r="V12">
            <v>0</v>
          </cell>
          <cell r="W12">
            <v>0</v>
          </cell>
          <cell r="X12">
            <v>10</v>
          </cell>
          <cell r="Y12">
            <v>10</v>
          </cell>
          <cell r="Z12">
            <v>10</v>
          </cell>
          <cell r="AA12">
            <v>10</v>
          </cell>
          <cell r="AB12">
            <v>10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95</v>
          </cell>
        </row>
        <row r="13">
          <cell r="B13">
            <v>1285400</v>
          </cell>
          <cell r="C13">
            <v>1285389</v>
          </cell>
          <cell r="E13" t="str">
            <v>305708GA325</v>
          </cell>
          <cell r="H13">
            <v>0</v>
          </cell>
          <cell r="I13">
            <v>0</v>
          </cell>
          <cell r="J13">
            <v>65</v>
          </cell>
          <cell r="K13">
            <v>65</v>
          </cell>
          <cell r="L13">
            <v>65</v>
          </cell>
          <cell r="M13">
            <v>70</v>
          </cell>
          <cell r="N13">
            <v>70</v>
          </cell>
          <cell r="O13">
            <v>0</v>
          </cell>
          <cell r="P13">
            <v>0</v>
          </cell>
          <cell r="Q13">
            <v>55</v>
          </cell>
          <cell r="R13">
            <v>55</v>
          </cell>
          <cell r="S13">
            <v>55</v>
          </cell>
          <cell r="T13">
            <v>60</v>
          </cell>
          <cell r="U13">
            <v>60</v>
          </cell>
          <cell r="V13">
            <v>0</v>
          </cell>
          <cell r="W13">
            <v>0</v>
          </cell>
          <cell r="X13">
            <v>35</v>
          </cell>
          <cell r="Y13">
            <v>35</v>
          </cell>
          <cell r="Z13">
            <v>35</v>
          </cell>
          <cell r="AA13">
            <v>40</v>
          </cell>
          <cell r="AB13">
            <v>40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805</v>
          </cell>
        </row>
        <row r="14">
          <cell r="B14">
            <v>1285401</v>
          </cell>
          <cell r="C14">
            <v>1285389</v>
          </cell>
          <cell r="E14" t="str">
            <v>305708GA324</v>
          </cell>
          <cell r="H14">
            <v>0</v>
          </cell>
          <cell r="I14">
            <v>0</v>
          </cell>
          <cell r="J14">
            <v>5</v>
          </cell>
          <cell r="K14">
            <v>5</v>
          </cell>
          <cell r="L14">
            <v>5</v>
          </cell>
          <cell r="M14">
            <v>5</v>
          </cell>
          <cell r="N14">
            <v>5</v>
          </cell>
          <cell r="O14">
            <v>0</v>
          </cell>
          <cell r="P14">
            <v>0</v>
          </cell>
          <cell r="Q14">
            <v>5</v>
          </cell>
          <cell r="R14">
            <v>5</v>
          </cell>
          <cell r="S14">
            <v>5</v>
          </cell>
          <cell r="T14">
            <v>5</v>
          </cell>
          <cell r="U14">
            <v>5</v>
          </cell>
          <cell r="V14">
            <v>0</v>
          </cell>
          <cell r="W14">
            <v>0</v>
          </cell>
          <cell r="X14">
            <v>10</v>
          </cell>
          <cell r="Y14">
            <v>10</v>
          </cell>
          <cell r="Z14">
            <v>10</v>
          </cell>
          <cell r="AA14">
            <v>10</v>
          </cell>
          <cell r="AB14">
            <v>10</v>
          </cell>
          <cell r="AC14">
            <v>0</v>
          </cell>
          <cell r="AD14">
            <v>0</v>
          </cell>
          <cell r="AE14">
            <v>35</v>
          </cell>
          <cell r="AF14">
            <v>35</v>
          </cell>
          <cell r="AG14">
            <v>35</v>
          </cell>
          <cell r="AH14">
            <v>40</v>
          </cell>
          <cell r="AI14">
            <v>40</v>
          </cell>
          <cell r="AJ14">
            <v>0</v>
          </cell>
          <cell r="AK14">
            <v>0</v>
          </cell>
          <cell r="AL14">
            <v>0</v>
          </cell>
          <cell r="AM14">
            <v>285</v>
          </cell>
        </row>
        <row r="15">
          <cell r="B15">
            <v>1285436</v>
          </cell>
          <cell r="C15">
            <v>1285389</v>
          </cell>
          <cell r="E15" t="str">
            <v>305708GA125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</row>
        <row r="16">
          <cell r="B16">
            <v>1285437</v>
          </cell>
          <cell r="C16">
            <v>1285389</v>
          </cell>
          <cell r="E16" t="str">
            <v>305708GA123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</row>
        <row r="17">
          <cell r="B17">
            <v>1285438</v>
          </cell>
          <cell r="C17">
            <v>1285389</v>
          </cell>
          <cell r="E17" t="str">
            <v>305708GA341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5</v>
          </cell>
          <cell r="AF17">
            <v>5</v>
          </cell>
          <cell r="AG17">
            <v>5</v>
          </cell>
          <cell r="AH17">
            <v>5</v>
          </cell>
          <cell r="AI17">
            <v>5</v>
          </cell>
          <cell r="AJ17">
            <v>0</v>
          </cell>
          <cell r="AK17">
            <v>0</v>
          </cell>
          <cell r="AL17">
            <v>0</v>
          </cell>
          <cell r="AM17">
            <v>25</v>
          </cell>
        </row>
        <row r="18">
          <cell r="B18">
            <v>1285439</v>
          </cell>
          <cell r="C18">
            <v>1285389</v>
          </cell>
          <cell r="E18" t="str">
            <v>305708GA124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</row>
        <row r="19">
          <cell r="B19">
            <v>1285465</v>
          </cell>
          <cell r="C19">
            <v>1285389</v>
          </cell>
          <cell r="E19" t="str">
            <v>305708GA356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30</v>
          </cell>
          <cell r="AF19">
            <v>30</v>
          </cell>
          <cell r="AG19">
            <v>30</v>
          </cell>
          <cell r="AH19">
            <v>30</v>
          </cell>
          <cell r="AI19">
            <v>30</v>
          </cell>
          <cell r="AJ19">
            <v>0</v>
          </cell>
          <cell r="AK19">
            <v>0</v>
          </cell>
          <cell r="AL19">
            <v>0</v>
          </cell>
          <cell r="AM19">
            <v>150</v>
          </cell>
        </row>
        <row r="20">
          <cell r="B20">
            <v>1285466</v>
          </cell>
          <cell r="C20">
            <v>1285389</v>
          </cell>
          <cell r="E20" t="str">
            <v>305708GA357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10</v>
          </cell>
          <cell r="AF20">
            <v>10</v>
          </cell>
          <cell r="AG20">
            <v>15</v>
          </cell>
          <cell r="AH20">
            <v>20</v>
          </cell>
          <cell r="AI20">
            <v>20</v>
          </cell>
          <cell r="AJ20">
            <v>0</v>
          </cell>
          <cell r="AK20">
            <v>0</v>
          </cell>
          <cell r="AL20">
            <v>0</v>
          </cell>
          <cell r="AM20">
            <v>75</v>
          </cell>
        </row>
        <row r="21">
          <cell r="B21">
            <v>1285472</v>
          </cell>
          <cell r="C21">
            <v>1285389</v>
          </cell>
          <cell r="E21" t="str">
            <v>305708GA400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5</v>
          </cell>
          <cell r="AF21">
            <v>5</v>
          </cell>
          <cell r="AG21">
            <v>5</v>
          </cell>
          <cell r="AH21">
            <v>5</v>
          </cell>
          <cell r="AI21">
            <v>5</v>
          </cell>
          <cell r="AJ21">
            <v>0</v>
          </cell>
          <cell r="AK21">
            <v>0</v>
          </cell>
          <cell r="AL21">
            <v>0</v>
          </cell>
          <cell r="AM21">
            <v>25</v>
          </cell>
        </row>
        <row r="22">
          <cell r="B22">
            <v>1285471</v>
          </cell>
          <cell r="C22">
            <v>1285389</v>
          </cell>
          <cell r="E22" t="str">
            <v>305708GA395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</row>
        <row r="23">
          <cell r="B23" t="str">
            <v>計</v>
          </cell>
          <cell r="H23">
            <v>0</v>
          </cell>
          <cell r="I23">
            <v>0</v>
          </cell>
          <cell r="J23">
            <v>255</v>
          </cell>
          <cell r="K23">
            <v>255</v>
          </cell>
          <cell r="L23">
            <v>255</v>
          </cell>
          <cell r="M23">
            <v>275</v>
          </cell>
          <cell r="N23">
            <v>275</v>
          </cell>
          <cell r="O23">
            <v>0</v>
          </cell>
          <cell r="P23">
            <v>0</v>
          </cell>
          <cell r="Q23">
            <v>255</v>
          </cell>
          <cell r="R23">
            <v>265</v>
          </cell>
          <cell r="S23">
            <v>265</v>
          </cell>
          <cell r="T23">
            <v>285</v>
          </cell>
          <cell r="U23">
            <v>285</v>
          </cell>
          <cell r="V23">
            <v>0</v>
          </cell>
          <cell r="W23">
            <v>0</v>
          </cell>
          <cell r="X23">
            <v>260</v>
          </cell>
          <cell r="Y23">
            <v>260</v>
          </cell>
          <cell r="Z23">
            <v>260</v>
          </cell>
          <cell r="AA23">
            <v>275</v>
          </cell>
          <cell r="AB23">
            <v>280</v>
          </cell>
          <cell r="AC23">
            <v>0</v>
          </cell>
          <cell r="AD23">
            <v>0</v>
          </cell>
          <cell r="AE23">
            <v>265</v>
          </cell>
          <cell r="AF23">
            <v>265</v>
          </cell>
          <cell r="AG23">
            <v>270</v>
          </cell>
          <cell r="AH23">
            <v>295</v>
          </cell>
          <cell r="AI23">
            <v>290</v>
          </cell>
          <cell r="AJ23">
            <v>0</v>
          </cell>
          <cell r="AK23">
            <v>0</v>
          </cell>
          <cell r="AL23">
            <v>0</v>
          </cell>
          <cell r="AM23">
            <v>5390</v>
          </cell>
        </row>
        <row r="24">
          <cell r="B24" t="str">
            <v>305108GA076</v>
          </cell>
          <cell r="E24" t="str">
            <v>305108GA076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</row>
        <row r="25">
          <cell r="B25" t="str">
            <v>305108GA079</v>
          </cell>
          <cell r="E25" t="str">
            <v>305108GA079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</row>
        <row r="26">
          <cell r="B26" t="str">
            <v>305108GA090</v>
          </cell>
          <cell r="C26" t="str">
            <v>305108GA093</v>
          </cell>
          <cell r="E26" t="str">
            <v>305108GA090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</row>
        <row r="27">
          <cell r="B27" t="str">
            <v>305108GA091</v>
          </cell>
          <cell r="C27" t="str">
            <v>305108GA093</v>
          </cell>
          <cell r="E27" t="str">
            <v>305108GA091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</row>
        <row r="28">
          <cell r="B28" t="str">
            <v>305108GA092</v>
          </cell>
          <cell r="C28" t="str">
            <v>305108GA093</v>
          </cell>
          <cell r="E28" t="str">
            <v>305108GA092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</row>
        <row r="29">
          <cell r="B29" t="str">
            <v>305108GA093</v>
          </cell>
          <cell r="C29" t="str">
            <v>305108GA093</v>
          </cell>
          <cell r="E29" t="str">
            <v>305108GA093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</row>
        <row r="30">
          <cell r="B30" t="str">
            <v>305108GA094</v>
          </cell>
          <cell r="C30" t="str">
            <v>305108GA093</v>
          </cell>
          <cell r="E30" t="str">
            <v>305108GA094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</row>
        <row r="31">
          <cell r="B31" t="str">
            <v>305108GA095</v>
          </cell>
          <cell r="C31" t="str">
            <v>305108GA095</v>
          </cell>
          <cell r="E31" t="str">
            <v>305108GA095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</row>
        <row r="32">
          <cell r="B32" t="str">
            <v>305108GA096</v>
          </cell>
          <cell r="C32" t="str">
            <v>305108GA095</v>
          </cell>
          <cell r="E32" t="str">
            <v>305108GA096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</row>
        <row r="33">
          <cell r="B33" t="str">
            <v>305108GA097</v>
          </cell>
          <cell r="C33" t="str">
            <v>305108GA097</v>
          </cell>
          <cell r="E33" t="str">
            <v>305108GA097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</row>
        <row r="34">
          <cell r="B34" t="str">
            <v>305108GA098</v>
          </cell>
          <cell r="C34" t="str">
            <v>305108GA098</v>
          </cell>
          <cell r="E34" t="str">
            <v>305108GA098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</row>
        <row r="35">
          <cell r="B35" t="str">
            <v>305108GA099</v>
          </cell>
          <cell r="C35" t="str">
            <v>305108GA098</v>
          </cell>
          <cell r="E35" t="str">
            <v>305108GA099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</row>
        <row r="36">
          <cell r="B36" t="str">
            <v>305108GA100</v>
          </cell>
          <cell r="C36" t="str">
            <v>305108GA101</v>
          </cell>
          <cell r="E36" t="str">
            <v>305108GA100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B37" t="str">
            <v>305108GA101</v>
          </cell>
          <cell r="C37" t="str">
            <v>305108GA101</v>
          </cell>
          <cell r="E37" t="str">
            <v>305108GA101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</row>
        <row r="38">
          <cell r="B38" t="str">
            <v>305108GA102</v>
          </cell>
          <cell r="C38" t="str">
            <v>305108GA101</v>
          </cell>
          <cell r="E38" t="str">
            <v>305108GA102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</row>
        <row r="39">
          <cell r="B39" t="str">
            <v>305108GA103</v>
          </cell>
          <cell r="C39" t="str">
            <v>305108GA103</v>
          </cell>
          <cell r="E39" t="str">
            <v>305108GA103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</row>
        <row r="40">
          <cell r="B40" t="str">
            <v>305108GA113</v>
          </cell>
          <cell r="C40" t="str">
            <v>305108GA101</v>
          </cell>
          <cell r="E40" t="str">
            <v>305108GA113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</row>
        <row r="41">
          <cell r="B41" t="str">
            <v>305108GA114</v>
          </cell>
          <cell r="C41" t="str">
            <v>305108GA101</v>
          </cell>
          <cell r="E41" t="str">
            <v>305108GA114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</row>
        <row r="42">
          <cell r="B42" t="str">
            <v>305108GA115</v>
          </cell>
          <cell r="C42" t="str">
            <v>305108GA103</v>
          </cell>
          <cell r="E42" t="str">
            <v>305108GA115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</row>
        <row r="43">
          <cell r="B43" t="str">
            <v>305108GA116</v>
          </cell>
          <cell r="E43" t="str">
            <v>305108GA116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</row>
        <row r="44">
          <cell r="B44" t="str">
            <v>305108GA117</v>
          </cell>
          <cell r="E44" t="str">
            <v>305108GA117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</row>
        <row r="45">
          <cell r="B45" t="str">
            <v>305108GA118</v>
          </cell>
          <cell r="E45" t="str">
            <v>305108GA118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</row>
        <row r="46">
          <cell r="B46" t="str">
            <v>305108GA119</v>
          </cell>
          <cell r="E46" t="str">
            <v>305108GA119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</row>
        <row r="47">
          <cell r="B47" t="str">
            <v>305108GA120</v>
          </cell>
          <cell r="E47" t="str">
            <v>305108GA120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</row>
        <row r="48">
          <cell r="B48" t="str">
            <v>305108GA121</v>
          </cell>
          <cell r="E48" t="str">
            <v>305108GA121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</row>
        <row r="49">
          <cell r="B49" t="str">
            <v>305108GA122</v>
          </cell>
          <cell r="E49" t="str">
            <v>305108GA122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</row>
        <row r="50">
          <cell r="B50" t="str">
            <v>5A0604801</v>
          </cell>
          <cell r="E50" t="str">
            <v>305708GA376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</row>
        <row r="51">
          <cell r="B51">
            <v>984420101</v>
          </cell>
          <cell r="E51" t="str">
            <v>305708GA405</v>
          </cell>
          <cell r="H51">
            <v>0</v>
          </cell>
          <cell r="I51">
            <v>0</v>
          </cell>
          <cell r="J51">
            <v>10</v>
          </cell>
          <cell r="K51">
            <v>10</v>
          </cell>
          <cell r="L51">
            <v>10</v>
          </cell>
          <cell r="M51">
            <v>10</v>
          </cell>
          <cell r="N51">
            <v>10</v>
          </cell>
          <cell r="O51">
            <v>0</v>
          </cell>
          <cell r="P51">
            <v>0</v>
          </cell>
          <cell r="Q51">
            <v>10</v>
          </cell>
          <cell r="R51">
            <v>10</v>
          </cell>
          <cell r="S51">
            <v>10</v>
          </cell>
          <cell r="T51">
            <v>10</v>
          </cell>
          <cell r="U51">
            <v>10</v>
          </cell>
          <cell r="V51">
            <v>0</v>
          </cell>
          <cell r="W51">
            <v>0</v>
          </cell>
          <cell r="X51">
            <v>10</v>
          </cell>
          <cell r="Y51">
            <v>10</v>
          </cell>
          <cell r="Z51">
            <v>10</v>
          </cell>
          <cell r="AA51">
            <v>10</v>
          </cell>
          <cell r="AB51">
            <v>10</v>
          </cell>
          <cell r="AC51">
            <v>0</v>
          </cell>
          <cell r="AD51">
            <v>0</v>
          </cell>
          <cell r="AE51">
            <v>10</v>
          </cell>
          <cell r="AF51">
            <v>10</v>
          </cell>
          <cell r="AG51">
            <v>10</v>
          </cell>
          <cell r="AH51">
            <v>10</v>
          </cell>
          <cell r="AI51">
            <v>10</v>
          </cell>
          <cell r="AJ51">
            <v>0</v>
          </cell>
          <cell r="AK51">
            <v>0</v>
          </cell>
          <cell r="AL51">
            <v>0</v>
          </cell>
          <cell r="AM51">
            <v>200</v>
          </cell>
        </row>
        <row r="52">
          <cell r="B52">
            <v>984420201</v>
          </cell>
          <cell r="E52" t="str">
            <v>305708GA406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</row>
        <row r="53">
          <cell r="B53">
            <v>984420901</v>
          </cell>
          <cell r="E53" t="str">
            <v>305708GA407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</row>
        <row r="54">
          <cell r="B54">
            <v>984421001</v>
          </cell>
          <cell r="E54" t="str">
            <v>305708GA408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</row>
        <row r="55">
          <cell r="B55">
            <v>984421101</v>
          </cell>
          <cell r="E55" t="str">
            <v>305708GA428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B56">
            <v>984421201</v>
          </cell>
          <cell r="E56" t="str">
            <v>305708GA409</v>
          </cell>
          <cell r="H56">
            <v>0</v>
          </cell>
          <cell r="I56">
            <v>0</v>
          </cell>
          <cell r="J56">
            <v>55</v>
          </cell>
          <cell r="K56">
            <v>55</v>
          </cell>
          <cell r="L56">
            <v>55</v>
          </cell>
          <cell r="M56">
            <v>60</v>
          </cell>
          <cell r="N56">
            <v>60</v>
          </cell>
          <cell r="O56">
            <v>0</v>
          </cell>
          <cell r="P56">
            <v>0</v>
          </cell>
          <cell r="Q56">
            <v>55</v>
          </cell>
          <cell r="R56">
            <v>55</v>
          </cell>
          <cell r="S56">
            <v>55</v>
          </cell>
          <cell r="T56">
            <v>60</v>
          </cell>
          <cell r="U56">
            <v>60</v>
          </cell>
          <cell r="V56">
            <v>0</v>
          </cell>
          <cell r="W56">
            <v>0</v>
          </cell>
          <cell r="X56">
            <v>55</v>
          </cell>
          <cell r="Y56">
            <v>55</v>
          </cell>
          <cell r="Z56">
            <v>55</v>
          </cell>
          <cell r="AA56">
            <v>60</v>
          </cell>
          <cell r="AB56">
            <v>60</v>
          </cell>
          <cell r="AC56">
            <v>0</v>
          </cell>
          <cell r="AD56">
            <v>0</v>
          </cell>
          <cell r="AE56">
            <v>55</v>
          </cell>
          <cell r="AF56">
            <v>55</v>
          </cell>
          <cell r="AG56">
            <v>55</v>
          </cell>
          <cell r="AH56">
            <v>60</v>
          </cell>
          <cell r="AI56">
            <v>60</v>
          </cell>
          <cell r="AJ56">
            <v>0</v>
          </cell>
          <cell r="AK56">
            <v>0</v>
          </cell>
          <cell r="AL56">
            <v>0</v>
          </cell>
          <cell r="AM56">
            <v>1140</v>
          </cell>
        </row>
        <row r="57">
          <cell r="B57">
            <v>984421301</v>
          </cell>
          <cell r="E57" t="str">
            <v>305708GA410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</row>
        <row r="58">
          <cell r="B58">
            <v>984421501</v>
          </cell>
          <cell r="E58" t="str">
            <v>305708GA411</v>
          </cell>
          <cell r="H58">
            <v>0</v>
          </cell>
          <cell r="I58">
            <v>0</v>
          </cell>
          <cell r="J58">
            <v>15</v>
          </cell>
          <cell r="K58">
            <v>15</v>
          </cell>
          <cell r="L58">
            <v>15</v>
          </cell>
          <cell r="M58">
            <v>15</v>
          </cell>
          <cell r="N58">
            <v>15</v>
          </cell>
          <cell r="O58">
            <v>0</v>
          </cell>
          <cell r="P58">
            <v>0</v>
          </cell>
          <cell r="Q58">
            <v>15</v>
          </cell>
          <cell r="R58">
            <v>15</v>
          </cell>
          <cell r="S58">
            <v>15</v>
          </cell>
          <cell r="T58">
            <v>15</v>
          </cell>
          <cell r="U58">
            <v>15</v>
          </cell>
          <cell r="V58">
            <v>0</v>
          </cell>
          <cell r="W58">
            <v>0</v>
          </cell>
          <cell r="X58">
            <v>15</v>
          </cell>
          <cell r="Y58">
            <v>15</v>
          </cell>
          <cell r="Z58">
            <v>15</v>
          </cell>
          <cell r="AA58">
            <v>15</v>
          </cell>
          <cell r="AB58">
            <v>15</v>
          </cell>
          <cell r="AC58">
            <v>0</v>
          </cell>
          <cell r="AD58">
            <v>0</v>
          </cell>
          <cell r="AE58">
            <v>15</v>
          </cell>
          <cell r="AF58">
            <v>15</v>
          </cell>
          <cell r="AG58">
            <v>15</v>
          </cell>
          <cell r="AH58">
            <v>15</v>
          </cell>
          <cell r="AI58">
            <v>15</v>
          </cell>
          <cell r="AJ58">
            <v>0</v>
          </cell>
          <cell r="AK58">
            <v>0</v>
          </cell>
          <cell r="AL58">
            <v>0</v>
          </cell>
          <cell r="AM58">
            <v>300</v>
          </cell>
        </row>
        <row r="59">
          <cell r="B59">
            <v>984421601</v>
          </cell>
          <cell r="E59" t="str">
            <v>305708GA412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</row>
        <row r="60">
          <cell r="B60">
            <v>984421701</v>
          </cell>
          <cell r="E60" t="str">
            <v>305708GA429</v>
          </cell>
          <cell r="H60">
            <v>0</v>
          </cell>
          <cell r="I60">
            <v>0</v>
          </cell>
          <cell r="J60">
            <v>10</v>
          </cell>
          <cell r="K60">
            <v>10</v>
          </cell>
          <cell r="L60">
            <v>10</v>
          </cell>
          <cell r="M60">
            <v>10</v>
          </cell>
          <cell r="N60">
            <v>10</v>
          </cell>
          <cell r="O60">
            <v>0</v>
          </cell>
          <cell r="P60">
            <v>0</v>
          </cell>
          <cell r="Q60">
            <v>10</v>
          </cell>
          <cell r="R60">
            <v>10</v>
          </cell>
          <cell r="S60">
            <v>10</v>
          </cell>
          <cell r="T60">
            <v>10</v>
          </cell>
          <cell r="U60">
            <v>10</v>
          </cell>
          <cell r="V60">
            <v>0</v>
          </cell>
          <cell r="W60">
            <v>0</v>
          </cell>
          <cell r="X60">
            <v>10</v>
          </cell>
          <cell r="Y60">
            <v>10</v>
          </cell>
          <cell r="Z60">
            <v>10</v>
          </cell>
          <cell r="AA60">
            <v>10</v>
          </cell>
          <cell r="AB60">
            <v>10</v>
          </cell>
          <cell r="AC60">
            <v>0</v>
          </cell>
          <cell r="AD60">
            <v>0</v>
          </cell>
          <cell r="AE60">
            <v>5</v>
          </cell>
          <cell r="AF60">
            <v>5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160</v>
          </cell>
        </row>
        <row r="61">
          <cell r="B61">
            <v>984421801</v>
          </cell>
          <cell r="E61" t="str">
            <v>305708GA413</v>
          </cell>
          <cell r="H61">
            <v>0</v>
          </cell>
          <cell r="I61">
            <v>0</v>
          </cell>
          <cell r="J61">
            <v>5</v>
          </cell>
          <cell r="K61">
            <v>5</v>
          </cell>
          <cell r="L61">
            <v>5</v>
          </cell>
          <cell r="M61">
            <v>5</v>
          </cell>
          <cell r="N61">
            <v>5</v>
          </cell>
          <cell r="O61">
            <v>0</v>
          </cell>
          <cell r="P61">
            <v>0</v>
          </cell>
          <cell r="Q61">
            <v>5</v>
          </cell>
          <cell r="R61">
            <v>5</v>
          </cell>
          <cell r="S61">
            <v>5</v>
          </cell>
          <cell r="T61">
            <v>5</v>
          </cell>
          <cell r="U61">
            <v>5</v>
          </cell>
          <cell r="V61">
            <v>0</v>
          </cell>
          <cell r="W61">
            <v>0</v>
          </cell>
          <cell r="X61">
            <v>5</v>
          </cell>
          <cell r="Y61">
            <v>5</v>
          </cell>
          <cell r="Z61">
            <v>5</v>
          </cell>
          <cell r="AA61">
            <v>5</v>
          </cell>
          <cell r="AB61">
            <v>5</v>
          </cell>
          <cell r="AC61">
            <v>0</v>
          </cell>
          <cell r="AD61">
            <v>0</v>
          </cell>
          <cell r="AE61">
            <v>5</v>
          </cell>
          <cell r="AF61">
            <v>5</v>
          </cell>
          <cell r="AG61">
            <v>5</v>
          </cell>
          <cell r="AH61">
            <v>5</v>
          </cell>
          <cell r="AI61">
            <v>5</v>
          </cell>
          <cell r="AJ61">
            <v>0</v>
          </cell>
          <cell r="AK61">
            <v>0</v>
          </cell>
          <cell r="AL61">
            <v>0</v>
          </cell>
          <cell r="AM61">
            <v>100</v>
          </cell>
        </row>
        <row r="62">
          <cell r="B62">
            <v>984422001</v>
          </cell>
          <cell r="E62" t="str">
            <v>305708GA415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</row>
        <row r="63">
          <cell r="B63">
            <v>984422101</v>
          </cell>
          <cell r="E63" t="str">
            <v>305708GA416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5</v>
          </cell>
          <cell r="AH63">
            <v>5</v>
          </cell>
          <cell r="AI63">
            <v>5</v>
          </cell>
          <cell r="AJ63">
            <v>0</v>
          </cell>
          <cell r="AK63">
            <v>0</v>
          </cell>
          <cell r="AL63">
            <v>0</v>
          </cell>
          <cell r="AM63">
            <v>15</v>
          </cell>
        </row>
        <row r="64">
          <cell r="B64">
            <v>984422201</v>
          </cell>
          <cell r="E64" t="str">
            <v>305708GA417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</row>
        <row r="65">
          <cell r="B65">
            <v>984422701</v>
          </cell>
          <cell r="E65" t="str">
            <v>305708GA418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</row>
        <row r="66">
          <cell r="B66">
            <v>984423101</v>
          </cell>
          <cell r="E66" t="str">
            <v>305708GA419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5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5</v>
          </cell>
        </row>
        <row r="67">
          <cell r="B67">
            <v>984423201</v>
          </cell>
          <cell r="E67" t="str">
            <v>305708GA420</v>
          </cell>
          <cell r="H67">
            <v>0</v>
          </cell>
          <cell r="I67">
            <v>0</v>
          </cell>
          <cell r="J67">
            <v>5</v>
          </cell>
          <cell r="K67">
            <v>5</v>
          </cell>
          <cell r="L67">
            <v>5</v>
          </cell>
          <cell r="M67">
            <v>5</v>
          </cell>
          <cell r="N67">
            <v>5</v>
          </cell>
          <cell r="O67">
            <v>0</v>
          </cell>
          <cell r="P67">
            <v>0</v>
          </cell>
          <cell r="Q67">
            <v>5</v>
          </cell>
          <cell r="R67">
            <v>5</v>
          </cell>
          <cell r="S67">
            <v>5</v>
          </cell>
          <cell r="T67">
            <v>5</v>
          </cell>
          <cell r="U67">
            <v>5</v>
          </cell>
          <cell r="V67">
            <v>0</v>
          </cell>
          <cell r="W67">
            <v>0</v>
          </cell>
          <cell r="X67">
            <v>5</v>
          </cell>
          <cell r="Y67">
            <v>5</v>
          </cell>
          <cell r="Z67">
            <v>5</v>
          </cell>
          <cell r="AA67">
            <v>5</v>
          </cell>
          <cell r="AB67">
            <v>5</v>
          </cell>
          <cell r="AC67">
            <v>0</v>
          </cell>
          <cell r="AD67">
            <v>0</v>
          </cell>
          <cell r="AE67">
            <v>5</v>
          </cell>
          <cell r="AF67">
            <v>5</v>
          </cell>
          <cell r="AG67">
            <v>5</v>
          </cell>
          <cell r="AH67">
            <v>5</v>
          </cell>
          <cell r="AI67">
            <v>5</v>
          </cell>
          <cell r="AJ67">
            <v>0</v>
          </cell>
          <cell r="AK67">
            <v>0</v>
          </cell>
          <cell r="AL67">
            <v>0</v>
          </cell>
          <cell r="AM67">
            <v>100</v>
          </cell>
        </row>
        <row r="68">
          <cell r="B68">
            <v>984423301</v>
          </cell>
          <cell r="E68" t="str">
            <v>305708GA421</v>
          </cell>
          <cell r="H68">
            <v>0</v>
          </cell>
          <cell r="I68">
            <v>0</v>
          </cell>
          <cell r="J68">
            <v>20</v>
          </cell>
          <cell r="K68">
            <v>20</v>
          </cell>
          <cell r="L68">
            <v>20</v>
          </cell>
          <cell r="M68">
            <v>20</v>
          </cell>
          <cell r="N68">
            <v>20</v>
          </cell>
          <cell r="O68">
            <v>0</v>
          </cell>
          <cell r="P68">
            <v>0</v>
          </cell>
          <cell r="Q68">
            <v>20</v>
          </cell>
          <cell r="R68">
            <v>20</v>
          </cell>
          <cell r="S68">
            <v>20</v>
          </cell>
          <cell r="T68">
            <v>20</v>
          </cell>
          <cell r="U68">
            <v>20</v>
          </cell>
          <cell r="V68">
            <v>0</v>
          </cell>
          <cell r="W68">
            <v>0</v>
          </cell>
          <cell r="X68">
            <v>20</v>
          </cell>
          <cell r="Y68">
            <v>20</v>
          </cell>
          <cell r="Z68">
            <v>20</v>
          </cell>
          <cell r="AA68">
            <v>20</v>
          </cell>
          <cell r="AB68">
            <v>20</v>
          </cell>
          <cell r="AC68">
            <v>0</v>
          </cell>
          <cell r="AD68">
            <v>0</v>
          </cell>
          <cell r="AE68">
            <v>20</v>
          </cell>
          <cell r="AF68">
            <v>20</v>
          </cell>
          <cell r="AG68">
            <v>20</v>
          </cell>
          <cell r="AH68">
            <v>20</v>
          </cell>
          <cell r="AI68">
            <v>20</v>
          </cell>
          <cell r="AJ68">
            <v>0</v>
          </cell>
          <cell r="AK68">
            <v>0</v>
          </cell>
          <cell r="AL68">
            <v>0</v>
          </cell>
          <cell r="AM68">
            <v>400</v>
          </cell>
        </row>
        <row r="69">
          <cell r="B69">
            <v>984423601</v>
          </cell>
          <cell r="E69" t="str">
            <v>305708GA422</v>
          </cell>
          <cell r="H69">
            <v>0</v>
          </cell>
          <cell r="I69">
            <v>0</v>
          </cell>
          <cell r="J69">
            <v>15</v>
          </cell>
          <cell r="K69">
            <v>15</v>
          </cell>
          <cell r="L69">
            <v>15</v>
          </cell>
          <cell r="M69">
            <v>15</v>
          </cell>
          <cell r="N69">
            <v>15</v>
          </cell>
          <cell r="O69">
            <v>0</v>
          </cell>
          <cell r="P69">
            <v>0</v>
          </cell>
          <cell r="Q69">
            <v>10</v>
          </cell>
          <cell r="R69">
            <v>10</v>
          </cell>
          <cell r="S69">
            <v>10</v>
          </cell>
          <cell r="T69">
            <v>10</v>
          </cell>
          <cell r="U69">
            <v>10</v>
          </cell>
          <cell r="V69">
            <v>0</v>
          </cell>
          <cell r="W69">
            <v>0</v>
          </cell>
          <cell r="X69">
            <v>5</v>
          </cell>
          <cell r="Y69">
            <v>5</v>
          </cell>
          <cell r="Z69">
            <v>5</v>
          </cell>
          <cell r="AA69">
            <v>5</v>
          </cell>
          <cell r="AB69">
            <v>5</v>
          </cell>
          <cell r="AC69">
            <v>0</v>
          </cell>
          <cell r="AD69">
            <v>0</v>
          </cell>
          <cell r="AE69">
            <v>5</v>
          </cell>
          <cell r="AF69">
            <v>5</v>
          </cell>
          <cell r="AG69">
            <v>5</v>
          </cell>
          <cell r="AH69">
            <v>5</v>
          </cell>
          <cell r="AI69">
            <v>5</v>
          </cell>
          <cell r="AJ69">
            <v>0</v>
          </cell>
          <cell r="AK69">
            <v>0</v>
          </cell>
          <cell r="AL69">
            <v>0</v>
          </cell>
          <cell r="AM69">
            <v>175</v>
          </cell>
        </row>
        <row r="70">
          <cell r="B70">
            <v>984423701</v>
          </cell>
          <cell r="E70" t="str">
            <v>305708GA423</v>
          </cell>
          <cell r="H70">
            <v>0</v>
          </cell>
          <cell r="I70">
            <v>0</v>
          </cell>
          <cell r="J70">
            <v>30</v>
          </cell>
          <cell r="K70">
            <v>30</v>
          </cell>
          <cell r="L70">
            <v>30</v>
          </cell>
          <cell r="M70">
            <v>30</v>
          </cell>
          <cell r="N70">
            <v>30</v>
          </cell>
          <cell r="O70">
            <v>0</v>
          </cell>
          <cell r="P70">
            <v>0</v>
          </cell>
          <cell r="Q70">
            <v>30</v>
          </cell>
          <cell r="R70">
            <v>30</v>
          </cell>
          <cell r="S70">
            <v>30</v>
          </cell>
          <cell r="T70">
            <v>30</v>
          </cell>
          <cell r="U70">
            <v>30</v>
          </cell>
          <cell r="V70">
            <v>0</v>
          </cell>
          <cell r="W70">
            <v>0</v>
          </cell>
          <cell r="X70">
            <v>30</v>
          </cell>
          <cell r="Y70">
            <v>30</v>
          </cell>
          <cell r="Z70">
            <v>25</v>
          </cell>
          <cell r="AA70">
            <v>25</v>
          </cell>
          <cell r="AB70">
            <v>25</v>
          </cell>
          <cell r="AC70">
            <v>0</v>
          </cell>
          <cell r="AD70">
            <v>0</v>
          </cell>
          <cell r="AE70">
            <v>25</v>
          </cell>
          <cell r="AF70">
            <v>25</v>
          </cell>
          <cell r="AG70">
            <v>25</v>
          </cell>
          <cell r="AH70">
            <v>25</v>
          </cell>
          <cell r="AI70">
            <v>25</v>
          </cell>
          <cell r="AJ70">
            <v>0</v>
          </cell>
          <cell r="AK70">
            <v>0</v>
          </cell>
          <cell r="AL70">
            <v>0</v>
          </cell>
          <cell r="AM70">
            <v>560</v>
          </cell>
        </row>
        <row r="71">
          <cell r="B71">
            <v>984423901</v>
          </cell>
          <cell r="E71" t="str">
            <v>305708GA402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</row>
        <row r="72">
          <cell r="B72">
            <v>984424001</v>
          </cell>
          <cell r="E72" t="str">
            <v>305708GA404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</row>
        <row r="73">
          <cell r="B73">
            <v>984424101</v>
          </cell>
          <cell r="E73" t="str">
            <v>305708GA424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</row>
        <row r="74">
          <cell r="B74">
            <v>984424201</v>
          </cell>
          <cell r="E74" t="str">
            <v>305708GA425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</row>
        <row r="75">
          <cell r="B75">
            <v>984424301</v>
          </cell>
          <cell r="E75" t="str">
            <v>305708GA403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</row>
        <row r="76">
          <cell r="B76">
            <v>984424701</v>
          </cell>
          <cell r="E76" t="str">
            <v>305708GA431</v>
          </cell>
          <cell r="H76">
            <v>0</v>
          </cell>
          <cell r="I76">
            <v>0</v>
          </cell>
          <cell r="J76">
            <v>50</v>
          </cell>
          <cell r="K76">
            <v>50</v>
          </cell>
          <cell r="L76">
            <v>50</v>
          </cell>
          <cell r="M76">
            <v>50</v>
          </cell>
          <cell r="N76">
            <v>50</v>
          </cell>
          <cell r="O76">
            <v>0</v>
          </cell>
          <cell r="P76">
            <v>0</v>
          </cell>
          <cell r="Q76">
            <v>50</v>
          </cell>
          <cell r="R76">
            <v>50</v>
          </cell>
          <cell r="S76">
            <v>50</v>
          </cell>
          <cell r="T76">
            <v>50</v>
          </cell>
          <cell r="U76">
            <v>50</v>
          </cell>
          <cell r="V76">
            <v>0</v>
          </cell>
          <cell r="W76">
            <v>0</v>
          </cell>
          <cell r="X76">
            <v>50</v>
          </cell>
          <cell r="Y76">
            <v>50</v>
          </cell>
          <cell r="Z76">
            <v>50</v>
          </cell>
          <cell r="AA76">
            <v>50</v>
          </cell>
          <cell r="AB76">
            <v>50</v>
          </cell>
          <cell r="AC76">
            <v>0</v>
          </cell>
          <cell r="AD76">
            <v>0</v>
          </cell>
          <cell r="AE76">
            <v>45</v>
          </cell>
          <cell r="AF76">
            <v>50</v>
          </cell>
          <cell r="AG76">
            <v>50</v>
          </cell>
          <cell r="AH76">
            <v>50</v>
          </cell>
          <cell r="AI76">
            <v>50</v>
          </cell>
          <cell r="AJ76">
            <v>0</v>
          </cell>
          <cell r="AK76">
            <v>0</v>
          </cell>
          <cell r="AL76">
            <v>0</v>
          </cell>
          <cell r="AM76">
            <v>995</v>
          </cell>
        </row>
        <row r="77">
          <cell r="B77">
            <v>984431701</v>
          </cell>
          <cell r="E77" t="str">
            <v>305708GA430</v>
          </cell>
          <cell r="H77">
            <v>0</v>
          </cell>
          <cell r="I77">
            <v>0</v>
          </cell>
          <cell r="J77">
            <v>55</v>
          </cell>
          <cell r="K77">
            <v>55</v>
          </cell>
          <cell r="L77">
            <v>55</v>
          </cell>
          <cell r="M77">
            <v>60</v>
          </cell>
          <cell r="N77">
            <v>60</v>
          </cell>
          <cell r="O77">
            <v>0</v>
          </cell>
          <cell r="P77">
            <v>0</v>
          </cell>
          <cell r="Q77">
            <v>55</v>
          </cell>
          <cell r="R77">
            <v>55</v>
          </cell>
          <cell r="S77">
            <v>55</v>
          </cell>
          <cell r="T77">
            <v>60</v>
          </cell>
          <cell r="U77">
            <v>60</v>
          </cell>
          <cell r="V77">
            <v>0</v>
          </cell>
          <cell r="W77">
            <v>0</v>
          </cell>
          <cell r="X77">
            <v>55</v>
          </cell>
          <cell r="Y77">
            <v>55</v>
          </cell>
          <cell r="Z77">
            <v>55</v>
          </cell>
          <cell r="AA77">
            <v>60</v>
          </cell>
          <cell r="AB77">
            <v>60</v>
          </cell>
          <cell r="AC77">
            <v>0</v>
          </cell>
          <cell r="AD77">
            <v>0</v>
          </cell>
          <cell r="AE77">
            <v>55</v>
          </cell>
          <cell r="AF77">
            <v>55</v>
          </cell>
          <cell r="AG77">
            <v>55</v>
          </cell>
          <cell r="AH77">
            <v>60</v>
          </cell>
          <cell r="AI77">
            <v>60</v>
          </cell>
          <cell r="AJ77">
            <v>0</v>
          </cell>
          <cell r="AK77">
            <v>0</v>
          </cell>
          <cell r="AL77">
            <v>0</v>
          </cell>
          <cell r="AM77">
            <v>1140</v>
          </cell>
        </row>
        <row r="78">
          <cell r="B78">
            <v>984433301</v>
          </cell>
          <cell r="E78" t="str">
            <v>305708GA427</v>
          </cell>
          <cell r="H78">
            <v>0</v>
          </cell>
          <cell r="I78">
            <v>0</v>
          </cell>
          <cell r="J78">
            <v>80</v>
          </cell>
          <cell r="K78">
            <v>80</v>
          </cell>
          <cell r="L78">
            <v>80</v>
          </cell>
          <cell r="M78">
            <v>85</v>
          </cell>
          <cell r="N78">
            <v>85</v>
          </cell>
          <cell r="O78">
            <v>0</v>
          </cell>
          <cell r="P78">
            <v>0</v>
          </cell>
          <cell r="Q78">
            <v>80</v>
          </cell>
          <cell r="R78">
            <v>80</v>
          </cell>
          <cell r="S78">
            <v>80</v>
          </cell>
          <cell r="T78">
            <v>85</v>
          </cell>
          <cell r="U78">
            <v>85</v>
          </cell>
          <cell r="V78">
            <v>0</v>
          </cell>
          <cell r="W78">
            <v>0</v>
          </cell>
          <cell r="X78">
            <v>75</v>
          </cell>
          <cell r="Y78">
            <v>75</v>
          </cell>
          <cell r="Z78">
            <v>75</v>
          </cell>
          <cell r="AA78">
            <v>80</v>
          </cell>
          <cell r="AB78">
            <v>80</v>
          </cell>
          <cell r="AC78">
            <v>0</v>
          </cell>
          <cell r="AD78">
            <v>0</v>
          </cell>
          <cell r="AE78">
            <v>80</v>
          </cell>
          <cell r="AF78">
            <v>80</v>
          </cell>
          <cell r="AG78">
            <v>80</v>
          </cell>
          <cell r="AH78">
            <v>85</v>
          </cell>
          <cell r="AI78">
            <v>85</v>
          </cell>
          <cell r="AJ78">
            <v>0</v>
          </cell>
          <cell r="AK78">
            <v>0</v>
          </cell>
          <cell r="AL78">
            <v>0</v>
          </cell>
          <cell r="AM78">
            <v>1615</v>
          </cell>
        </row>
        <row r="79">
          <cell r="B79">
            <v>984434701</v>
          </cell>
          <cell r="E79" t="str">
            <v>305708GA401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</row>
        <row r="80">
          <cell r="B80">
            <v>945504501</v>
          </cell>
          <cell r="C80" t="str">
            <v>305708GA310</v>
          </cell>
          <cell r="E80" t="e">
            <v>#N/A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</row>
        <row r="81">
          <cell r="B81">
            <v>989484501</v>
          </cell>
          <cell r="C81" t="str">
            <v>305708GA310</v>
          </cell>
          <cell r="E81" t="str">
            <v>305708GA343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</row>
        <row r="82">
          <cell r="B82">
            <v>945501901</v>
          </cell>
          <cell r="C82" t="str">
            <v>305708GA310</v>
          </cell>
          <cell r="E82" t="str">
            <v>305708GA331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</row>
        <row r="83">
          <cell r="B83">
            <v>984424501</v>
          </cell>
          <cell r="C83" t="str">
            <v>305708GA310</v>
          </cell>
          <cell r="E83" t="str">
            <v>305708GA426</v>
          </cell>
          <cell r="H83">
            <v>0</v>
          </cell>
          <cell r="I83">
            <v>0</v>
          </cell>
          <cell r="J83">
            <v>85</v>
          </cell>
          <cell r="K83">
            <v>85</v>
          </cell>
          <cell r="L83">
            <v>85</v>
          </cell>
          <cell r="M83">
            <v>90</v>
          </cell>
          <cell r="N83">
            <v>90</v>
          </cell>
          <cell r="O83">
            <v>0</v>
          </cell>
          <cell r="P83">
            <v>0</v>
          </cell>
          <cell r="Q83">
            <v>80</v>
          </cell>
          <cell r="R83">
            <v>85</v>
          </cell>
          <cell r="S83">
            <v>85</v>
          </cell>
          <cell r="T83">
            <v>90</v>
          </cell>
          <cell r="U83">
            <v>90</v>
          </cell>
          <cell r="V83">
            <v>0</v>
          </cell>
          <cell r="W83">
            <v>0</v>
          </cell>
          <cell r="X83">
            <v>80</v>
          </cell>
          <cell r="Y83">
            <v>80</v>
          </cell>
          <cell r="Z83">
            <v>85</v>
          </cell>
          <cell r="AA83">
            <v>85</v>
          </cell>
          <cell r="AB83">
            <v>90</v>
          </cell>
          <cell r="AC83">
            <v>0</v>
          </cell>
          <cell r="AD83">
            <v>0</v>
          </cell>
          <cell r="AE83">
            <v>90</v>
          </cell>
          <cell r="AF83">
            <v>90</v>
          </cell>
          <cell r="AG83">
            <v>90</v>
          </cell>
          <cell r="AH83">
            <v>95</v>
          </cell>
          <cell r="AI83">
            <v>90</v>
          </cell>
          <cell r="AJ83">
            <v>0</v>
          </cell>
          <cell r="AK83">
            <v>0</v>
          </cell>
          <cell r="AL83">
            <v>0</v>
          </cell>
          <cell r="AM83">
            <v>1740</v>
          </cell>
        </row>
        <row r="84">
          <cell r="B84">
            <v>984421901</v>
          </cell>
          <cell r="C84" t="str">
            <v>305708GA310</v>
          </cell>
          <cell r="E84" t="str">
            <v>305708GA414</v>
          </cell>
          <cell r="H84">
            <v>0</v>
          </cell>
          <cell r="I84">
            <v>0</v>
          </cell>
          <cell r="J84">
            <v>5</v>
          </cell>
          <cell r="K84">
            <v>5</v>
          </cell>
          <cell r="L84">
            <v>5</v>
          </cell>
          <cell r="M84">
            <v>5</v>
          </cell>
          <cell r="N84">
            <v>5</v>
          </cell>
          <cell r="O84">
            <v>0</v>
          </cell>
          <cell r="P84">
            <v>0</v>
          </cell>
          <cell r="Q84">
            <v>5</v>
          </cell>
          <cell r="R84">
            <v>5</v>
          </cell>
          <cell r="S84">
            <v>5</v>
          </cell>
          <cell r="T84">
            <v>5</v>
          </cell>
          <cell r="U84">
            <v>5</v>
          </cell>
          <cell r="V84">
            <v>0</v>
          </cell>
          <cell r="W84">
            <v>0</v>
          </cell>
          <cell r="X84">
            <v>20</v>
          </cell>
          <cell r="Y84">
            <v>20</v>
          </cell>
          <cell r="Z84">
            <v>20</v>
          </cell>
          <cell r="AA84">
            <v>20</v>
          </cell>
          <cell r="AB84">
            <v>20</v>
          </cell>
          <cell r="AC84">
            <v>0</v>
          </cell>
          <cell r="AD84">
            <v>0</v>
          </cell>
          <cell r="AE84">
            <v>25</v>
          </cell>
          <cell r="AF84">
            <v>25</v>
          </cell>
          <cell r="AG84">
            <v>25</v>
          </cell>
          <cell r="AH84">
            <v>25</v>
          </cell>
          <cell r="AI84">
            <v>25</v>
          </cell>
          <cell r="AJ84">
            <v>0</v>
          </cell>
          <cell r="AK84">
            <v>0</v>
          </cell>
          <cell r="AL84">
            <v>0</v>
          </cell>
          <cell r="AM84">
            <v>275</v>
          </cell>
        </row>
        <row r="85">
          <cell r="B85">
            <v>947031901</v>
          </cell>
          <cell r="C85" t="str">
            <v>305708GA310</v>
          </cell>
          <cell r="E85" t="str">
            <v>305708GA161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</row>
        <row r="86">
          <cell r="B86" t="str">
            <v>計</v>
          </cell>
          <cell r="H86">
            <v>0</v>
          </cell>
          <cell r="I86">
            <v>0</v>
          </cell>
          <cell r="J86">
            <v>440</v>
          </cell>
          <cell r="K86">
            <v>440</v>
          </cell>
          <cell r="L86">
            <v>440</v>
          </cell>
          <cell r="M86">
            <v>460</v>
          </cell>
          <cell r="N86">
            <v>460</v>
          </cell>
          <cell r="O86">
            <v>0</v>
          </cell>
          <cell r="P86">
            <v>0</v>
          </cell>
          <cell r="Q86">
            <v>430</v>
          </cell>
          <cell r="R86">
            <v>435</v>
          </cell>
          <cell r="S86">
            <v>435</v>
          </cell>
          <cell r="T86">
            <v>455</v>
          </cell>
          <cell r="U86">
            <v>455</v>
          </cell>
          <cell r="V86">
            <v>0</v>
          </cell>
          <cell r="W86">
            <v>0</v>
          </cell>
          <cell r="X86">
            <v>435</v>
          </cell>
          <cell r="Y86">
            <v>435</v>
          </cell>
          <cell r="Z86">
            <v>435</v>
          </cell>
          <cell r="AA86">
            <v>450</v>
          </cell>
          <cell r="AB86">
            <v>455</v>
          </cell>
          <cell r="AC86">
            <v>0</v>
          </cell>
          <cell r="AD86">
            <v>0</v>
          </cell>
          <cell r="AE86">
            <v>445</v>
          </cell>
          <cell r="AF86">
            <v>445</v>
          </cell>
          <cell r="AG86">
            <v>445</v>
          </cell>
          <cell r="AH86">
            <v>465</v>
          </cell>
          <cell r="AI86">
            <v>460</v>
          </cell>
          <cell r="AJ86">
            <v>0</v>
          </cell>
          <cell r="AK86">
            <v>0</v>
          </cell>
          <cell r="AL86">
            <v>0</v>
          </cell>
          <cell r="AM86">
            <v>8920</v>
          </cell>
        </row>
        <row r="87">
          <cell r="B87">
            <v>9828299780</v>
          </cell>
          <cell r="C87" t="str">
            <v>G-214</v>
          </cell>
          <cell r="E87" t="e">
            <v>#N/A</v>
          </cell>
          <cell r="F87" t="str">
            <v>C</v>
          </cell>
          <cell r="G87" t="str">
            <v>A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</row>
        <row r="88">
          <cell r="B88">
            <v>9828330480</v>
          </cell>
          <cell r="E88" t="e">
            <v>#N/A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</row>
        <row r="89">
          <cell r="B89">
            <v>9830763580</v>
          </cell>
          <cell r="E89" t="e">
            <v>#N/A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</row>
        <row r="90">
          <cell r="B90">
            <v>9827156780</v>
          </cell>
          <cell r="E90" t="str">
            <v>305708GA126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6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6</v>
          </cell>
        </row>
        <row r="91">
          <cell r="B91">
            <v>9830763780</v>
          </cell>
          <cell r="C91" t="str">
            <v>305708GA231</v>
          </cell>
          <cell r="E91" t="str">
            <v>305708GA231</v>
          </cell>
          <cell r="H91">
            <v>0</v>
          </cell>
          <cell r="I91">
            <v>0</v>
          </cell>
          <cell r="J91">
            <v>234</v>
          </cell>
          <cell r="K91">
            <v>232</v>
          </cell>
          <cell r="L91">
            <v>233</v>
          </cell>
          <cell r="M91">
            <v>252</v>
          </cell>
          <cell r="N91">
            <v>264</v>
          </cell>
          <cell r="O91">
            <v>0</v>
          </cell>
          <cell r="P91">
            <v>0</v>
          </cell>
          <cell r="Q91">
            <v>216</v>
          </cell>
          <cell r="R91">
            <v>237</v>
          </cell>
          <cell r="S91">
            <v>234</v>
          </cell>
          <cell r="T91">
            <v>276</v>
          </cell>
          <cell r="U91">
            <v>276</v>
          </cell>
          <cell r="V91">
            <v>0</v>
          </cell>
          <cell r="W91">
            <v>0</v>
          </cell>
          <cell r="X91">
            <v>230</v>
          </cell>
          <cell r="Y91">
            <v>230</v>
          </cell>
          <cell r="Z91">
            <v>238</v>
          </cell>
          <cell r="AA91">
            <v>256</v>
          </cell>
          <cell r="AB91">
            <v>278</v>
          </cell>
          <cell r="AC91">
            <v>0</v>
          </cell>
          <cell r="AD91">
            <v>0</v>
          </cell>
          <cell r="AE91">
            <v>213</v>
          </cell>
          <cell r="AF91">
            <v>212</v>
          </cell>
          <cell r="AG91">
            <v>207</v>
          </cell>
          <cell r="AH91">
            <v>242</v>
          </cell>
          <cell r="AI91">
            <v>220</v>
          </cell>
          <cell r="AJ91">
            <v>0</v>
          </cell>
          <cell r="AK91">
            <v>0</v>
          </cell>
          <cell r="AL91">
            <v>0</v>
          </cell>
          <cell r="AM91">
            <v>4780</v>
          </cell>
        </row>
        <row r="92">
          <cell r="B92">
            <v>9829177980</v>
          </cell>
          <cell r="E92" t="str">
            <v>305708GA321</v>
          </cell>
          <cell r="H92">
            <v>0</v>
          </cell>
          <cell r="I92">
            <v>0</v>
          </cell>
          <cell r="J92">
            <v>88</v>
          </cell>
          <cell r="K92">
            <v>88</v>
          </cell>
          <cell r="L92">
            <v>88</v>
          </cell>
          <cell r="M92">
            <v>96</v>
          </cell>
          <cell r="N92">
            <v>96</v>
          </cell>
          <cell r="O92">
            <v>0</v>
          </cell>
          <cell r="P92">
            <v>0</v>
          </cell>
          <cell r="Q92">
            <v>88</v>
          </cell>
          <cell r="R92">
            <v>88</v>
          </cell>
          <cell r="S92">
            <v>88</v>
          </cell>
          <cell r="T92">
            <v>96</v>
          </cell>
          <cell r="U92">
            <v>96</v>
          </cell>
          <cell r="V92">
            <v>0</v>
          </cell>
          <cell r="W92">
            <v>0</v>
          </cell>
          <cell r="X92">
            <v>88</v>
          </cell>
          <cell r="Y92">
            <v>88</v>
          </cell>
          <cell r="Z92">
            <v>88</v>
          </cell>
          <cell r="AA92">
            <v>96</v>
          </cell>
          <cell r="AB92">
            <v>96</v>
          </cell>
          <cell r="AC92">
            <v>0</v>
          </cell>
          <cell r="AD92">
            <v>0</v>
          </cell>
          <cell r="AE92">
            <v>96</v>
          </cell>
          <cell r="AF92">
            <v>96</v>
          </cell>
          <cell r="AG92">
            <v>96</v>
          </cell>
          <cell r="AH92">
            <v>104</v>
          </cell>
          <cell r="AI92">
            <v>104</v>
          </cell>
          <cell r="AJ92">
            <v>0</v>
          </cell>
          <cell r="AK92">
            <v>0</v>
          </cell>
          <cell r="AL92">
            <v>0</v>
          </cell>
          <cell r="AM92">
            <v>1864</v>
          </cell>
        </row>
        <row r="93">
          <cell r="B93">
            <v>9830761080</v>
          </cell>
          <cell r="E93" t="str">
            <v>305708GA322</v>
          </cell>
          <cell r="H93">
            <v>0</v>
          </cell>
          <cell r="I93">
            <v>0</v>
          </cell>
          <cell r="J93">
            <v>160</v>
          </cell>
          <cell r="K93">
            <v>160</v>
          </cell>
          <cell r="L93">
            <v>160</v>
          </cell>
          <cell r="M93">
            <v>168</v>
          </cell>
          <cell r="N93">
            <v>168</v>
          </cell>
          <cell r="O93">
            <v>0</v>
          </cell>
          <cell r="P93">
            <v>0</v>
          </cell>
          <cell r="Q93">
            <v>152</v>
          </cell>
          <cell r="R93">
            <v>160</v>
          </cell>
          <cell r="S93">
            <v>160</v>
          </cell>
          <cell r="T93">
            <v>168</v>
          </cell>
          <cell r="U93">
            <v>168</v>
          </cell>
          <cell r="V93">
            <v>0</v>
          </cell>
          <cell r="W93">
            <v>0</v>
          </cell>
          <cell r="X93">
            <v>160</v>
          </cell>
          <cell r="Y93">
            <v>160</v>
          </cell>
          <cell r="Z93">
            <v>160</v>
          </cell>
          <cell r="AA93">
            <v>168</v>
          </cell>
          <cell r="AB93">
            <v>168</v>
          </cell>
          <cell r="AC93">
            <v>0</v>
          </cell>
          <cell r="AD93">
            <v>0</v>
          </cell>
          <cell r="AE93">
            <v>160</v>
          </cell>
          <cell r="AF93">
            <v>160</v>
          </cell>
          <cell r="AG93">
            <v>160</v>
          </cell>
          <cell r="AH93">
            <v>168</v>
          </cell>
          <cell r="AI93">
            <v>168</v>
          </cell>
          <cell r="AJ93">
            <v>0</v>
          </cell>
          <cell r="AK93">
            <v>0</v>
          </cell>
          <cell r="AL93">
            <v>0</v>
          </cell>
          <cell r="AM93">
            <v>3256</v>
          </cell>
        </row>
        <row r="94">
          <cell r="B94">
            <v>9828185180</v>
          </cell>
          <cell r="E94" t="str">
            <v>305708GA323</v>
          </cell>
          <cell r="H94">
            <v>0</v>
          </cell>
          <cell r="I94">
            <v>0</v>
          </cell>
          <cell r="J94">
            <v>24</v>
          </cell>
          <cell r="K94">
            <v>24</v>
          </cell>
          <cell r="L94">
            <v>24</v>
          </cell>
          <cell r="M94">
            <v>24</v>
          </cell>
          <cell r="N94">
            <v>24</v>
          </cell>
          <cell r="O94">
            <v>0</v>
          </cell>
          <cell r="P94">
            <v>0</v>
          </cell>
          <cell r="Q94">
            <v>24</v>
          </cell>
          <cell r="R94">
            <v>24</v>
          </cell>
          <cell r="S94">
            <v>24</v>
          </cell>
          <cell r="T94">
            <v>24</v>
          </cell>
          <cell r="U94">
            <v>24</v>
          </cell>
          <cell r="V94">
            <v>0</v>
          </cell>
          <cell r="W94">
            <v>0</v>
          </cell>
          <cell r="X94">
            <v>24</v>
          </cell>
          <cell r="Y94">
            <v>24</v>
          </cell>
          <cell r="Z94">
            <v>24</v>
          </cell>
          <cell r="AA94">
            <v>24</v>
          </cell>
          <cell r="AB94">
            <v>24</v>
          </cell>
          <cell r="AC94">
            <v>0</v>
          </cell>
          <cell r="AD94">
            <v>0</v>
          </cell>
          <cell r="AE94">
            <v>24</v>
          </cell>
          <cell r="AF94">
            <v>24</v>
          </cell>
          <cell r="AG94">
            <v>24</v>
          </cell>
          <cell r="AH94">
            <v>24</v>
          </cell>
          <cell r="AI94">
            <v>24</v>
          </cell>
          <cell r="AJ94">
            <v>0</v>
          </cell>
          <cell r="AK94">
            <v>0</v>
          </cell>
          <cell r="AL94">
            <v>0</v>
          </cell>
          <cell r="AM94">
            <v>480</v>
          </cell>
        </row>
        <row r="95">
          <cell r="B95">
            <v>9838184280</v>
          </cell>
          <cell r="E95" t="str">
            <v>305708GA377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16</v>
          </cell>
          <cell r="Y95">
            <v>16</v>
          </cell>
          <cell r="Z95">
            <v>16</v>
          </cell>
          <cell r="AA95">
            <v>16</v>
          </cell>
          <cell r="AB95">
            <v>16</v>
          </cell>
          <cell r="AC95">
            <v>0</v>
          </cell>
          <cell r="AD95">
            <v>0</v>
          </cell>
          <cell r="AE95">
            <v>16</v>
          </cell>
          <cell r="AF95">
            <v>16</v>
          </cell>
          <cell r="AG95">
            <v>16</v>
          </cell>
          <cell r="AH95">
            <v>16</v>
          </cell>
          <cell r="AI95">
            <v>16</v>
          </cell>
          <cell r="AJ95">
            <v>0</v>
          </cell>
          <cell r="AK95">
            <v>0</v>
          </cell>
          <cell r="AL95">
            <v>0</v>
          </cell>
          <cell r="AM95">
            <v>160</v>
          </cell>
        </row>
        <row r="96">
          <cell r="B96">
            <v>9828330880</v>
          </cell>
          <cell r="E96" t="str">
            <v>305708GB033</v>
          </cell>
          <cell r="H96">
            <v>0</v>
          </cell>
          <cell r="I96">
            <v>0</v>
          </cell>
          <cell r="J96">
            <v>36</v>
          </cell>
          <cell r="K96">
            <v>36</v>
          </cell>
          <cell r="L96">
            <v>36</v>
          </cell>
          <cell r="M96">
            <v>36</v>
          </cell>
          <cell r="N96">
            <v>36</v>
          </cell>
          <cell r="O96">
            <v>0</v>
          </cell>
          <cell r="P96">
            <v>0</v>
          </cell>
          <cell r="Q96">
            <v>36</v>
          </cell>
          <cell r="R96">
            <v>36</v>
          </cell>
          <cell r="S96">
            <v>36</v>
          </cell>
          <cell r="T96">
            <v>36</v>
          </cell>
          <cell r="U96">
            <v>36</v>
          </cell>
          <cell r="V96">
            <v>0</v>
          </cell>
          <cell r="W96">
            <v>0</v>
          </cell>
          <cell r="X96">
            <v>36</v>
          </cell>
          <cell r="Y96">
            <v>36</v>
          </cell>
          <cell r="Z96">
            <v>36</v>
          </cell>
          <cell r="AA96">
            <v>36</v>
          </cell>
          <cell r="AB96">
            <v>36</v>
          </cell>
          <cell r="AC96">
            <v>0</v>
          </cell>
          <cell r="AD96">
            <v>0</v>
          </cell>
          <cell r="AE96">
            <v>36</v>
          </cell>
          <cell r="AF96">
            <v>36</v>
          </cell>
          <cell r="AG96">
            <v>36</v>
          </cell>
          <cell r="AH96">
            <v>36</v>
          </cell>
          <cell r="AI96">
            <v>36</v>
          </cell>
          <cell r="AJ96">
            <v>0</v>
          </cell>
          <cell r="AK96">
            <v>0</v>
          </cell>
          <cell r="AL96">
            <v>0</v>
          </cell>
          <cell r="AM96">
            <v>720</v>
          </cell>
        </row>
        <row r="97">
          <cell r="B97">
            <v>9830759480</v>
          </cell>
          <cell r="E97" t="str">
            <v>305708GB052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</row>
        <row r="98">
          <cell r="B98">
            <v>9831759880</v>
          </cell>
          <cell r="E98" t="str">
            <v>305708GB061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</row>
        <row r="99">
          <cell r="B99">
            <v>9831759980</v>
          </cell>
          <cell r="E99" t="str">
            <v>305708GB062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</row>
        <row r="100">
          <cell r="B100">
            <v>9831760080</v>
          </cell>
          <cell r="E100" t="e">
            <v>#N/A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</row>
        <row r="101">
          <cell r="B101">
            <v>9825603180</v>
          </cell>
          <cell r="E101" t="e">
            <v>#N/A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</row>
        <row r="102">
          <cell r="B102">
            <v>9823808980</v>
          </cell>
          <cell r="E102" t="e">
            <v>#N/A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</row>
        <row r="103">
          <cell r="B103">
            <v>9826627180</v>
          </cell>
          <cell r="E103" t="e">
            <v>#N/A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</row>
        <row r="104">
          <cell r="B104">
            <v>9830759780</v>
          </cell>
          <cell r="E104" t="str">
            <v>305708GB066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</row>
        <row r="105">
          <cell r="B105">
            <v>9827962180</v>
          </cell>
          <cell r="E105" t="str">
            <v>305708GB042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</row>
        <row r="106">
          <cell r="B106">
            <v>9827962280</v>
          </cell>
          <cell r="E106" t="str">
            <v>305708GB040</v>
          </cell>
          <cell r="H106">
            <v>0</v>
          </cell>
          <cell r="I106">
            <v>0</v>
          </cell>
          <cell r="J106">
            <v>0</v>
          </cell>
          <cell r="K106">
            <v>1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8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3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1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13</v>
          </cell>
        </row>
        <row r="107">
          <cell r="B107">
            <v>9832770180</v>
          </cell>
          <cell r="E107" t="str">
            <v>305708GB056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9</v>
          </cell>
          <cell r="N107">
            <v>9</v>
          </cell>
          <cell r="O107">
            <v>0</v>
          </cell>
          <cell r="P107">
            <v>0</v>
          </cell>
          <cell r="Q107">
            <v>9</v>
          </cell>
          <cell r="R107">
            <v>9</v>
          </cell>
          <cell r="S107">
            <v>9</v>
          </cell>
          <cell r="T107">
            <v>9</v>
          </cell>
          <cell r="U107">
            <v>9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63</v>
          </cell>
        </row>
        <row r="108">
          <cell r="B108">
            <v>9830759280</v>
          </cell>
          <cell r="E108" t="str">
            <v>305708GB054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</row>
        <row r="109">
          <cell r="B109">
            <v>9830759380</v>
          </cell>
          <cell r="E109" t="str">
            <v>305708GB067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</row>
        <row r="110">
          <cell r="B110">
            <v>9838183280</v>
          </cell>
          <cell r="E110" t="str">
            <v>305708GB099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</row>
        <row r="111">
          <cell r="B111">
            <v>9830759880</v>
          </cell>
          <cell r="E111" t="str">
            <v>305708GB065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</row>
        <row r="112">
          <cell r="B112">
            <v>9837259680</v>
          </cell>
          <cell r="E112" t="str">
            <v>305708GB092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9</v>
          </cell>
          <cell r="M112">
            <v>9</v>
          </cell>
          <cell r="N112">
            <v>9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27</v>
          </cell>
        </row>
        <row r="113">
          <cell r="B113">
            <v>9837259780</v>
          </cell>
          <cell r="E113" t="str">
            <v>305708GB091</v>
          </cell>
          <cell r="H113">
            <v>0</v>
          </cell>
          <cell r="I113">
            <v>0</v>
          </cell>
          <cell r="J113">
            <v>9</v>
          </cell>
          <cell r="K113">
            <v>9</v>
          </cell>
          <cell r="L113">
            <v>0</v>
          </cell>
          <cell r="M113">
            <v>9</v>
          </cell>
          <cell r="N113">
            <v>9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36</v>
          </cell>
        </row>
        <row r="114">
          <cell r="B114">
            <v>9837691780</v>
          </cell>
          <cell r="E114" t="str">
            <v>305708GB093</v>
          </cell>
          <cell r="H114">
            <v>0</v>
          </cell>
          <cell r="I114">
            <v>0</v>
          </cell>
          <cell r="J114">
            <v>9</v>
          </cell>
          <cell r="K114">
            <v>9</v>
          </cell>
          <cell r="L114">
            <v>9</v>
          </cell>
          <cell r="M114">
            <v>9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36</v>
          </cell>
        </row>
        <row r="115">
          <cell r="B115">
            <v>9830759680</v>
          </cell>
          <cell r="E115" t="str">
            <v>305708GB069</v>
          </cell>
          <cell r="H115">
            <v>0</v>
          </cell>
          <cell r="I115">
            <v>0</v>
          </cell>
          <cell r="J115">
            <v>54</v>
          </cell>
          <cell r="K115">
            <v>54</v>
          </cell>
          <cell r="L115">
            <v>54</v>
          </cell>
          <cell r="M115">
            <v>54</v>
          </cell>
          <cell r="N115">
            <v>54</v>
          </cell>
          <cell r="O115">
            <v>0</v>
          </cell>
          <cell r="P115">
            <v>0</v>
          </cell>
          <cell r="Q115">
            <v>45</v>
          </cell>
          <cell r="R115">
            <v>54</v>
          </cell>
          <cell r="S115">
            <v>54</v>
          </cell>
          <cell r="T115">
            <v>54</v>
          </cell>
          <cell r="U115">
            <v>54</v>
          </cell>
          <cell r="V115">
            <v>0</v>
          </cell>
          <cell r="W115">
            <v>0</v>
          </cell>
          <cell r="X115">
            <v>54</v>
          </cell>
          <cell r="Y115">
            <v>54</v>
          </cell>
          <cell r="Z115">
            <v>54</v>
          </cell>
          <cell r="AA115">
            <v>54</v>
          </cell>
          <cell r="AB115">
            <v>54</v>
          </cell>
          <cell r="AC115">
            <v>0</v>
          </cell>
          <cell r="AD115">
            <v>0</v>
          </cell>
          <cell r="AE115">
            <v>54</v>
          </cell>
          <cell r="AF115">
            <v>54</v>
          </cell>
          <cell r="AG115">
            <v>54</v>
          </cell>
          <cell r="AH115">
            <v>54</v>
          </cell>
          <cell r="AI115">
            <v>54</v>
          </cell>
          <cell r="AJ115">
            <v>0</v>
          </cell>
          <cell r="AK115">
            <v>0</v>
          </cell>
          <cell r="AL115">
            <v>0</v>
          </cell>
          <cell r="AM115">
            <v>1071</v>
          </cell>
        </row>
        <row r="116">
          <cell r="B116">
            <v>9834577580</v>
          </cell>
          <cell r="E116" t="str">
            <v>305708GA354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</row>
        <row r="117">
          <cell r="B117">
            <v>9838184080</v>
          </cell>
          <cell r="E117" t="str">
            <v>305708GA378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</row>
        <row r="118">
          <cell r="B118" t="str">
            <v>計</v>
          </cell>
          <cell r="H118">
            <v>0</v>
          </cell>
          <cell r="I118">
            <v>0</v>
          </cell>
          <cell r="J118">
            <v>614</v>
          </cell>
          <cell r="K118">
            <v>613</v>
          </cell>
          <cell r="L118">
            <v>613</v>
          </cell>
          <cell r="M118">
            <v>666</v>
          </cell>
          <cell r="N118">
            <v>669</v>
          </cell>
          <cell r="O118">
            <v>0</v>
          </cell>
          <cell r="P118">
            <v>0</v>
          </cell>
          <cell r="Q118">
            <v>584</v>
          </cell>
          <cell r="R118">
            <v>608</v>
          </cell>
          <cell r="S118">
            <v>605</v>
          </cell>
          <cell r="T118">
            <v>663</v>
          </cell>
          <cell r="U118">
            <v>663</v>
          </cell>
          <cell r="V118">
            <v>0</v>
          </cell>
          <cell r="W118">
            <v>0</v>
          </cell>
          <cell r="X118">
            <v>611</v>
          </cell>
          <cell r="Y118">
            <v>608</v>
          </cell>
          <cell r="Z118">
            <v>616</v>
          </cell>
          <cell r="AA118">
            <v>650</v>
          </cell>
          <cell r="AB118">
            <v>672</v>
          </cell>
          <cell r="AC118">
            <v>0</v>
          </cell>
          <cell r="AD118">
            <v>0</v>
          </cell>
          <cell r="AE118">
            <v>600</v>
          </cell>
          <cell r="AF118">
            <v>598</v>
          </cell>
          <cell r="AG118">
            <v>593</v>
          </cell>
          <cell r="AH118">
            <v>644</v>
          </cell>
          <cell r="AI118">
            <v>622</v>
          </cell>
          <cell r="AJ118">
            <v>0</v>
          </cell>
          <cell r="AK118">
            <v>0</v>
          </cell>
          <cell r="AL118">
            <v>0</v>
          </cell>
          <cell r="AM118">
            <v>12512</v>
          </cell>
        </row>
        <row r="119">
          <cell r="B119" t="str">
            <v>9834577580</v>
          </cell>
          <cell r="E119" t="str">
            <v>305708GA354</v>
          </cell>
          <cell r="Q119">
            <v>5</v>
          </cell>
          <cell r="AM119">
            <v>5</v>
          </cell>
        </row>
        <row r="120">
          <cell r="B120" t="str">
            <v>50927201</v>
          </cell>
          <cell r="E120" t="str">
            <v>305708GC003</v>
          </cell>
          <cell r="K120">
            <v>2</v>
          </cell>
          <cell r="AM120">
            <v>2</v>
          </cell>
        </row>
        <row r="121">
          <cell r="B121" t="str">
            <v>1285436</v>
          </cell>
          <cell r="E121" t="str">
            <v>305708GA125</v>
          </cell>
          <cell r="Q121">
            <v>2</v>
          </cell>
          <cell r="Y121">
            <v>2</v>
          </cell>
          <cell r="AM121">
            <v>4</v>
          </cell>
        </row>
        <row r="122">
          <cell r="B122" t="str">
            <v>1285435</v>
          </cell>
          <cell r="E122" t="str">
            <v>305708GC006</v>
          </cell>
          <cell r="J122">
            <v>2</v>
          </cell>
          <cell r="AM122">
            <v>2</v>
          </cell>
        </row>
        <row r="123">
          <cell r="B123" t="str">
            <v>1285438</v>
          </cell>
          <cell r="E123" t="str">
            <v>305708GA341</v>
          </cell>
          <cell r="L123">
            <v>2</v>
          </cell>
          <cell r="M123">
            <v>3</v>
          </cell>
          <cell r="AM123">
            <v>5</v>
          </cell>
        </row>
        <row r="124">
          <cell r="B124" t="str">
            <v>1285470</v>
          </cell>
          <cell r="E124" t="str">
            <v>305708GC008</v>
          </cell>
          <cell r="K124">
            <v>1</v>
          </cell>
          <cell r="AM124">
            <v>1</v>
          </cell>
        </row>
        <row r="125">
          <cell r="B125" t="str">
            <v>9838184280</v>
          </cell>
          <cell r="E125" t="str">
            <v>305708GA377</v>
          </cell>
          <cell r="AE125">
            <v>1</v>
          </cell>
          <cell r="AF125">
            <v>3</v>
          </cell>
          <cell r="AG125">
            <v>3</v>
          </cell>
          <cell r="AH125">
            <v>3</v>
          </cell>
          <cell r="AI125">
            <v>3</v>
          </cell>
          <cell r="AM125">
            <v>13</v>
          </cell>
        </row>
        <row r="126">
          <cell r="B126">
            <v>984423901</v>
          </cell>
          <cell r="E126" t="str">
            <v>305708GA402</v>
          </cell>
          <cell r="S126">
            <v>2</v>
          </cell>
          <cell r="AM126">
            <v>2</v>
          </cell>
        </row>
        <row r="127">
          <cell r="B127">
            <v>984424301</v>
          </cell>
          <cell r="E127" t="str">
            <v>305708GA403</v>
          </cell>
          <cell r="L127">
            <v>1</v>
          </cell>
          <cell r="M127">
            <v>3</v>
          </cell>
          <cell r="N127">
            <v>3</v>
          </cell>
          <cell r="Q127">
            <v>2</v>
          </cell>
          <cell r="AM127">
            <v>9</v>
          </cell>
        </row>
        <row r="128">
          <cell r="B128" t="str">
            <v>9838184080</v>
          </cell>
          <cell r="E128" t="str">
            <v>305708GA378</v>
          </cell>
          <cell r="S128">
            <v>4</v>
          </cell>
          <cell r="T128">
            <v>4</v>
          </cell>
          <cell r="U128">
            <v>4</v>
          </cell>
          <cell r="X128">
            <v>4</v>
          </cell>
          <cell r="Y128">
            <v>4</v>
          </cell>
          <cell r="AM128">
            <v>20</v>
          </cell>
        </row>
        <row r="129">
          <cell r="B129" t="str">
            <v>5A0604801</v>
          </cell>
          <cell r="E129" t="str">
            <v>305708GA376</v>
          </cell>
          <cell r="X129">
            <v>1</v>
          </cell>
          <cell r="Y129">
            <v>2</v>
          </cell>
          <cell r="AM129">
            <v>3</v>
          </cell>
        </row>
        <row r="130">
          <cell r="B130">
            <v>984434701</v>
          </cell>
          <cell r="E130" t="str">
            <v>305708GA401</v>
          </cell>
          <cell r="Q130">
            <v>1</v>
          </cell>
          <cell r="R130">
            <v>3</v>
          </cell>
          <cell r="AM130">
            <v>4</v>
          </cell>
        </row>
        <row r="131">
          <cell r="B131">
            <v>984424001</v>
          </cell>
          <cell r="E131" t="str">
            <v>305708GA404</v>
          </cell>
          <cell r="AM131">
            <v>0</v>
          </cell>
        </row>
        <row r="132">
          <cell r="AM132">
            <v>0</v>
          </cell>
        </row>
        <row r="133">
          <cell r="AM133">
            <v>0</v>
          </cell>
        </row>
        <row r="134">
          <cell r="AM134">
            <v>0</v>
          </cell>
        </row>
        <row r="135">
          <cell r="AM135">
            <v>0</v>
          </cell>
        </row>
        <row r="136">
          <cell r="AM136">
            <v>0</v>
          </cell>
        </row>
        <row r="137">
          <cell r="AM137">
            <v>0</v>
          </cell>
        </row>
        <row r="138">
          <cell r="AM138">
            <v>0</v>
          </cell>
        </row>
        <row r="139">
          <cell r="AM139">
            <v>0</v>
          </cell>
        </row>
        <row r="140">
          <cell r="AM140">
            <v>0</v>
          </cell>
        </row>
        <row r="141">
          <cell r="AM141">
            <v>0</v>
          </cell>
        </row>
        <row r="142">
          <cell r="AM142">
            <v>0</v>
          </cell>
        </row>
        <row r="143">
          <cell r="B143" t="str">
            <v>計</v>
          </cell>
          <cell r="H143">
            <v>0</v>
          </cell>
          <cell r="I143">
            <v>0</v>
          </cell>
          <cell r="J143">
            <v>2</v>
          </cell>
          <cell r="K143">
            <v>3</v>
          </cell>
          <cell r="L143">
            <v>3</v>
          </cell>
          <cell r="M143">
            <v>6</v>
          </cell>
          <cell r="N143">
            <v>3</v>
          </cell>
          <cell r="O143">
            <v>0</v>
          </cell>
          <cell r="P143">
            <v>0</v>
          </cell>
          <cell r="Q143">
            <v>10</v>
          </cell>
          <cell r="R143">
            <v>3</v>
          </cell>
          <cell r="S143">
            <v>6</v>
          </cell>
          <cell r="T143">
            <v>4</v>
          </cell>
          <cell r="U143">
            <v>4</v>
          </cell>
          <cell r="V143">
            <v>0</v>
          </cell>
          <cell r="W143">
            <v>0</v>
          </cell>
          <cell r="X143">
            <v>5</v>
          </cell>
          <cell r="Y143">
            <v>8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1</v>
          </cell>
          <cell r="AF143">
            <v>3</v>
          </cell>
          <cell r="AG143">
            <v>3</v>
          </cell>
          <cell r="AH143">
            <v>3</v>
          </cell>
          <cell r="AI143">
            <v>3</v>
          </cell>
          <cell r="AJ143">
            <v>0</v>
          </cell>
          <cell r="AK143">
            <v>0</v>
          </cell>
          <cell r="AL143">
            <v>0</v>
          </cell>
          <cell r="AM143">
            <v>70</v>
          </cell>
        </row>
        <row r="144">
          <cell r="AM144">
            <v>0</v>
          </cell>
        </row>
        <row r="145">
          <cell r="AM145">
            <v>0</v>
          </cell>
        </row>
        <row r="146">
          <cell r="AM146">
            <v>0</v>
          </cell>
        </row>
        <row r="147">
          <cell r="AM147">
            <v>0</v>
          </cell>
        </row>
        <row r="148">
          <cell r="AM148">
            <v>0</v>
          </cell>
        </row>
        <row r="149">
          <cell r="AM149">
            <v>0</v>
          </cell>
        </row>
        <row r="150">
          <cell r="AM150">
            <v>0</v>
          </cell>
        </row>
        <row r="151">
          <cell r="AM151">
            <v>0</v>
          </cell>
        </row>
        <row r="152">
          <cell r="B152" t="str">
            <v>計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</row>
      </sheetData>
      <sheetData sheetId="5"/>
      <sheetData sheetId="6">
        <row r="13">
          <cell r="B13">
            <v>1285400</v>
          </cell>
          <cell r="C13" t="str">
            <v>梱包計画</v>
          </cell>
          <cell r="D13">
            <v>65</v>
          </cell>
          <cell r="E13">
            <v>0</v>
          </cell>
          <cell r="F13">
            <v>0</v>
          </cell>
          <cell r="G13">
            <v>65</v>
          </cell>
          <cell r="H13">
            <v>65</v>
          </cell>
          <cell r="I13">
            <v>65</v>
          </cell>
          <cell r="J13">
            <v>70</v>
          </cell>
          <cell r="K13">
            <v>70</v>
          </cell>
          <cell r="L13">
            <v>0</v>
          </cell>
          <cell r="M13">
            <v>0</v>
          </cell>
          <cell r="N13">
            <v>55</v>
          </cell>
          <cell r="O13">
            <v>55</v>
          </cell>
          <cell r="P13">
            <v>55</v>
          </cell>
          <cell r="Q13">
            <v>60</v>
          </cell>
          <cell r="R13">
            <v>60</v>
          </cell>
          <cell r="S13">
            <v>0</v>
          </cell>
          <cell r="T13">
            <v>0</v>
          </cell>
          <cell r="U13">
            <v>35</v>
          </cell>
          <cell r="V13">
            <v>35</v>
          </cell>
          <cell r="W13">
            <v>35</v>
          </cell>
          <cell r="X13">
            <v>40</v>
          </cell>
          <cell r="Y13">
            <v>40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</row>
        <row r="14">
          <cell r="C14" t="str">
            <v>(調整）</v>
          </cell>
          <cell r="G14">
            <v>20</v>
          </cell>
          <cell r="H14">
            <v>20</v>
          </cell>
          <cell r="I14">
            <v>20</v>
          </cell>
          <cell r="J14">
            <v>20</v>
          </cell>
          <cell r="K14">
            <v>20</v>
          </cell>
          <cell r="N14">
            <v>10</v>
          </cell>
          <cell r="O14">
            <v>10</v>
          </cell>
          <cell r="P14">
            <v>10</v>
          </cell>
          <cell r="Q14">
            <v>10</v>
          </cell>
          <cell r="R14">
            <v>10</v>
          </cell>
          <cell r="U14">
            <v>-10</v>
          </cell>
          <cell r="V14">
            <v>-10</v>
          </cell>
          <cell r="W14">
            <v>-10</v>
          </cell>
          <cell r="X14">
            <v>-10</v>
          </cell>
          <cell r="Y14">
            <v>-10</v>
          </cell>
          <cell r="AB14">
            <v>-45</v>
          </cell>
          <cell r="AC14">
            <v>-45</v>
          </cell>
          <cell r="AD14">
            <v>-45</v>
          </cell>
          <cell r="AE14">
            <v>-50</v>
          </cell>
          <cell r="AF14">
            <v>-50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</row>
        <row r="20">
          <cell r="C20" t="str">
            <v>手直し等</v>
          </cell>
        </row>
        <row r="21">
          <cell r="C21" t="str">
            <v>出荷実績</v>
          </cell>
          <cell r="E21">
            <v>0</v>
          </cell>
          <cell r="F21">
            <v>0</v>
          </cell>
          <cell r="G21">
            <v>65</v>
          </cell>
          <cell r="H21">
            <v>65</v>
          </cell>
          <cell r="I21">
            <v>65</v>
          </cell>
          <cell r="J21">
            <v>70</v>
          </cell>
          <cell r="K21">
            <v>70</v>
          </cell>
          <cell r="L21">
            <v>0</v>
          </cell>
          <cell r="M21">
            <v>0</v>
          </cell>
          <cell r="N21">
            <v>60</v>
          </cell>
          <cell r="O21">
            <v>55</v>
          </cell>
          <cell r="P21">
            <v>55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</row>
        <row r="22">
          <cell r="C22" t="str">
            <v>停止時間（昼勤）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</row>
        <row r="23">
          <cell r="C23" t="str">
            <v>停止時間（夜勤）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</row>
        <row r="24">
          <cell r="B24">
            <v>1285400</v>
          </cell>
          <cell r="C24" t="str">
            <v>振替計画・実績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</row>
        <row r="25">
          <cell r="B25" t="str">
            <v>AW-Eのみ</v>
          </cell>
          <cell r="C25" t="str">
            <v>在庫計画</v>
          </cell>
          <cell r="D25">
            <v>410</v>
          </cell>
          <cell r="E25">
            <v>270</v>
          </cell>
          <cell r="F25">
            <v>270</v>
          </cell>
          <cell r="G25">
            <v>335</v>
          </cell>
          <cell r="H25">
            <v>400</v>
          </cell>
          <cell r="I25">
            <v>465</v>
          </cell>
          <cell r="J25">
            <v>372.5</v>
          </cell>
          <cell r="K25">
            <v>442.5</v>
          </cell>
          <cell r="L25">
            <v>282.5</v>
          </cell>
          <cell r="M25">
            <v>282.5</v>
          </cell>
          <cell r="N25">
            <v>345</v>
          </cell>
          <cell r="O25">
            <v>400</v>
          </cell>
          <cell r="P25">
            <v>455</v>
          </cell>
          <cell r="Q25">
            <v>392.5</v>
          </cell>
          <cell r="R25">
            <v>452.5</v>
          </cell>
          <cell r="S25">
            <v>332.5</v>
          </cell>
          <cell r="T25">
            <v>332.5</v>
          </cell>
          <cell r="U25">
            <v>380</v>
          </cell>
          <cell r="V25">
            <v>415</v>
          </cell>
          <cell r="W25">
            <v>330</v>
          </cell>
          <cell r="X25">
            <v>367.5</v>
          </cell>
          <cell r="Y25">
            <v>287.5</v>
          </cell>
          <cell r="Z25">
            <v>287.5</v>
          </cell>
          <cell r="AA25">
            <v>287.5</v>
          </cell>
          <cell r="AB25">
            <v>307.5</v>
          </cell>
          <cell r="AC25">
            <v>307.5</v>
          </cell>
          <cell r="AD25">
            <v>307.5</v>
          </cell>
          <cell r="AE25">
            <v>207.5</v>
          </cell>
          <cell r="AF25">
            <v>207.5</v>
          </cell>
          <cell r="AG25">
            <v>107.5</v>
          </cell>
          <cell r="AH25">
            <v>107.5</v>
          </cell>
          <cell r="AI25">
            <v>107.5</v>
          </cell>
        </row>
        <row r="26">
          <cell r="C26" t="str">
            <v>在庫実績(社内)</v>
          </cell>
          <cell r="D26">
            <v>5</v>
          </cell>
          <cell r="E26">
            <v>5</v>
          </cell>
          <cell r="F26">
            <v>5</v>
          </cell>
          <cell r="G26">
            <v>10</v>
          </cell>
          <cell r="H26">
            <v>10</v>
          </cell>
          <cell r="I26">
            <v>10</v>
          </cell>
          <cell r="J26">
            <v>5</v>
          </cell>
          <cell r="K26">
            <v>15</v>
          </cell>
          <cell r="L26">
            <v>15</v>
          </cell>
          <cell r="M26">
            <v>15</v>
          </cell>
          <cell r="N26">
            <v>5</v>
          </cell>
          <cell r="O26">
            <v>10</v>
          </cell>
          <cell r="P26">
            <v>5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</row>
        <row r="27">
          <cell r="C27" t="str">
            <v>在庫実績(物流)</v>
          </cell>
          <cell r="D27">
            <v>405</v>
          </cell>
          <cell r="E27">
            <v>265</v>
          </cell>
          <cell r="F27">
            <v>265</v>
          </cell>
          <cell r="G27">
            <v>330</v>
          </cell>
          <cell r="H27">
            <v>395</v>
          </cell>
          <cell r="I27">
            <v>460</v>
          </cell>
          <cell r="J27">
            <v>370</v>
          </cell>
          <cell r="K27">
            <v>440</v>
          </cell>
          <cell r="L27">
            <v>280</v>
          </cell>
          <cell r="M27">
            <v>280</v>
          </cell>
          <cell r="N27">
            <v>340</v>
          </cell>
          <cell r="O27">
            <v>395</v>
          </cell>
          <cell r="P27">
            <v>450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</row>
        <row r="28">
          <cell r="C28" t="str">
            <v>差異</v>
          </cell>
          <cell r="D28">
            <v>-5</v>
          </cell>
          <cell r="E28">
            <v>0</v>
          </cell>
          <cell r="F28">
            <v>0</v>
          </cell>
          <cell r="G28">
            <v>5</v>
          </cell>
          <cell r="H28">
            <v>5</v>
          </cell>
          <cell r="I28">
            <v>5</v>
          </cell>
          <cell r="J28">
            <v>2.5</v>
          </cell>
          <cell r="K28">
            <v>12.5</v>
          </cell>
          <cell r="L28">
            <v>12.5</v>
          </cell>
          <cell r="M28">
            <v>12.5</v>
          </cell>
          <cell r="N28">
            <v>0</v>
          </cell>
          <cell r="O28">
            <v>5</v>
          </cell>
          <cell r="P28">
            <v>0</v>
          </cell>
          <cell r="Q28">
            <v>-392.5</v>
          </cell>
          <cell r="R28">
            <v>-452.5</v>
          </cell>
          <cell r="S28">
            <v>-332.5</v>
          </cell>
          <cell r="T28">
            <v>-332.5</v>
          </cell>
          <cell r="U28">
            <v>-380</v>
          </cell>
          <cell r="V28">
            <v>-415</v>
          </cell>
          <cell r="W28">
            <v>-330</v>
          </cell>
          <cell r="X28">
            <v>-367.5</v>
          </cell>
          <cell r="Y28">
            <v>-287.5</v>
          </cell>
          <cell r="Z28">
            <v>-287.5</v>
          </cell>
          <cell r="AA28">
            <v>-287.5</v>
          </cell>
          <cell r="AB28">
            <v>-307.5</v>
          </cell>
          <cell r="AC28">
            <v>-307.5</v>
          </cell>
          <cell r="AD28">
            <v>-307.5</v>
          </cell>
          <cell r="AE28">
            <v>-207.5</v>
          </cell>
          <cell r="AF28">
            <v>-207.5</v>
          </cell>
          <cell r="AG28">
            <v>-107.5</v>
          </cell>
          <cell r="AH28">
            <v>-107.5</v>
          </cell>
          <cell r="AI28">
            <v>-107.5</v>
          </cell>
        </row>
        <row r="29">
          <cell r="C29" t="str">
            <v>ﾊﾞﾝﾆﾝｸﾞ計画</v>
          </cell>
          <cell r="E29">
            <v>140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160</v>
          </cell>
          <cell r="K29">
            <v>0</v>
          </cell>
          <cell r="L29">
            <v>160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120</v>
          </cell>
          <cell r="R29">
            <v>0</v>
          </cell>
          <cell r="S29">
            <v>120</v>
          </cell>
          <cell r="T29">
            <v>0</v>
          </cell>
          <cell r="U29">
            <v>0</v>
          </cell>
          <cell r="V29">
            <v>0</v>
          </cell>
          <cell r="W29">
            <v>120</v>
          </cell>
          <cell r="X29">
            <v>0</v>
          </cell>
          <cell r="Y29">
            <v>120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100</v>
          </cell>
          <cell r="AF29">
            <v>0</v>
          </cell>
          <cell r="AG29">
            <v>100</v>
          </cell>
          <cell r="AH29">
            <v>0</v>
          </cell>
          <cell r="AI29">
            <v>0</v>
          </cell>
        </row>
        <row r="30">
          <cell r="C30" t="str">
            <v>ｵｰﾀﾞｰ変更</v>
          </cell>
          <cell r="D30">
            <v>140</v>
          </cell>
          <cell r="E30">
            <v>0</v>
          </cell>
          <cell r="F30">
            <v>0</v>
          </cell>
          <cell r="G30">
            <v>0</v>
          </cell>
          <cell r="I30">
            <v>160</v>
          </cell>
          <cell r="K30">
            <v>160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120</v>
          </cell>
          <cell r="Q30">
            <v>0</v>
          </cell>
          <cell r="R30">
            <v>120</v>
          </cell>
          <cell r="S30">
            <v>0</v>
          </cell>
          <cell r="T30">
            <v>0</v>
          </cell>
          <cell r="U30">
            <v>0</v>
          </cell>
          <cell r="V30">
            <v>120</v>
          </cell>
          <cell r="W30">
            <v>0</v>
          </cell>
          <cell r="X30">
            <v>120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D30">
            <v>100</v>
          </cell>
          <cell r="AE30">
            <v>0</v>
          </cell>
          <cell r="AF30">
            <v>100</v>
          </cell>
          <cell r="AG30">
            <v>0</v>
          </cell>
          <cell r="AH30">
            <v>0</v>
          </cell>
          <cell r="AI30">
            <v>0</v>
          </cell>
        </row>
        <row r="31">
          <cell r="C31" t="str">
            <v>20日情報
(工場出荷)</v>
          </cell>
          <cell r="E31">
            <v>0</v>
          </cell>
          <cell r="F31">
            <v>0</v>
          </cell>
          <cell r="G31">
            <v>0</v>
          </cell>
          <cell r="H31">
            <v>160</v>
          </cell>
          <cell r="I31">
            <v>0</v>
          </cell>
          <cell r="J31">
            <v>160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120</v>
          </cell>
          <cell r="Q31">
            <v>0</v>
          </cell>
          <cell r="R31">
            <v>120</v>
          </cell>
          <cell r="S31">
            <v>0</v>
          </cell>
          <cell r="T31">
            <v>0</v>
          </cell>
          <cell r="U31">
            <v>0</v>
          </cell>
          <cell r="V31">
            <v>120</v>
          </cell>
          <cell r="W31">
            <v>0</v>
          </cell>
          <cell r="X31">
            <v>120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100</v>
          </cell>
          <cell r="AE31">
            <v>0</v>
          </cell>
          <cell r="AF31">
            <v>100</v>
          </cell>
          <cell r="AG31">
            <v>0</v>
          </cell>
          <cell r="AH31">
            <v>0</v>
          </cell>
          <cell r="AI31">
            <v>0</v>
          </cell>
        </row>
        <row r="32">
          <cell r="B32">
            <v>1285401</v>
          </cell>
          <cell r="C32" t="str">
            <v>梱包計画</v>
          </cell>
          <cell r="D32">
            <v>25</v>
          </cell>
          <cell r="E32">
            <v>0</v>
          </cell>
          <cell r="F32">
            <v>0</v>
          </cell>
          <cell r="G32">
            <v>5</v>
          </cell>
          <cell r="H32">
            <v>5</v>
          </cell>
          <cell r="I32">
            <v>5</v>
          </cell>
          <cell r="J32">
            <v>5</v>
          </cell>
          <cell r="K32">
            <v>5</v>
          </cell>
          <cell r="L32">
            <v>0</v>
          </cell>
          <cell r="M32">
            <v>0</v>
          </cell>
          <cell r="N32">
            <v>5</v>
          </cell>
          <cell r="O32">
            <v>5</v>
          </cell>
          <cell r="P32">
            <v>5</v>
          </cell>
          <cell r="Q32">
            <v>5</v>
          </cell>
          <cell r="R32">
            <v>5</v>
          </cell>
          <cell r="S32">
            <v>0</v>
          </cell>
          <cell r="T32">
            <v>0</v>
          </cell>
          <cell r="U32">
            <v>10</v>
          </cell>
          <cell r="V32">
            <v>10</v>
          </cell>
          <cell r="W32">
            <v>10</v>
          </cell>
          <cell r="X32">
            <v>10</v>
          </cell>
          <cell r="Y32">
            <v>10</v>
          </cell>
          <cell r="Z32">
            <v>0</v>
          </cell>
          <cell r="AA32">
            <v>0</v>
          </cell>
          <cell r="AB32">
            <v>35</v>
          </cell>
          <cell r="AC32">
            <v>35</v>
          </cell>
          <cell r="AD32">
            <v>35</v>
          </cell>
          <cell r="AE32">
            <v>40</v>
          </cell>
          <cell r="AF32">
            <v>40</v>
          </cell>
          <cell r="AG32">
            <v>0</v>
          </cell>
          <cell r="AH32">
            <v>0</v>
          </cell>
          <cell r="AI32">
            <v>0</v>
          </cell>
        </row>
        <row r="33">
          <cell r="C33" t="str">
            <v>(調整）</v>
          </cell>
          <cell r="U33">
            <v>5</v>
          </cell>
          <cell r="V33">
            <v>5</v>
          </cell>
          <cell r="W33">
            <v>5</v>
          </cell>
          <cell r="X33">
            <v>5</v>
          </cell>
          <cell r="Y33">
            <v>5</v>
          </cell>
          <cell r="AB33">
            <v>30</v>
          </cell>
          <cell r="AC33">
            <v>30</v>
          </cell>
          <cell r="AD33">
            <v>30</v>
          </cell>
          <cell r="AE33">
            <v>35</v>
          </cell>
          <cell r="AF33">
            <v>35</v>
          </cell>
        </row>
        <row r="34"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</row>
        <row r="35">
          <cell r="D35">
            <v>10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</row>
        <row r="36"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</row>
        <row r="37"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</row>
        <row r="39">
          <cell r="C39" t="str">
            <v>手直し等</v>
          </cell>
        </row>
        <row r="40">
          <cell r="C40" t="str">
            <v>出荷実績</v>
          </cell>
          <cell r="E40">
            <v>0</v>
          </cell>
          <cell r="F40">
            <v>0</v>
          </cell>
          <cell r="G40">
            <v>5</v>
          </cell>
          <cell r="H40">
            <v>5</v>
          </cell>
          <cell r="I40">
            <v>5</v>
          </cell>
          <cell r="J40">
            <v>5</v>
          </cell>
          <cell r="K40">
            <v>5</v>
          </cell>
          <cell r="L40">
            <v>0</v>
          </cell>
          <cell r="M40">
            <v>0</v>
          </cell>
          <cell r="N40">
            <v>5</v>
          </cell>
          <cell r="O40">
            <v>5</v>
          </cell>
          <cell r="P40">
            <v>5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</row>
        <row r="41">
          <cell r="C41" t="str">
            <v>停止時間（昼勤）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</row>
        <row r="42">
          <cell r="C42" t="str">
            <v>停止時間（夜勤）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</row>
        <row r="43">
          <cell r="B43">
            <v>1285401</v>
          </cell>
          <cell r="C43" t="str">
            <v>振替計画・実績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</row>
        <row r="44">
          <cell r="B44" t="str">
            <v>AW-Eのみ</v>
          </cell>
          <cell r="C44" t="str">
            <v>在庫計画</v>
          </cell>
          <cell r="D44">
            <v>149</v>
          </cell>
          <cell r="E44">
            <v>149</v>
          </cell>
          <cell r="F44">
            <v>149</v>
          </cell>
          <cell r="G44">
            <v>164</v>
          </cell>
          <cell r="H44">
            <v>169</v>
          </cell>
          <cell r="I44">
            <v>174</v>
          </cell>
          <cell r="J44">
            <v>139</v>
          </cell>
          <cell r="K44">
            <v>144</v>
          </cell>
          <cell r="L44">
            <v>114</v>
          </cell>
          <cell r="M44">
            <v>114</v>
          </cell>
          <cell r="N44">
            <v>119</v>
          </cell>
          <cell r="O44">
            <v>124</v>
          </cell>
          <cell r="P44">
            <v>129</v>
          </cell>
          <cell r="Q44">
            <v>114</v>
          </cell>
          <cell r="R44">
            <v>119</v>
          </cell>
          <cell r="S44">
            <v>99</v>
          </cell>
          <cell r="T44">
            <v>99</v>
          </cell>
          <cell r="U44">
            <v>106.5</v>
          </cell>
          <cell r="V44">
            <v>106.5</v>
          </cell>
          <cell r="W44">
            <v>96.5</v>
          </cell>
          <cell r="X44">
            <v>106.5</v>
          </cell>
          <cell r="Y44">
            <v>96.5</v>
          </cell>
          <cell r="Z44">
            <v>96.5</v>
          </cell>
          <cell r="AA44">
            <v>96.5</v>
          </cell>
          <cell r="AB44">
            <v>119</v>
          </cell>
          <cell r="AC44">
            <v>154</v>
          </cell>
          <cell r="AD44">
            <v>189</v>
          </cell>
          <cell r="AE44">
            <v>201.5</v>
          </cell>
          <cell r="AF44">
            <v>241.5</v>
          </cell>
          <cell r="AG44">
            <v>221.5</v>
          </cell>
          <cell r="AH44">
            <v>221.5</v>
          </cell>
          <cell r="AI44">
            <v>221.5</v>
          </cell>
        </row>
        <row r="45">
          <cell r="C45" t="str">
            <v>在庫実績(社内)</v>
          </cell>
          <cell r="D45">
            <v>4</v>
          </cell>
          <cell r="E45">
            <v>4</v>
          </cell>
          <cell r="F45">
            <v>4</v>
          </cell>
          <cell r="G45">
            <v>4</v>
          </cell>
          <cell r="H45">
            <v>4</v>
          </cell>
          <cell r="I45">
            <v>4</v>
          </cell>
          <cell r="J45">
            <v>4</v>
          </cell>
          <cell r="K45">
            <v>4</v>
          </cell>
          <cell r="L45">
            <v>4</v>
          </cell>
          <cell r="M45">
            <v>4</v>
          </cell>
          <cell r="N45">
            <v>4</v>
          </cell>
          <cell r="O45">
            <v>4</v>
          </cell>
          <cell r="P45">
            <v>4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</row>
        <row r="46">
          <cell r="C46" t="str">
            <v>在庫実績(物流)</v>
          </cell>
          <cell r="D46">
            <v>145</v>
          </cell>
          <cell r="E46">
            <v>145</v>
          </cell>
          <cell r="F46">
            <v>145</v>
          </cell>
          <cell r="G46">
            <v>150</v>
          </cell>
          <cell r="H46">
            <v>155</v>
          </cell>
          <cell r="I46">
            <v>160</v>
          </cell>
          <cell r="J46">
            <v>125</v>
          </cell>
          <cell r="K46">
            <v>130</v>
          </cell>
          <cell r="L46">
            <v>100</v>
          </cell>
          <cell r="M46">
            <v>100</v>
          </cell>
          <cell r="N46">
            <v>105</v>
          </cell>
          <cell r="O46">
            <v>110</v>
          </cell>
          <cell r="P46">
            <v>115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</row>
        <row r="47">
          <cell r="C47" t="str">
            <v>差異</v>
          </cell>
          <cell r="D47">
            <v>-4</v>
          </cell>
          <cell r="E47">
            <v>0</v>
          </cell>
          <cell r="F47">
            <v>0</v>
          </cell>
          <cell r="G47">
            <v>-10</v>
          </cell>
          <cell r="H47">
            <v>-10</v>
          </cell>
          <cell r="I47">
            <v>-10</v>
          </cell>
          <cell r="J47">
            <v>-10</v>
          </cell>
          <cell r="K47">
            <v>-10</v>
          </cell>
          <cell r="L47">
            <v>-10</v>
          </cell>
          <cell r="M47">
            <v>-10</v>
          </cell>
          <cell r="N47">
            <v>-10</v>
          </cell>
          <cell r="O47">
            <v>-10</v>
          </cell>
          <cell r="P47">
            <v>-10</v>
          </cell>
          <cell r="Q47">
            <v>-114</v>
          </cell>
          <cell r="R47">
            <v>-119</v>
          </cell>
          <cell r="S47">
            <v>-99</v>
          </cell>
          <cell r="T47">
            <v>-99</v>
          </cell>
          <cell r="U47">
            <v>-106.5</v>
          </cell>
          <cell r="V47">
            <v>-106.5</v>
          </cell>
          <cell r="W47">
            <v>-96.5</v>
          </cell>
          <cell r="X47">
            <v>-106.5</v>
          </cell>
          <cell r="Y47">
            <v>-96.5</v>
          </cell>
          <cell r="Z47">
            <v>-96.5</v>
          </cell>
          <cell r="AA47">
            <v>-96.5</v>
          </cell>
          <cell r="AB47">
            <v>-119</v>
          </cell>
          <cell r="AC47">
            <v>-154</v>
          </cell>
          <cell r="AD47">
            <v>-189</v>
          </cell>
          <cell r="AE47">
            <v>-201.5</v>
          </cell>
          <cell r="AF47">
            <v>-241.5</v>
          </cell>
          <cell r="AG47">
            <v>-221.5</v>
          </cell>
          <cell r="AH47">
            <v>-221.5</v>
          </cell>
          <cell r="AI47">
            <v>-221.5</v>
          </cell>
        </row>
        <row r="48">
          <cell r="C48" t="str">
            <v>ﾊﾞﾝﾆﾝｸﾞ計画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40</v>
          </cell>
          <cell r="K48">
            <v>0</v>
          </cell>
          <cell r="L48">
            <v>30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20</v>
          </cell>
          <cell r="R48">
            <v>0</v>
          </cell>
          <cell r="S48">
            <v>20</v>
          </cell>
          <cell r="T48">
            <v>0</v>
          </cell>
          <cell r="U48">
            <v>0</v>
          </cell>
          <cell r="V48">
            <v>10</v>
          </cell>
          <cell r="W48">
            <v>20</v>
          </cell>
          <cell r="X48">
            <v>0</v>
          </cell>
          <cell r="Y48">
            <v>20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25</v>
          </cell>
          <cell r="AF48">
            <v>0</v>
          </cell>
          <cell r="AG48">
            <v>20</v>
          </cell>
          <cell r="AH48">
            <v>0</v>
          </cell>
          <cell r="AI48">
            <v>0</v>
          </cell>
        </row>
        <row r="49">
          <cell r="C49" t="str">
            <v>ｵｰﾀﾞｰ変更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I49">
            <v>40</v>
          </cell>
          <cell r="K49">
            <v>30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20</v>
          </cell>
          <cell r="Q49">
            <v>0</v>
          </cell>
          <cell r="R49">
            <v>20</v>
          </cell>
          <cell r="S49">
            <v>0</v>
          </cell>
          <cell r="T49">
            <v>0</v>
          </cell>
          <cell r="U49">
            <v>10</v>
          </cell>
          <cell r="V49">
            <v>20</v>
          </cell>
          <cell r="W49">
            <v>0</v>
          </cell>
          <cell r="X49">
            <v>20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25</v>
          </cell>
          <cell r="AE49">
            <v>0</v>
          </cell>
          <cell r="AF49">
            <v>20</v>
          </cell>
          <cell r="AG49">
            <v>0</v>
          </cell>
          <cell r="AH49">
            <v>0</v>
          </cell>
          <cell r="AI49">
            <v>0</v>
          </cell>
        </row>
        <row r="50">
          <cell r="C50" t="str">
            <v>20日情報
(工場出荷)</v>
          </cell>
          <cell r="E50">
            <v>0</v>
          </cell>
          <cell r="F50">
            <v>0</v>
          </cell>
          <cell r="G50">
            <v>0</v>
          </cell>
          <cell r="H50">
            <v>40</v>
          </cell>
          <cell r="I50">
            <v>0</v>
          </cell>
          <cell r="J50">
            <v>30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20</v>
          </cell>
          <cell r="Q50">
            <v>0</v>
          </cell>
          <cell r="R50">
            <v>30</v>
          </cell>
          <cell r="S50">
            <v>0</v>
          </cell>
          <cell r="T50">
            <v>0</v>
          </cell>
          <cell r="U50">
            <v>0</v>
          </cell>
          <cell r="V50">
            <v>20</v>
          </cell>
          <cell r="W50">
            <v>0</v>
          </cell>
          <cell r="X50">
            <v>20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25</v>
          </cell>
          <cell r="AE50">
            <v>0</v>
          </cell>
          <cell r="AF50">
            <v>20</v>
          </cell>
          <cell r="AG50">
            <v>0</v>
          </cell>
          <cell r="AH50">
            <v>0</v>
          </cell>
          <cell r="AI50">
            <v>0</v>
          </cell>
        </row>
        <row r="51">
          <cell r="B51">
            <v>1285436</v>
          </cell>
          <cell r="C51" t="str">
            <v>梱包計画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</row>
        <row r="52">
          <cell r="C52" t="str">
            <v>(調整）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</row>
        <row r="54"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</row>
        <row r="55"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</row>
        <row r="56"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</row>
        <row r="57"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</row>
        <row r="58">
          <cell r="C58" t="str">
            <v>手直し等</v>
          </cell>
        </row>
        <row r="59">
          <cell r="C59" t="str">
            <v>出荷実績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</row>
        <row r="60">
          <cell r="C60" t="str">
            <v>停止時間（昼勤）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</row>
        <row r="61">
          <cell r="C61" t="str">
            <v>停止時間（夜勤）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</row>
        <row r="62">
          <cell r="B62">
            <v>1285436</v>
          </cell>
          <cell r="C62" t="str">
            <v>振替計画・実績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</row>
        <row r="63">
          <cell r="B63" t="str">
            <v>AW-E/NC</v>
          </cell>
          <cell r="C63" t="str">
            <v>在庫計画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</row>
        <row r="64">
          <cell r="C64" t="str">
            <v>在庫実績(社内)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</row>
        <row r="65">
          <cell r="C65" t="str">
            <v>在庫実績(物流)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</row>
        <row r="66">
          <cell r="C66" t="str">
            <v>差異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</row>
        <row r="67">
          <cell r="B67" t="str">
            <v>ＶＯＬＶＯ　ＡＷＮＣ</v>
          </cell>
          <cell r="C67" t="str">
            <v>ﾊﾞﾝﾆﾝｸﾞ計画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</row>
        <row r="68">
          <cell r="C68" t="str">
            <v>ｵｰﾀﾞｰ変更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</row>
        <row r="69">
          <cell r="C69" t="str">
            <v>20日情報
(工場出荷)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</row>
        <row r="70">
          <cell r="B70" t="str">
            <v>AW-E</v>
          </cell>
          <cell r="C70" t="str">
            <v>ﾊﾞﾝﾆﾝｸﾞ計画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</row>
        <row r="71">
          <cell r="C71" t="str">
            <v>ｵｰﾀﾞｰ変更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</row>
        <row r="72">
          <cell r="C72" t="str">
            <v>20日情報
(工場出荷)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</row>
        <row r="73">
          <cell r="B73">
            <v>1285437</v>
          </cell>
          <cell r="C73" t="str">
            <v>梱包計画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</row>
        <row r="74">
          <cell r="C74" t="str">
            <v>(調整）</v>
          </cell>
        </row>
        <row r="75"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</row>
        <row r="77"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</row>
        <row r="78"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</row>
        <row r="79"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</row>
        <row r="80">
          <cell r="C80" t="str">
            <v>手直し等</v>
          </cell>
        </row>
        <row r="81">
          <cell r="C81" t="str">
            <v>出荷実績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</row>
        <row r="82">
          <cell r="C82" t="str">
            <v>停止時間（昼勤）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</row>
        <row r="83">
          <cell r="C83" t="str">
            <v>停止時間（夜勤）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</row>
        <row r="84">
          <cell r="B84">
            <v>1285437</v>
          </cell>
          <cell r="C84" t="str">
            <v>振替計画・実績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</row>
        <row r="85">
          <cell r="B85" t="str">
            <v>AW-E/NC</v>
          </cell>
          <cell r="C85" t="str">
            <v>在庫計画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</row>
        <row r="86">
          <cell r="C86" t="str">
            <v>在庫実績(社内)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</row>
        <row r="87">
          <cell r="C87" t="str">
            <v>在庫実績(物流)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</row>
        <row r="88">
          <cell r="C88" t="str">
            <v>差異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</row>
        <row r="89">
          <cell r="B89" t="str">
            <v>ＶＯＬＶＯ　ＡＷＮＣ</v>
          </cell>
          <cell r="C89" t="str">
            <v>ﾊﾞﾝﾆﾝｸﾞ計画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</row>
        <row r="90">
          <cell r="C90" t="str">
            <v>ｵｰﾀﾞｰ変更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</row>
        <row r="91">
          <cell r="C91" t="str">
            <v>20日情報
(工場出荷)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</row>
        <row r="92">
          <cell r="B92" t="str">
            <v>AW-E</v>
          </cell>
          <cell r="C92" t="str">
            <v>ﾊﾞﾝﾆﾝｸﾞ計画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</row>
        <row r="93">
          <cell r="C93" t="str">
            <v>ｵｰﾀﾞｰ変更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</row>
        <row r="94">
          <cell r="C94" t="str">
            <v>20日情報
(工場出荷)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</row>
        <row r="95">
          <cell r="B95">
            <v>1285438</v>
          </cell>
          <cell r="C95" t="str">
            <v>梱包計画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5</v>
          </cell>
          <cell r="AC95">
            <v>5</v>
          </cell>
          <cell r="AD95">
            <v>5</v>
          </cell>
          <cell r="AE95">
            <v>5</v>
          </cell>
          <cell r="AF95">
            <v>5</v>
          </cell>
          <cell r="AG95">
            <v>0</v>
          </cell>
          <cell r="AH95">
            <v>0</v>
          </cell>
          <cell r="AI95">
            <v>0</v>
          </cell>
        </row>
        <row r="96">
          <cell r="C96" t="str">
            <v>(調整）</v>
          </cell>
          <cell r="AB96">
            <v>5</v>
          </cell>
          <cell r="AC96">
            <v>5</v>
          </cell>
          <cell r="AD96">
            <v>5</v>
          </cell>
          <cell r="AE96">
            <v>5</v>
          </cell>
          <cell r="AF96">
            <v>5</v>
          </cell>
        </row>
        <row r="97"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</row>
        <row r="98"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</row>
        <row r="99"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</row>
        <row r="101"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</row>
        <row r="102">
          <cell r="C102" t="str">
            <v>手直し等</v>
          </cell>
        </row>
        <row r="103">
          <cell r="C103" t="str">
            <v>出荷実績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</row>
        <row r="104">
          <cell r="C104" t="str">
            <v>停止時間（昼勤）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</row>
        <row r="105">
          <cell r="C105" t="str">
            <v>停止時間（夜勤）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</row>
        <row r="106">
          <cell r="B106">
            <v>1285438</v>
          </cell>
          <cell r="C106" t="str">
            <v>振替計画・実績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</row>
        <row r="107">
          <cell r="B107" t="str">
            <v>AW-Eのみ</v>
          </cell>
          <cell r="C107" t="str">
            <v>在庫計画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2.5</v>
          </cell>
          <cell r="AC107">
            <v>7.5</v>
          </cell>
          <cell r="AD107">
            <v>12.5</v>
          </cell>
          <cell r="AE107">
            <v>17.5</v>
          </cell>
          <cell r="AF107">
            <v>22.5</v>
          </cell>
          <cell r="AG107">
            <v>22.5</v>
          </cell>
          <cell r="AH107">
            <v>25</v>
          </cell>
          <cell r="AI107">
            <v>27.5</v>
          </cell>
        </row>
        <row r="108">
          <cell r="C108" t="str">
            <v>在庫実績(社内)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5</v>
          </cell>
          <cell r="O108">
            <v>5</v>
          </cell>
          <cell r="P108">
            <v>5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</row>
        <row r="109">
          <cell r="C109" t="str">
            <v>在庫実績(物流)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</row>
        <row r="110">
          <cell r="C110" t="str">
            <v>差異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5</v>
          </cell>
          <cell r="O110">
            <v>5</v>
          </cell>
          <cell r="P110">
            <v>5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-2.5</v>
          </cell>
          <cell r="AC110">
            <v>-7.5</v>
          </cell>
          <cell r="AD110">
            <v>-12.5</v>
          </cell>
          <cell r="AE110">
            <v>-17.5</v>
          </cell>
          <cell r="AF110">
            <v>-22.5</v>
          </cell>
          <cell r="AG110">
            <v>-22.5</v>
          </cell>
          <cell r="AH110">
            <v>-25</v>
          </cell>
          <cell r="AI110">
            <v>-27.5</v>
          </cell>
        </row>
        <row r="111">
          <cell r="C111" t="str">
            <v>ﾊﾞﾝﾆﾝｸﾞ計画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</row>
        <row r="112">
          <cell r="C112" t="str">
            <v>ｵｰﾀﾞｰ変更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</row>
        <row r="113">
          <cell r="C113" t="str">
            <v>20日情報
(工場出荷)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</row>
        <row r="117">
          <cell r="B117">
            <v>1285439</v>
          </cell>
          <cell r="C117" t="str">
            <v>梱包計画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</row>
        <row r="118">
          <cell r="C118" t="str">
            <v>(調整）</v>
          </cell>
        </row>
        <row r="119"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</row>
        <row r="120"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</row>
        <row r="121"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</row>
        <row r="122"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</row>
        <row r="123"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</row>
        <row r="124">
          <cell r="C124" t="str">
            <v>手直し等</v>
          </cell>
        </row>
        <row r="125">
          <cell r="C125" t="str">
            <v>出荷実績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</row>
        <row r="126">
          <cell r="C126" t="str">
            <v>停止時間（昼勤）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</row>
        <row r="127">
          <cell r="C127" t="str">
            <v>停止時間（夜勤）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</row>
        <row r="128">
          <cell r="B128">
            <v>1285439</v>
          </cell>
          <cell r="C128" t="str">
            <v>振替計画・実績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</row>
        <row r="129">
          <cell r="B129" t="str">
            <v>AW-Eのみ</v>
          </cell>
          <cell r="C129" t="str">
            <v>在庫計画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</row>
        <row r="130">
          <cell r="C130" t="str">
            <v>在庫実績(社内)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</row>
        <row r="131">
          <cell r="C131" t="str">
            <v>在庫実績(物流)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</row>
        <row r="132">
          <cell r="C132" t="str">
            <v>差異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</row>
        <row r="133">
          <cell r="C133" t="str">
            <v>ﾊﾞﾝﾆﾝｸﾞ計画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</row>
        <row r="134">
          <cell r="C134" t="str">
            <v>ｵｰﾀﾞｰ変更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</row>
        <row r="135">
          <cell r="C135" t="str">
            <v>20日情報
(工場出荷)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</row>
        <row r="136">
          <cell r="B136">
            <v>1285465</v>
          </cell>
          <cell r="C136" t="str">
            <v>梱包計画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30</v>
          </cell>
          <cell r="AC136">
            <v>30</v>
          </cell>
          <cell r="AD136">
            <v>30</v>
          </cell>
          <cell r="AE136">
            <v>30</v>
          </cell>
          <cell r="AF136">
            <v>30</v>
          </cell>
          <cell r="AG136">
            <v>0</v>
          </cell>
          <cell r="AH136">
            <v>0</v>
          </cell>
          <cell r="AI136">
            <v>0</v>
          </cell>
        </row>
        <row r="137">
          <cell r="C137" t="str">
            <v>(調整）</v>
          </cell>
          <cell r="G137">
            <v>-15</v>
          </cell>
          <cell r="H137">
            <v>-15</v>
          </cell>
          <cell r="I137">
            <v>-15</v>
          </cell>
          <cell r="J137">
            <v>-15</v>
          </cell>
          <cell r="K137">
            <v>-15</v>
          </cell>
          <cell r="N137">
            <v>-15</v>
          </cell>
          <cell r="O137">
            <v>-15</v>
          </cell>
          <cell r="P137">
            <v>-15</v>
          </cell>
          <cell r="Q137">
            <v>-15</v>
          </cell>
          <cell r="R137">
            <v>-15</v>
          </cell>
          <cell r="U137">
            <v>-15</v>
          </cell>
          <cell r="V137">
            <v>-15</v>
          </cell>
          <cell r="W137">
            <v>-15</v>
          </cell>
          <cell r="X137">
            <v>-15</v>
          </cell>
          <cell r="Y137">
            <v>-15</v>
          </cell>
          <cell r="AB137">
            <v>15</v>
          </cell>
          <cell r="AC137">
            <v>15</v>
          </cell>
          <cell r="AD137">
            <v>15</v>
          </cell>
          <cell r="AE137">
            <v>15</v>
          </cell>
          <cell r="AF137">
            <v>15</v>
          </cell>
        </row>
        <row r="138"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</row>
        <row r="141"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</row>
        <row r="142"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</row>
        <row r="143">
          <cell r="C143" t="str">
            <v>手直し等</v>
          </cell>
        </row>
        <row r="144">
          <cell r="C144" t="str">
            <v>出荷実績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</row>
        <row r="145">
          <cell r="C145" t="str">
            <v>停止時間（昼勤）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</row>
        <row r="146">
          <cell r="C146" t="str">
            <v>停止時間（夜勤）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</row>
        <row r="147">
          <cell r="B147">
            <v>1285465</v>
          </cell>
          <cell r="C147" t="str">
            <v>振替計画・実績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</row>
        <row r="148">
          <cell r="B148" t="str">
            <v>AW-Eのみ</v>
          </cell>
          <cell r="C148" t="str">
            <v>在庫計画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15</v>
          </cell>
          <cell r="AC148">
            <v>45</v>
          </cell>
          <cell r="AD148">
            <v>75</v>
          </cell>
          <cell r="AE148">
            <v>105</v>
          </cell>
          <cell r="AF148">
            <v>135</v>
          </cell>
          <cell r="AG148">
            <v>135</v>
          </cell>
          <cell r="AH148">
            <v>135</v>
          </cell>
          <cell r="AI148">
            <v>135</v>
          </cell>
        </row>
        <row r="149">
          <cell r="C149" t="str">
            <v>在庫実績(社内)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</row>
        <row r="150">
          <cell r="C150" t="str">
            <v>在庫実績(物流)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</row>
        <row r="151">
          <cell r="C151" t="str">
            <v>差異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-15</v>
          </cell>
          <cell r="AC151">
            <v>-45</v>
          </cell>
          <cell r="AD151">
            <v>-75</v>
          </cell>
          <cell r="AE151">
            <v>-105</v>
          </cell>
          <cell r="AF151">
            <v>-135</v>
          </cell>
          <cell r="AG151">
            <v>-135</v>
          </cell>
          <cell r="AH151">
            <v>-135</v>
          </cell>
          <cell r="AI151">
            <v>-135</v>
          </cell>
        </row>
        <row r="152">
          <cell r="C152" t="str">
            <v>ﾊﾞﾝﾆﾝｸﾞ計画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</row>
        <row r="153">
          <cell r="C153" t="str">
            <v>ｵｰﾀﾞｰ変更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</row>
        <row r="154">
          <cell r="C154" t="str">
            <v>20日情報
(工場出荷)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</row>
        <row r="155">
          <cell r="B155">
            <v>1285466</v>
          </cell>
          <cell r="C155" t="str">
            <v>梱包計画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10</v>
          </cell>
          <cell r="AC155">
            <v>10</v>
          </cell>
          <cell r="AD155">
            <v>15</v>
          </cell>
          <cell r="AE155">
            <v>20</v>
          </cell>
          <cell r="AF155">
            <v>20</v>
          </cell>
          <cell r="AG155">
            <v>0</v>
          </cell>
          <cell r="AH155">
            <v>0</v>
          </cell>
          <cell r="AI155">
            <v>0</v>
          </cell>
        </row>
        <row r="156">
          <cell r="C156" t="str">
            <v>(調整）</v>
          </cell>
          <cell r="G156">
            <v>-5</v>
          </cell>
          <cell r="H156">
            <v>-5</v>
          </cell>
          <cell r="I156">
            <v>-5</v>
          </cell>
          <cell r="J156">
            <v>-10</v>
          </cell>
          <cell r="K156">
            <v>-10</v>
          </cell>
          <cell r="N156">
            <v>-5</v>
          </cell>
          <cell r="O156">
            <v>-5</v>
          </cell>
          <cell r="P156">
            <v>-5</v>
          </cell>
          <cell r="Q156">
            <v>-10</v>
          </cell>
          <cell r="R156">
            <v>-10</v>
          </cell>
          <cell r="U156">
            <v>-5</v>
          </cell>
          <cell r="V156">
            <v>-5</v>
          </cell>
          <cell r="W156">
            <v>-5</v>
          </cell>
          <cell r="X156">
            <v>-10</v>
          </cell>
          <cell r="Y156">
            <v>-10</v>
          </cell>
          <cell r="AB156">
            <v>5</v>
          </cell>
          <cell r="AC156">
            <v>5</v>
          </cell>
          <cell r="AD156">
            <v>10</v>
          </cell>
          <cell r="AE156">
            <v>10</v>
          </cell>
          <cell r="AF156">
            <v>10</v>
          </cell>
        </row>
        <row r="157"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</row>
        <row r="158"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</row>
        <row r="159"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</row>
        <row r="160"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</row>
        <row r="161"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</row>
        <row r="162">
          <cell r="C162" t="str">
            <v>手直し等</v>
          </cell>
        </row>
        <row r="163">
          <cell r="C163" t="str">
            <v>出荷実績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</row>
        <row r="164">
          <cell r="C164" t="str">
            <v>停止時間（昼勤）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</row>
        <row r="165">
          <cell r="C165" t="str">
            <v>停止時間（夜勤）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</row>
        <row r="166">
          <cell r="B166">
            <v>1285466</v>
          </cell>
          <cell r="C166" t="str">
            <v>振替計画・実績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</row>
        <row r="167">
          <cell r="B167" t="str">
            <v>AW-Eのみ</v>
          </cell>
          <cell r="C167" t="str">
            <v>在庫計画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5</v>
          </cell>
          <cell r="AC167">
            <v>15</v>
          </cell>
          <cell r="AD167">
            <v>27.5</v>
          </cell>
          <cell r="AE167">
            <v>45</v>
          </cell>
          <cell r="AF167">
            <v>65</v>
          </cell>
          <cell r="AG167">
            <v>65</v>
          </cell>
          <cell r="AH167">
            <v>65</v>
          </cell>
          <cell r="AI167">
            <v>65</v>
          </cell>
        </row>
        <row r="168">
          <cell r="C168" t="str">
            <v>在庫実績(社内)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</row>
        <row r="169">
          <cell r="C169" t="str">
            <v>在庫実績(物流)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</row>
        <row r="170">
          <cell r="C170" t="str">
            <v>差異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-5</v>
          </cell>
          <cell r="AC170">
            <v>-15</v>
          </cell>
          <cell r="AD170">
            <v>-27.5</v>
          </cell>
          <cell r="AE170">
            <v>-45</v>
          </cell>
          <cell r="AF170">
            <v>-65</v>
          </cell>
          <cell r="AG170">
            <v>-65</v>
          </cell>
          <cell r="AH170">
            <v>-65</v>
          </cell>
          <cell r="AI170">
            <v>-65</v>
          </cell>
        </row>
        <row r="171">
          <cell r="C171" t="str">
            <v>ﾊﾞﾝﾆﾝｸﾞ計画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</row>
        <row r="172">
          <cell r="C172" t="str">
            <v>ｵｰﾀﾞｰ変更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</row>
        <row r="173">
          <cell r="C173" t="str">
            <v>20日情報
(工場出荷)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</row>
        <row r="174">
          <cell r="B174">
            <v>1285468</v>
          </cell>
          <cell r="C174" t="str">
            <v>梱包計画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15</v>
          </cell>
          <cell r="O174">
            <v>15</v>
          </cell>
          <cell r="P174">
            <v>15</v>
          </cell>
          <cell r="Q174">
            <v>15</v>
          </cell>
          <cell r="R174">
            <v>15</v>
          </cell>
          <cell r="S174">
            <v>0</v>
          </cell>
          <cell r="T174">
            <v>0</v>
          </cell>
          <cell r="U174">
            <v>25</v>
          </cell>
          <cell r="V174">
            <v>25</v>
          </cell>
          <cell r="W174">
            <v>25</v>
          </cell>
          <cell r="X174">
            <v>25</v>
          </cell>
          <cell r="Y174">
            <v>25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</row>
        <row r="175">
          <cell r="C175" t="str">
            <v>(調整）</v>
          </cell>
          <cell r="G175">
            <v>-25</v>
          </cell>
          <cell r="H175">
            <v>-25</v>
          </cell>
          <cell r="I175">
            <v>-25</v>
          </cell>
          <cell r="J175">
            <v>-25</v>
          </cell>
          <cell r="K175">
            <v>-25</v>
          </cell>
          <cell r="N175">
            <v>-10</v>
          </cell>
          <cell r="O175">
            <v>-10</v>
          </cell>
          <cell r="P175">
            <v>-10</v>
          </cell>
          <cell r="Q175">
            <v>-10</v>
          </cell>
          <cell r="R175">
            <v>-10</v>
          </cell>
          <cell r="AB175">
            <v>-25</v>
          </cell>
          <cell r="AC175">
            <v>-25</v>
          </cell>
          <cell r="AD175">
            <v>-25</v>
          </cell>
          <cell r="AE175">
            <v>-25</v>
          </cell>
          <cell r="AF175">
            <v>-25</v>
          </cell>
        </row>
        <row r="176"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</row>
        <row r="177"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</row>
        <row r="178"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</row>
        <row r="179"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</row>
        <row r="180"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</row>
        <row r="181">
          <cell r="C181" t="str">
            <v>手直し等</v>
          </cell>
        </row>
        <row r="182">
          <cell r="C182" t="str">
            <v>出荷実績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10</v>
          </cell>
          <cell r="O182">
            <v>15</v>
          </cell>
          <cell r="P182">
            <v>15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</row>
        <row r="183">
          <cell r="C183" t="str">
            <v>停止時間（昼勤）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</row>
        <row r="184">
          <cell r="C184" t="str">
            <v>停止時間（夜勤）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</row>
        <row r="185">
          <cell r="B185">
            <v>1285468</v>
          </cell>
          <cell r="C185" t="str">
            <v>振替計画・実績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</row>
        <row r="186">
          <cell r="B186" t="str">
            <v>AW-Eのみ</v>
          </cell>
          <cell r="C186" t="str">
            <v>在庫計画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7.5</v>
          </cell>
          <cell r="O186">
            <v>22.5</v>
          </cell>
          <cell r="P186">
            <v>37.5</v>
          </cell>
          <cell r="Q186">
            <v>52.5</v>
          </cell>
          <cell r="R186">
            <v>67.5</v>
          </cell>
          <cell r="S186">
            <v>67.5</v>
          </cell>
          <cell r="T186">
            <v>67.5</v>
          </cell>
          <cell r="U186">
            <v>87.5</v>
          </cell>
          <cell r="V186">
            <v>112.5</v>
          </cell>
          <cell r="W186">
            <v>137.5</v>
          </cell>
          <cell r="X186">
            <v>162.5</v>
          </cell>
          <cell r="Y186">
            <v>187.5</v>
          </cell>
          <cell r="Z186">
            <v>187.5</v>
          </cell>
          <cell r="AA186">
            <v>187.5</v>
          </cell>
          <cell r="AB186">
            <v>200</v>
          </cell>
          <cell r="AC186">
            <v>200</v>
          </cell>
          <cell r="AD186">
            <v>200</v>
          </cell>
          <cell r="AE186">
            <v>200</v>
          </cell>
          <cell r="AF186">
            <v>200</v>
          </cell>
          <cell r="AG186">
            <v>200</v>
          </cell>
          <cell r="AH186">
            <v>200</v>
          </cell>
          <cell r="AI186">
            <v>200</v>
          </cell>
        </row>
        <row r="187">
          <cell r="C187" t="str">
            <v>在庫実績(社内)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5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</row>
        <row r="188">
          <cell r="C188" t="str">
            <v>在庫実績(物流)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10</v>
          </cell>
          <cell r="O188">
            <v>25</v>
          </cell>
          <cell r="P188">
            <v>40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</row>
        <row r="189">
          <cell r="C189" t="str">
            <v>差異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2.5</v>
          </cell>
          <cell r="O189">
            <v>7.5</v>
          </cell>
          <cell r="P189">
            <v>2.5</v>
          </cell>
          <cell r="Q189">
            <v>-52.5</v>
          </cell>
          <cell r="R189">
            <v>-67.5</v>
          </cell>
          <cell r="S189">
            <v>-67.5</v>
          </cell>
          <cell r="T189">
            <v>-67.5</v>
          </cell>
          <cell r="U189">
            <v>-87.5</v>
          </cell>
          <cell r="V189">
            <v>-112.5</v>
          </cell>
          <cell r="W189">
            <v>-137.5</v>
          </cell>
          <cell r="X189">
            <v>-162.5</v>
          </cell>
          <cell r="Y189">
            <v>-187.5</v>
          </cell>
          <cell r="Z189">
            <v>-187.5</v>
          </cell>
          <cell r="AA189">
            <v>-187.5</v>
          </cell>
          <cell r="AB189">
            <v>-200</v>
          </cell>
          <cell r="AC189">
            <v>-200</v>
          </cell>
          <cell r="AD189">
            <v>-200</v>
          </cell>
          <cell r="AE189">
            <v>-200</v>
          </cell>
          <cell r="AF189">
            <v>-200</v>
          </cell>
          <cell r="AG189">
            <v>-200</v>
          </cell>
          <cell r="AH189">
            <v>-200</v>
          </cell>
          <cell r="AI189">
            <v>-200</v>
          </cell>
        </row>
        <row r="190">
          <cell r="C190" t="str">
            <v>ﾊﾞﾝﾆﾝｸﾞ計画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</row>
        <row r="191">
          <cell r="C191" t="str">
            <v>ｵｰﾀﾞｰ変更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</row>
        <row r="192">
          <cell r="C192" t="str">
            <v>20日情報
(工場出荷)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</row>
        <row r="193">
          <cell r="B193">
            <v>1285470</v>
          </cell>
          <cell r="C193" t="str">
            <v>梱包計画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5</v>
          </cell>
          <cell r="O193">
            <v>10</v>
          </cell>
          <cell r="P193">
            <v>10</v>
          </cell>
          <cell r="Q193">
            <v>10</v>
          </cell>
          <cell r="R193">
            <v>10</v>
          </cell>
          <cell r="S193">
            <v>0</v>
          </cell>
          <cell r="T193">
            <v>0</v>
          </cell>
          <cell r="U193">
            <v>10</v>
          </cell>
          <cell r="V193">
            <v>10</v>
          </cell>
          <cell r="W193">
            <v>10</v>
          </cell>
          <cell r="X193">
            <v>10</v>
          </cell>
          <cell r="Y193">
            <v>10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</row>
        <row r="194">
          <cell r="C194" t="str">
            <v>(調整）</v>
          </cell>
          <cell r="G194">
            <v>-10</v>
          </cell>
          <cell r="H194">
            <v>-10</v>
          </cell>
          <cell r="I194">
            <v>-10</v>
          </cell>
          <cell r="J194">
            <v>-10</v>
          </cell>
          <cell r="K194">
            <v>-10</v>
          </cell>
          <cell r="AB194">
            <v>-10</v>
          </cell>
          <cell r="AC194">
            <v>-10</v>
          </cell>
          <cell r="AD194">
            <v>-10</v>
          </cell>
          <cell r="AE194">
            <v>-10</v>
          </cell>
          <cell r="AF194">
            <v>-10</v>
          </cell>
        </row>
        <row r="195"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</row>
        <row r="196"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</row>
        <row r="197"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</row>
        <row r="198"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</row>
        <row r="199"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</row>
        <row r="200">
          <cell r="C200" t="str">
            <v>手直し等</v>
          </cell>
        </row>
        <row r="201">
          <cell r="C201" t="str">
            <v>出荷実績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11</v>
          </cell>
          <cell r="O201">
            <v>10</v>
          </cell>
          <cell r="P201">
            <v>10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</row>
        <row r="202">
          <cell r="C202" t="str">
            <v>停止時間（昼勤）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</row>
        <row r="203">
          <cell r="C203" t="str">
            <v>停止時間（夜勤）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</row>
        <row r="204">
          <cell r="B204">
            <v>1285470</v>
          </cell>
          <cell r="C204" t="str">
            <v>振替計画・実績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</row>
        <row r="205">
          <cell r="B205" t="str">
            <v>AW-Eのみ</v>
          </cell>
          <cell r="C205" t="str">
            <v>在庫計画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2.5</v>
          </cell>
          <cell r="O205">
            <v>10</v>
          </cell>
          <cell r="P205">
            <v>20</v>
          </cell>
          <cell r="Q205">
            <v>30</v>
          </cell>
          <cell r="R205">
            <v>40</v>
          </cell>
          <cell r="S205">
            <v>40</v>
          </cell>
          <cell r="T205">
            <v>40</v>
          </cell>
          <cell r="U205">
            <v>50</v>
          </cell>
          <cell r="V205">
            <v>60</v>
          </cell>
          <cell r="W205">
            <v>70</v>
          </cell>
          <cell r="X205">
            <v>80</v>
          </cell>
          <cell r="Y205">
            <v>90</v>
          </cell>
          <cell r="Z205">
            <v>90</v>
          </cell>
          <cell r="AA205">
            <v>90</v>
          </cell>
          <cell r="AB205">
            <v>95</v>
          </cell>
          <cell r="AC205">
            <v>95</v>
          </cell>
          <cell r="AD205">
            <v>95</v>
          </cell>
          <cell r="AE205">
            <v>95</v>
          </cell>
          <cell r="AF205">
            <v>95</v>
          </cell>
          <cell r="AG205">
            <v>95</v>
          </cell>
          <cell r="AH205">
            <v>95</v>
          </cell>
          <cell r="AI205">
            <v>95</v>
          </cell>
        </row>
        <row r="206">
          <cell r="C206" t="str">
            <v>在庫実績(社内)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1</v>
          </cell>
          <cell r="O206">
            <v>1</v>
          </cell>
          <cell r="P206">
            <v>1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</row>
        <row r="207">
          <cell r="C207" t="str">
            <v>在庫実績(物流)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11</v>
          </cell>
          <cell r="O207">
            <v>21</v>
          </cell>
          <cell r="P207">
            <v>31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</row>
        <row r="208">
          <cell r="C208" t="str">
            <v>差異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9.5</v>
          </cell>
          <cell r="O208">
            <v>12</v>
          </cell>
          <cell r="P208">
            <v>12</v>
          </cell>
          <cell r="Q208">
            <v>-30</v>
          </cell>
          <cell r="R208">
            <v>-40</v>
          </cell>
          <cell r="S208">
            <v>-40</v>
          </cell>
          <cell r="T208">
            <v>-40</v>
          </cell>
          <cell r="U208">
            <v>-50</v>
          </cell>
          <cell r="V208">
            <v>-60</v>
          </cell>
          <cell r="W208">
            <v>-70</v>
          </cell>
          <cell r="X208">
            <v>-80</v>
          </cell>
          <cell r="Y208">
            <v>-90</v>
          </cell>
          <cell r="Z208">
            <v>-90</v>
          </cell>
          <cell r="AA208">
            <v>-90</v>
          </cell>
          <cell r="AB208">
            <v>-95</v>
          </cell>
          <cell r="AC208">
            <v>-95</v>
          </cell>
          <cell r="AD208">
            <v>-95</v>
          </cell>
          <cell r="AE208">
            <v>-95</v>
          </cell>
          <cell r="AF208">
            <v>-95</v>
          </cell>
          <cell r="AG208">
            <v>-95</v>
          </cell>
          <cell r="AH208">
            <v>-95</v>
          </cell>
          <cell r="AI208">
            <v>-95</v>
          </cell>
        </row>
        <row r="209">
          <cell r="C209" t="str">
            <v>ﾊﾞﾝﾆﾝｸﾞ計画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</row>
        <row r="210">
          <cell r="C210" t="str">
            <v>ｵｰﾀﾞｰ変更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</row>
        <row r="211">
          <cell r="C211" t="str">
            <v>20日情報
(工場出荷)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</row>
        <row r="212">
          <cell r="B212">
            <v>1285471</v>
          </cell>
          <cell r="C212" t="str">
            <v>梱包計画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</row>
        <row r="213">
          <cell r="C213" t="str">
            <v>(調整）</v>
          </cell>
        </row>
        <row r="214"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</row>
        <row r="215"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</row>
        <row r="216"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</row>
        <row r="217"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</row>
        <row r="218"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</row>
        <row r="219">
          <cell r="C219" t="str">
            <v>手直し等</v>
          </cell>
        </row>
        <row r="220">
          <cell r="C220" t="str">
            <v>出荷実績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</row>
        <row r="221">
          <cell r="C221" t="str">
            <v>停止時間（昼勤）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</row>
        <row r="222">
          <cell r="C222" t="str">
            <v>停止時間（夜勤）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</row>
        <row r="223">
          <cell r="B223">
            <v>1285471</v>
          </cell>
          <cell r="C223" t="str">
            <v>振替計画・実績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</row>
        <row r="224">
          <cell r="B224" t="str">
            <v>AW-E/ｿﾞﾝｼﾞｱ</v>
          </cell>
          <cell r="C224" t="str">
            <v>在庫計画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</row>
        <row r="225">
          <cell r="C225" t="str">
            <v>在庫実績(社内)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</row>
        <row r="226">
          <cell r="C226" t="str">
            <v>在庫実績(物流)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</row>
        <row r="227">
          <cell r="C227" t="str">
            <v>差異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</row>
        <row r="228">
          <cell r="B228" t="str">
            <v>ボルボ中国</v>
          </cell>
          <cell r="C228" t="str">
            <v>ﾊﾞﾝﾆﾝｸﾞ計画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</row>
        <row r="229">
          <cell r="C229" t="str">
            <v>ｵｰﾀﾞｰ変更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</row>
        <row r="230">
          <cell r="C230" t="str">
            <v>20日情報
(工場出荷)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</row>
        <row r="231">
          <cell r="B231" t="str">
            <v>AW-E</v>
          </cell>
          <cell r="C231" t="str">
            <v>ﾊﾞﾝﾆﾝｸﾞ計画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</row>
        <row r="232">
          <cell r="C232" t="str">
            <v>ｵｰﾀﾞｰ変更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</row>
        <row r="233">
          <cell r="C233" t="str">
            <v>20日情報
(工場出荷)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</row>
        <row r="234">
          <cell r="B234">
            <v>1285472</v>
          </cell>
          <cell r="C234" t="str">
            <v>梱包計画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5</v>
          </cell>
          <cell r="AC234">
            <v>5</v>
          </cell>
          <cell r="AD234">
            <v>5</v>
          </cell>
          <cell r="AE234">
            <v>5</v>
          </cell>
          <cell r="AF234">
            <v>5</v>
          </cell>
          <cell r="AG234">
            <v>0</v>
          </cell>
          <cell r="AH234">
            <v>0</v>
          </cell>
          <cell r="AI234">
            <v>0</v>
          </cell>
        </row>
        <row r="235">
          <cell r="C235" t="str">
            <v>(調整）</v>
          </cell>
          <cell r="AB235">
            <v>5</v>
          </cell>
          <cell r="AC235">
            <v>5</v>
          </cell>
          <cell r="AD235">
            <v>5</v>
          </cell>
          <cell r="AE235">
            <v>5</v>
          </cell>
          <cell r="AF235">
            <v>5</v>
          </cell>
        </row>
        <row r="236"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</row>
        <row r="237"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</row>
        <row r="238"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</row>
        <row r="239"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</row>
        <row r="240"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</row>
        <row r="241">
          <cell r="C241" t="str">
            <v>手直し等</v>
          </cell>
        </row>
        <row r="242">
          <cell r="C242" t="str">
            <v>出荷実績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</row>
        <row r="243">
          <cell r="C243" t="str">
            <v>停止時間（昼勤）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</row>
        <row r="244">
          <cell r="C244" t="str">
            <v>停止時間（夜勤）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</row>
        <row r="245">
          <cell r="B245">
            <v>1285472</v>
          </cell>
          <cell r="C245" t="str">
            <v>振替計画・実績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</row>
        <row r="246">
          <cell r="B246" t="str">
            <v>AW-Eのみ</v>
          </cell>
          <cell r="C246" t="str">
            <v>在庫計画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2.5</v>
          </cell>
          <cell r="AC246">
            <v>7.5</v>
          </cell>
          <cell r="AD246">
            <v>12.5</v>
          </cell>
          <cell r="AE246">
            <v>17.5</v>
          </cell>
          <cell r="AF246">
            <v>22.5</v>
          </cell>
          <cell r="AG246">
            <v>22.5</v>
          </cell>
          <cell r="AH246">
            <v>25</v>
          </cell>
          <cell r="AI246">
            <v>27.5</v>
          </cell>
        </row>
        <row r="247">
          <cell r="C247" t="str">
            <v>在庫実績(社内)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</row>
        <row r="248">
          <cell r="C248" t="str">
            <v>在庫実績(物流)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</row>
        <row r="249">
          <cell r="C249" t="str">
            <v>差異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-2.5</v>
          </cell>
          <cell r="AC249">
            <v>-7.5</v>
          </cell>
          <cell r="AD249">
            <v>-12.5</v>
          </cell>
          <cell r="AE249">
            <v>-17.5</v>
          </cell>
          <cell r="AF249">
            <v>-22.5</v>
          </cell>
          <cell r="AG249">
            <v>-22.5</v>
          </cell>
          <cell r="AH249">
            <v>-25</v>
          </cell>
          <cell r="AI249">
            <v>-27.5</v>
          </cell>
        </row>
        <row r="250">
          <cell r="C250" t="str">
            <v>ﾊﾞﾝﾆﾝｸﾞ計画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</row>
        <row r="251">
          <cell r="C251" t="str">
            <v>ｵｰﾀﾞｰ変更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</row>
        <row r="252">
          <cell r="C252" t="str">
            <v>20日情報
(工場出荷)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</row>
        <row r="256">
          <cell r="B256">
            <v>1285389</v>
          </cell>
          <cell r="C256" t="str">
            <v>梱包計画</v>
          </cell>
          <cell r="D256">
            <v>200</v>
          </cell>
          <cell r="E256">
            <v>0</v>
          </cell>
          <cell r="F256">
            <v>0</v>
          </cell>
          <cell r="G256">
            <v>170</v>
          </cell>
          <cell r="H256">
            <v>170</v>
          </cell>
          <cell r="I256">
            <v>170</v>
          </cell>
          <cell r="J256">
            <v>185</v>
          </cell>
          <cell r="K256">
            <v>185</v>
          </cell>
          <cell r="L256">
            <v>0</v>
          </cell>
          <cell r="M256">
            <v>0</v>
          </cell>
          <cell r="N256">
            <v>165</v>
          </cell>
          <cell r="O256">
            <v>170</v>
          </cell>
          <cell r="P256">
            <v>170</v>
          </cell>
          <cell r="Q256">
            <v>185</v>
          </cell>
          <cell r="R256">
            <v>185</v>
          </cell>
          <cell r="S256">
            <v>0</v>
          </cell>
          <cell r="T256">
            <v>0</v>
          </cell>
          <cell r="U256">
            <v>170</v>
          </cell>
          <cell r="V256">
            <v>170</v>
          </cell>
          <cell r="W256">
            <v>170</v>
          </cell>
          <cell r="X256">
            <v>180</v>
          </cell>
          <cell r="Y256">
            <v>185</v>
          </cell>
          <cell r="Z256">
            <v>0</v>
          </cell>
          <cell r="AA256">
            <v>0</v>
          </cell>
          <cell r="AB256">
            <v>170</v>
          </cell>
          <cell r="AC256">
            <v>170</v>
          </cell>
          <cell r="AD256">
            <v>170</v>
          </cell>
          <cell r="AE256">
            <v>185</v>
          </cell>
          <cell r="AF256">
            <v>180</v>
          </cell>
          <cell r="AG256">
            <v>0</v>
          </cell>
          <cell r="AH256">
            <v>0</v>
          </cell>
          <cell r="AI256">
            <v>0</v>
          </cell>
        </row>
        <row r="257">
          <cell r="C257" t="str">
            <v>(調整）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</row>
        <row r="259">
          <cell r="D259">
            <v>5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</row>
        <row r="260"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</row>
        <row r="261"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</row>
        <row r="262"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</row>
        <row r="263">
          <cell r="C263" t="str">
            <v>手直し等</v>
          </cell>
        </row>
        <row r="264">
          <cell r="C264" t="str">
            <v>出荷実績</v>
          </cell>
          <cell r="E264">
            <v>0</v>
          </cell>
          <cell r="F264">
            <v>0</v>
          </cell>
          <cell r="G264">
            <v>175</v>
          </cell>
          <cell r="H264">
            <v>170</v>
          </cell>
          <cell r="I264">
            <v>170</v>
          </cell>
          <cell r="J264">
            <v>190</v>
          </cell>
          <cell r="K264">
            <v>185</v>
          </cell>
          <cell r="L264">
            <v>0</v>
          </cell>
          <cell r="M264">
            <v>0</v>
          </cell>
          <cell r="N264">
            <v>175</v>
          </cell>
          <cell r="O264">
            <v>155</v>
          </cell>
          <cell r="P264">
            <v>180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</row>
        <row r="265">
          <cell r="C265" t="str">
            <v>停止時間（昼勤）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</row>
        <row r="266">
          <cell r="C266" t="str">
            <v>停止時間（夜勤）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</row>
        <row r="267">
          <cell r="B267">
            <v>1285389</v>
          </cell>
          <cell r="C267" t="str">
            <v>振替計画・実績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</row>
        <row r="268">
          <cell r="B268" t="str">
            <v>AW-Eのみ</v>
          </cell>
          <cell r="C268" t="str">
            <v>在庫計画</v>
          </cell>
          <cell r="D268">
            <v>1225</v>
          </cell>
          <cell r="E268">
            <v>1115</v>
          </cell>
          <cell r="F268">
            <v>1115</v>
          </cell>
          <cell r="G268">
            <v>1300</v>
          </cell>
          <cell r="H268">
            <v>1470</v>
          </cell>
          <cell r="I268">
            <v>1220</v>
          </cell>
          <cell r="J268">
            <v>1202.5</v>
          </cell>
          <cell r="K268">
            <v>827.5</v>
          </cell>
          <cell r="L268">
            <v>772.5</v>
          </cell>
          <cell r="M268">
            <v>772.5</v>
          </cell>
          <cell r="N268">
            <v>947.5</v>
          </cell>
          <cell r="O268">
            <v>1115</v>
          </cell>
          <cell r="P268">
            <v>725</v>
          </cell>
          <cell r="Q268">
            <v>902.5</v>
          </cell>
          <cell r="R268">
            <v>1082.5</v>
          </cell>
          <cell r="S268">
            <v>522.5</v>
          </cell>
          <cell r="T268">
            <v>522.5</v>
          </cell>
          <cell r="U268">
            <v>700</v>
          </cell>
          <cell r="V268">
            <v>865</v>
          </cell>
          <cell r="W268">
            <v>635</v>
          </cell>
          <cell r="X268">
            <v>810</v>
          </cell>
          <cell r="Y268">
            <v>592.5</v>
          </cell>
          <cell r="Z268">
            <v>592.5</v>
          </cell>
          <cell r="AA268">
            <v>592.5</v>
          </cell>
          <cell r="AB268">
            <v>770</v>
          </cell>
          <cell r="AC268">
            <v>940</v>
          </cell>
          <cell r="AD268">
            <v>1110</v>
          </cell>
          <cell r="AE268">
            <v>887.5</v>
          </cell>
          <cell r="AF268">
            <v>1070</v>
          </cell>
          <cell r="AG268">
            <v>670</v>
          </cell>
          <cell r="AH268">
            <v>670</v>
          </cell>
          <cell r="AI268">
            <v>670</v>
          </cell>
        </row>
        <row r="269">
          <cell r="C269" t="str">
            <v>在庫実績(社内)</v>
          </cell>
          <cell r="D269">
            <v>5</v>
          </cell>
          <cell r="E269">
            <v>5</v>
          </cell>
          <cell r="F269">
            <v>5</v>
          </cell>
          <cell r="G269">
            <v>15</v>
          </cell>
          <cell r="H269">
            <v>20</v>
          </cell>
          <cell r="I269">
            <v>25</v>
          </cell>
          <cell r="J269">
            <v>20</v>
          </cell>
          <cell r="K269">
            <v>25</v>
          </cell>
          <cell r="L269">
            <v>25</v>
          </cell>
          <cell r="M269">
            <v>25</v>
          </cell>
          <cell r="N269">
            <v>20</v>
          </cell>
          <cell r="O269">
            <v>15</v>
          </cell>
          <cell r="P269">
            <v>15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</row>
        <row r="270">
          <cell r="C270" t="str">
            <v>在庫実績(物流)</v>
          </cell>
          <cell r="D270">
            <v>1220</v>
          </cell>
          <cell r="E270">
            <v>1110</v>
          </cell>
          <cell r="F270">
            <v>1110</v>
          </cell>
          <cell r="G270">
            <v>1285</v>
          </cell>
          <cell r="H270">
            <v>1455</v>
          </cell>
          <cell r="I270">
            <v>1205</v>
          </cell>
          <cell r="J270">
            <v>1200</v>
          </cell>
          <cell r="K270">
            <v>825</v>
          </cell>
          <cell r="L270">
            <v>770</v>
          </cell>
          <cell r="M270">
            <v>770</v>
          </cell>
          <cell r="N270">
            <v>945</v>
          </cell>
          <cell r="O270">
            <v>1100</v>
          </cell>
          <cell r="P270">
            <v>720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</row>
        <row r="271">
          <cell r="C271" t="str">
            <v>差異</v>
          </cell>
          <cell r="D271">
            <v>-5</v>
          </cell>
          <cell r="E271">
            <v>0</v>
          </cell>
          <cell r="F271">
            <v>0</v>
          </cell>
          <cell r="G271">
            <v>0</v>
          </cell>
          <cell r="H271">
            <v>5</v>
          </cell>
          <cell r="I271">
            <v>10</v>
          </cell>
          <cell r="J271">
            <v>17.5</v>
          </cell>
          <cell r="K271">
            <v>22.5</v>
          </cell>
          <cell r="L271">
            <v>22.5</v>
          </cell>
          <cell r="M271">
            <v>22.5</v>
          </cell>
          <cell r="N271">
            <v>17.5</v>
          </cell>
          <cell r="O271">
            <v>0</v>
          </cell>
          <cell r="P271">
            <v>10</v>
          </cell>
          <cell r="Q271">
            <v>-902.5</v>
          </cell>
          <cell r="R271">
            <v>-1082.5</v>
          </cell>
          <cell r="S271">
            <v>-522.5</v>
          </cell>
          <cell r="T271">
            <v>-522.5</v>
          </cell>
          <cell r="U271">
            <v>-700</v>
          </cell>
          <cell r="V271">
            <v>-865</v>
          </cell>
          <cell r="W271">
            <v>-635</v>
          </cell>
          <cell r="X271">
            <v>-810</v>
          </cell>
          <cell r="Y271">
            <v>-592.5</v>
          </cell>
          <cell r="Z271">
            <v>-592.5</v>
          </cell>
          <cell r="AA271">
            <v>-592.5</v>
          </cell>
          <cell r="AB271">
            <v>-770</v>
          </cell>
          <cell r="AC271">
            <v>-940</v>
          </cell>
          <cell r="AD271">
            <v>-1110</v>
          </cell>
          <cell r="AE271">
            <v>-887.5</v>
          </cell>
          <cell r="AF271">
            <v>-1070</v>
          </cell>
          <cell r="AG271">
            <v>-670</v>
          </cell>
          <cell r="AH271">
            <v>-670</v>
          </cell>
          <cell r="AI271">
            <v>-670</v>
          </cell>
        </row>
        <row r="272">
          <cell r="C272" t="str">
            <v>ﾊﾞﾝﾆﾝｸﾞ計画</v>
          </cell>
          <cell r="E272">
            <v>110</v>
          </cell>
          <cell r="F272">
            <v>0</v>
          </cell>
          <cell r="G272">
            <v>0</v>
          </cell>
          <cell r="H272">
            <v>0</v>
          </cell>
          <cell r="I272">
            <v>420</v>
          </cell>
          <cell r="J272">
            <v>195</v>
          </cell>
          <cell r="K272">
            <v>560</v>
          </cell>
          <cell r="L272">
            <v>55</v>
          </cell>
          <cell r="M272">
            <v>0</v>
          </cell>
          <cell r="N272">
            <v>0</v>
          </cell>
          <cell r="O272">
            <v>0</v>
          </cell>
          <cell r="P272">
            <v>560</v>
          </cell>
          <cell r="Q272">
            <v>0</v>
          </cell>
          <cell r="R272">
            <v>5</v>
          </cell>
          <cell r="S272">
            <v>560</v>
          </cell>
          <cell r="T272">
            <v>0</v>
          </cell>
          <cell r="U272">
            <v>0</v>
          </cell>
          <cell r="V272">
            <v>5</v>
          </cell>
          <cell r="W272">
            <v>400</v>
          </cell>
          <cell r="X272">
            <v>0</v>
          </cell>
          <cell r="Y272">
            <v>400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400</v>
          </cell>
          <cell r="AF272">
            <v>0</v>
          </cell>
          <cell r="AG272">
            <v>400</v>
          </cell>
          <cell r="AH272">
            <v>0</v>
          </cell>
          <cell r="AI272">
            <v>0</v>
          </cell>
        </row>
        <row r="273">
          <cell r="C273" t="str">
            <v>ｵｰﾀﾞｰ変更</v>
          </cell>
          <cell r="D273">
            <v>110</v>
          </cell>
          <cell r="E273">
            <v>0</v>
          </cell>
          <cell r="F273">
            <v>0</v>
          </cell>
          <cell r="G273">
            <v>0</v>
          </cell>
          <cell r="H273">
            <v>420</v>
          </cell>
          <cell r="I273">
            <v>195</v>
          </cell>
          <cell r="J273">
            <v>560</v>
          </cell>
          <cell r="K273">
            <v>55</v>
          </cell>
          <cell r="L273">
            <v>0</v>
          </cell>
          <cell r="M273">
            <v>0</v>
          </cell>
          <cell r="N273">
            <v>0</v>
          </cell>
          <cell r="O273">
            <v>560</v>
          </cell>
          <cell r="Q273">
            <v>5</v>
          </cell>
          <cell r="R273">
            <v>560</v>
          </cell>
          <cell r="S273">
            <v>0</v>
          </cell>
          <cell r="T273">
            <v>0</v>
          </cell>
          <cell r="U273">
            <v>5</v>
          </cell>
          <cell r="V273">
            <v>400</v>
          </cell>
          <cell r="W273">
            <v>0</v>
          </cell>
          <cell r="X273">
            <v>400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400</v>
          </cell>
          <cell r="AE273">
            <v>0</v>
          </cell>
          <cell r="AF273">
            <v>400</v>
          </cell>
          <cell r="AG273">
            <v>0</v>
          </cell>
          <cell r="AH273">
            <v>0</v>
          </cell>
          <cell r="AI273">
            <v>0</v>
          </cell>
        </row>
        <row r="274">
          <cell r="C274" t="str">
            <v>20日情報
(工場出荷)</v>
          </cell>
          <cell r="E274">
            <v>0</v>
          </cell>
          <cell r="F274">
            <v>0</v>
          </cell>
          <cell r="G274">
            <v>0</v>
          </cell>
          <cell r="H274">
            <v>615</v>
          </cell>
          <cell r="I274">
            <v>0</v>
          </cell>
          <cell r="J274">
            <v>615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565</v>
          </cell>
          <cell r="Q274">
            <v>0</v>
          </cell>
          <cell r="R274">
            <v>565</v>
          </cell>
          <cell r="S274">
            <v>0</v>
          </cell>
          <cell r="T274">
            <v>0</v>
          </cell>
          <cell r="U274">
            <v>0</v>
          </cell>
          <cell r="V274">
            <v>400</v>
          </cell>
          <cell r="W274">
            <v>0</v>
          </cell>
          <cell r="X274">
            <v>400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400</v>
          </cell>
          <cell r="AE274">
            <v>0</v>
          </cell>
          <cell r="AF274">
            <v>400</v>
          </cell>
          <cell r="AG274">
            <v>0</v>
          </cell>
          <cell r="AH274">
            <v>0</v>
          </cell>
          <cell r="AI274">
            <v>0</v>
          </cell>
        </row>
        <row r="275">
          <cell r="B275">
            <v>1285399</v>
          </cell>
          <cell r="C275" t="str">
            <v>梱包計画</v>
          </cell>
          <cell r="D275">
            <v>15</v>
          </cell>
          <cell r="E275">
            <v>0</v>
          </cell>
          <cell r="F275">
            <v>0</v>
          </cell>
          <cell r="G275">
            <v>15</v>
          </cell>
          <cell r="H275">
            <v>15</v>
          </cell>
          <cell r="I275">
            <v>15</v>
          </cell>
          <cell r="J275">
            <v>15</v>
          </cell>
          <cell r="K275">
            <v>15</v>
          </cell>
          <cell r="L275">
            <v>0</v>
          </cell>
          <cell r="M275">
            <v>0</v>
          </cell>
          <cell r="N275">
            <v>10</v>
          </cell>
          <cell r="O275">
            <v>10</v>
          </cell>
          <cell r="P275">
            <v>10</v>
          </cell>
          <cell r="Q275">
            <v>10</v>
          </cell>
          <cell r="R275">
            <v>10</v>
          </cell>
          <cell r="S275">
            <v>0</v>
          </cell>
          <cell r="T275">
            <v>0</v>
          </cell>
          <cell r="U275">
            <v>10</v>
          </cell>
          <cell r="V275">
            <v>10</v>
          </cell>
          <cell r="W275">
            <v>10</v>
          </cell>
          <cell r="X275">
            <v>10</v>
          </cell>
          <cell r="Y275">
            <v>10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</row>
        <row r="276">
          <cell r="C276" t="str">
            <v>(調整）</v>
          </cell>
          <cell r="G276">
            <v>5</v>
          </cell>
          <cell r="H276">
            <v>5</v>
          </cell>
          <cell r="I276">
            <v>5</v>
          </cell>
          <cell r="J276">
            <v>5</v>
          </cell>
          <cell r="K276">
            <v>5</v>
          </cell>
          <cell r="AB276">
            <v>-10</v>
          </cell>
          <cell r="AC276">
            <v>-10</v>
          </cell>
          <cell r="AD276">
            <v>-10</v>
          </cell>
          <cell r="AE276">
            <v>-10</v>
          </cell>
          <cell r="AF276">
            <v>-10</v>
          </cell>
        </row>
        <row r="277"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</row>
        <row r="278">
          <cell r="D278">
            <v>40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</row>
        <row r="279"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</row>
        <row r="280"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</row>
        <row r="281"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</row>
        <row r="282">
          <cell r="C282" t="str">
            <v>手直し等</v>
          </cell>
        </row>
        <row r="283">
          <cell r="C283" t="str">
            <v>出荷実績</v>
          </cell>
          <cell r="E283">
            <v>0</v>
          </cell>
          <cell r="F283">
            <v>0</v>
          </cell>
          <cell r="G283">
            <v>15</v>
          </cell>
          <cell r="H283">
            <v>15</v>
          </cell>
          <cell r="I283">
            <v>15</v>
          </cell>
          <cell r="J283">
            <v>15</v>
          </cell>
          <cell r="K283">
            <v>15</v>
          </cell>
          <cell r="L283">
            <v>0</v>
          </cell>
          <cell r="M283">
            <v>0</v>
          </cell>
          <cell r="N283">
            <v>15</v>
          </cell>
          <cell r="O283">
            <v>10</v>
          </cell>
          <cell r="P283">
            <v>10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</row>
        <row r="284">
          <cell r="C284" t="str">
            <v>停止時間（昼勤）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</row>
        <row r="285">
          <cell r="C285" t="str">
            <v>停止時間（夜勤）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</row>
        <row r="286">
          <cell r="B286">
            <v>1285399</v>
          </cell>
          <cell r="C286" t="str">
            <v>振替計画・実績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</row>
        <row r="287">
          <cell r="B287" t="str">
            <v>AW-Eのみ</v>
          </cell>
          <cell r="C287" t="str">
            <v>在庫計画</v>
          </cell>
          <cell r="D287">
            <v>89</v>
          </cell>
          <cell r="E287">
            <v>59</v>
          </cell>
          <cell r="F287">
            <v>59</v>
          </cell>
          <cell r="G287">
            <v>74</v>
          </cell>
          <cell r="H287">
            <v>89</v>
          </cell>
          <cell r="I287">
            <v>104</v>
          </cell>
          <cell r="J287">
            <v>79</v>
          </cell>
          <cell r="K287">
            <v>94</v>
          </cell>
          <cell r="L287">
            <v>64</v>
          </cell>
          <cell r="M287">
            <v>64</v>
          </cell>
          <cell r="N287">
            <v>76.5</v>
          </cell>
          <cell r="O287">
            <v>86.5</v>
          </cell>
          <cell r="P287">
            <v>96.5</v>
          </cell>
          <cell r="Q287">
            <v>106.5</v>
          </cell>
          <cell r="R287">
            <v>76.5</v>
          </cell>
          <cell r="S287">
            <v>76.5</v>
          </cell>
          <cell r="T287">
            <v>76.5</v>
          </cell>
          <cell r="U287">
            <v>86.5</v>
          </cell>
          <cell r="V287">
            <v>56.5</v>
          </cell>
          <cell r="W287">
            <v>36.5</v>
          </cell>
          <cell r="X287">
            <v>46.5</v>
          </cell>
          <cell r="Y287">
            <v>36.5</v>
          </cell>
          <cell r="Z287">
            <v>36.5</v>
          </cell>
          <cell r="AA287">
            <v>36.5</v>
          </cell>
          <cell r="AB287">
            <v>41.5</v>
          </cell>
          <cell r="AC287">
            <v>41.5</v>
          </cell>
          <cell r="AD287">
            <v>41.5</v>
          </cell>
          <cell r="AE287">
            <v>21.5</v>
          </cell>
          <cell r="AF287">
            <v>21.5</v>
          </cell>
          <cell r="AG287">
            <v>1.5</v>
          </cell>
          <cell r="AH287">
            <v>1.5</v>
          </cell>
          <cell r="AI287">
            <v>1.5</v>
          </cell>
        </row>
        <row r="288">
          <cell r="C288" t="str">
            <v>在庫実績(社内)</v>
          </cell>
          <cell r="D288">
            <v>4</v>
          </cell>
          <cell r="E288">
            <v>4</v>
          </cell>
          <cell r="F288">
            <v>4</v>
          </cell>
          <cell r="G288">
            <v>4</v>
          </cell>
          <cell r="H288">
            <v>4</v>
          </cell>
          <cell r="I288">
            <v>4</v>
          </cell>
          <cell r="J288">
            <v>4</v>
          </cell>
          <cell r="K288">
            <v>4</v>
          </cell>
          <cell r="L288">
            <v>4</v>
          </cell>
          <cell r="M288">
            <v>4</v>
          </cell>
          <cell r="N288">
            <v>4</v>
          </cell>
          <cell r="O288">
            <v>4</v>
          </cell>
          <cell r="P288">
            <v>4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</row>
        <row r="289">
          <cell r="C289" t="str">
            <v>在庫実績(物流)</v>
          </cell>
          <cell r="D289">
            <v>85</v>
          </cell>
          <cell r="E289">
            <v>55</v>
          </cell>
          <cell r="F289">
            <v>55</v>
          </cell>
          <cell r="G289">
            <v>70</v>
          </cell>
          <cell r="H289">
            <v>85</v>
          </cell>
          <cell r="I289">
            <v>100</v>
          </cell>
          <cell r="J289">
            <v>75</v>
          </cell>
          <cell r="K289">
            <v>90</v>
          </cell>
          <cell r="L289">
            <v>60</v>
          </cell>
          <cell r="M289">
            <v>60</v>
          </cell>
          <cell r="N289">
            <v>75</v>
          </cell>
          <cell r="O289">
            <v>85</v>
          </cell>
          <cell r="P289">
            <v>95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</row>
        <row r="290">
          <cell r="C290" t="str">
            <v>差異</v>
          </cell>
          <cell r="D290">
            <v>-4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2.5</v>
          </cell>
          <cell r="O290">
            <v>2.5</v>
          </cell>
          <cell r="P290">
            <v>2.5</v>
          </cell>
          <cell r="Q290">
            <v>-106.5</v>
          </cell>
          <cell r="R290">
            <v>-76.5</v>
          </cell>
          <cell r="S290">
            <v>-76.5</v>
          </cell>
          <cell r="T290">
            <v>-76.5</v>
          </cell>
          <cell r="U290">
            <v>-86.5</v>
          </cell>
          <cell r="V290">
            <v>-56.5</v>
          </cell>
          <cell r="W290">
            <v>-36.5</v>
          </cell>
          <cell r="X290">
            <v>-46.5</v>
          </cell>
          <cell r="Y290">
            <v>-36.5</v>
          </cell>
          <cell r="Z290">
            <v>-36.5</v>
          </cell>
          <cell r="AA290">
            <v>-36.5</v>
          </cell>
          <cell r="AB290">
            <v>-41.5</v>
          </cell>
          <cell r="AC290">
            <v>-41.5</v>
          </cell>
          <cell r="AD290">
            <v>-41.5</v>
          </cell>
          <cell r="AE290">
            <v>-21.5</v>
          </cell>
          <cell r="AF290">
            <v>-21.5</v>
          </cell>
          <cell r="AG290">
            <v>-1.5</v>
          </cell>
          <cell r="AH290">
            <v>-1.5</v>
          </cell>
          <cell r="AI290">
            <v>-1.5</v>
          </cell>
        </row>
        <row r="291">
          <cell r="C291" t="str">
            <v>ﾊﾞﾝﾆﾝｸﾞ計画</v>
          </cell>
          <cell r="E291">
            <v>30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40</v>
          </cell>
          <cell r="K291">
            <v>0</v>
          </cell>
          <cell r="L291">
            <v>30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40</v>
          </cell>
          <cell r="S291">
            <v>0</v>
          </cell>
          <cell r="T291">
            <v>0</v>
          </cell>
          <cell r="U291">
            <v>0</v>
          </cell>
          <cell r="V291">
            <v>40</v>
          </cell>
          <cell r="W291">
            <v>30</v>
          </cell>
          <cell r="X291">
            <v>0</v>
          </cell>
          <cell r="Y291">
            <v>20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20</v>
          </cell>
          <cell r="AF291">
            <v>0</v>
          </cell>
          <cell r="AG291">
            <v>20</v>
          </cell>
          <cell r="AH291">
            <v>0</v>
          </cell>
          <cell r="AI291">
            <v>0</v>
          </cell>
        </row>
        <row r="292">
          <cell r="C292" t="str">
            <v>ｵｰﾀﾞｰ変更</v>
          </cell>
          <cell r="D292">
            <v>30</v>
          </cell>
          <cell r="E292">
            <v>0</v>
          </cell>
          <cell r="F292">
            <v>0</v>
          </cell>
          <cell r="G292">
            <v>0</v>
          </cell>
          <cell r="I292">
            <v>40</v>
          </cell>
          <cell r="K292">
            <v>30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Q292">
            <v>40</v>
          </cell>
          <cell r="S292">
            <v>0</v>
          </cell>
          <cell r="T292">
            <v>0</v>
          </cell>
          <cell r="U292">
            <v>40</v>
          </cell>
          <cell r="V292">
            <v>30</v>
          </cell>
          <cell r="W292">
            <v>0</v>
          </cell>
          <cell r="X292">
            <v>20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20</v>
          </cell>
          <cell r="AE292">
            <v>0</v>
          </cell>
          <cell r="AF292">
            <v>20</v>
          </cell>
          <cell r="AG292">
            <v>0</v>
          </cell>
          <cell r="AH292">
            <v>0</v>
          </cell>
          <cell r="AI292">
            <v>0</v>
          </cell>
        </row>
        <row r="293">
          <cell r="C293" t="str">
            <v>20日情報
(工場出荷)</v>
          </cell>
          <cell r="E293">
            <v>0</v>
          </cell>
          <cell r="F293">
            <v>0</v>
          </cell>
          <cell r="G293">
            <v>0</v>
          </cell>
          <cell r="H293">
            <v>40</v>
          </cell>
          <cell r="I293">
            <v>0</v>
          </cell>
          <cell r="J293">
            <v>30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40</v>
          </cell>
          <cell r="Q293">
            <v>0</v>
          </cell>
          <cell r="R293">
            <v>40</v>
          </cell>
          <cell r="S293">
            <v>0</v>
          </cell>
          <cell r="T293">
            <v>0</v>
          </cell>
          <cell r="U293">
            <v>0</v>
          </cell>
          <cell r="V293">
            <v>30</v>
          </cell>
          <cell r="W293">
            <v>0</v>
          </cell>
          <cell r="X293">
            <v>20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20</v>
          </cell>
          <cell r="AE293">
            <v>0</v>
          </cell>
          <cell r="AF293">
            <v>20</v>
          </cell>
          <cell r="AG293">
            <v>0</v>
          </cell>
          <cell r="AH293">
            <v>0</v>
          </cell>
          <cell r="AI293">
            <v>0</v>
          </cell>
        </row>
        <row r="294">
          <cell r="B294">
            <v>1285434</v>
          </cell>
          <cell r="C294" t="str">
            <v>梱包計画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5</v>
          </cell>
          <cell r="AC294">
            <v>5</v>
          </cell>
          <cell r="AD294">
            <v>5</v>
          </cell>
          <cell r="AE294">
            <v>5</v>
          </cell>
          <cell r="AF294">
            <v>5</v>
          </cell>
          <cell r="AG294">
            <v>0</v>
          </cell>
          <cell r="AH294">
            <v>0</v>
          </cell>
          <cell r="AI294">
            <v>0</v>
          </cell>
        </row>
        <row r="295">
          <cell r="C295" t="str">
            <v>(調整）</v>
          </cell>
          <cell r="AB295">
            <v>5</v>
          </cell>
          <cell r="AC295">
            <v>5</v>
          </cell>
          <cell r="AD295">
            <v>5</v>
          </cell>
          <cell r="AE295">
            <v>5</v>
          </cell>
          <cell r="AF295">
            <v>5</v>
          </cell>
        </row>
        <row r="296"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</row>
        <row r="297"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</row>
        <row r="298"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</row>
        <row r="299"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</row>
        <row r="300"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</row>
        <row r="301">
          <cell r="C301" t="str">
            <v>手直し等</v>
          </cell>
        </row>
        <row r="302">
          <cell r="C302" t="str">
            <v>出荷実績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</row>
        <row r="303">
          <cell r="C303" t="str">
            <v>停止時間（昼勤）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</row>
        <row r="304">
          <cell r="C304" t="str">
            <v>停止時間（夜勤）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</row>
        <row r="305">
          <cell r="B305">
            <v>1285434</v>
          </cell>
          <cell r="C305" t="str">
            <v>振替計画・実績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</row>
        <row r="306">
          <cell r="B306" t="str">
            <v>AW-E/NC</v>
          </cell>
          <cell r="C306" t="str">
            <v>在庫計画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5</v>
          </cell>
          <cell r="AC306">
            <v>10</v>
          </cell>
          <cell r="AD306">
            <v>15</v>
          </cell>
          <cell r="AE306">
            <v>20</v>
          </cell>
          <cell r="AF306">
            <v>25</v>
          </cell>
          <cell r="AG306">
            <v>25</v>
          </cell>
          <cell r="AH306">
            <v>25</v>
          </cell>
          <cell r="AI306">
            <v>25</v>
          </cell>
        </row>
        <row r="307">
          <cell r="C307" t="str">
            <v>在庫実績(社内)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1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</row>
        <row r="308">
          <cell r="C308" t="str">
            <v>在庫実績(物流)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</row>
        <row r="309">
          <cell r="C309" t="str">
            <v>差異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1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-5</v>
          </cell>
          <cell r="AC309">
            <v>-10</v>
          </cell>
          <cell r="AD309">
            <v>-15</v>
          </cell>
          <cell r="AE309">
            <v>-20</v>
          </cell>
          <cell r="AF309">
            <v>-25</v>
          </cell>
          <cell r="AG309">
            <v>-25</v>
          </cell>
          <cell r="AH309">
            <v>-25</v>
          </cell>
          <cell r="AI309">
            <v>-25</v>
          </cell>
        </row>
        <row r="310">
          <cell r="B310" t="str">
            <v>ＶＯＬＶＯ　ＡＷＮＣ</v>
          </cell>
          <cell r="C310" t="str">
            <v>ﾊﾞﾝﾆﾝｸﾞ計画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</row>
        <row r="311">
          <cell r="C311" t="str">
            <v>ｵｰﾀﾞｰ変更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</row>
        <row r="312">
          <cell r="C312" t="str">
            <v>20日情報
(工場出荷)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</row>
        <row r="313">
          <cell r="B313" t="str">
            <v>AW-E</v>
          </cell>
          <cell r="C313" t="str">
            <v>ﾊﾞﾝﾆﾝｸﾞ計画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</row>
        <row r="314">
          <cell r="C314" t="str">
            <v>ｵｰﾀﾞｰ変更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</row>
        <row r="315">
          <cell r="C315" t="str">
            <v>20日情報
(工場出荷)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</row>
        <row r="316">
          <cell r="B316">
            <v>1285435</v>
          </cell>
          <cell r="C316" t="str">
            <v>梱包計画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5</v>
          </cell>
          <cell r="AC316">
            <v>5</v>
          </cell>
          <cell r="AD316">
            <v>5</v>
          </cell>
          <cell r="AE316">
            <v>5</v>
          </cell>
          <cell r="AF316">
            <v>5</v>
          </cell>
          <cell r="AG316">
            <v>0</v>
          </cell>
          <cell r="AH316">
            <v>0</v>
          </cell>
          <cell r="AI316">
            <v>0</v>
          </cell>
        </row>
        <row r="317">
          <cell r="C317" t="str">
            <v>(調整）</v>
          </cell>
          <cell r="AB317">
            <v>5</v>
          </cell>
          <cell r="AC317">
            <v>5</v>
          </cell>
          <cell r="AD317">
            <v>5</v>
          </cell>
          <cell r="AE317">
            <v>5</v>
          </cell>
          <cell r="AF317">
            <v>5</v>
          </cell>
        </row>
        <row r="318"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</row>
        <row r="319"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</row>
        <row r="320"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</row>
        <row r="321"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</row>
        <row r="322"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</row>
        <row r="323">
          <cell r="C323" t="str">
            <v>手直し等</v>
          </cell>
        </row>
        <row r="324">
          <cell r="C324" t="str">
            <v>出荷実績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</row>
        <row r="325">
          <cell r="C325" t="str">
            <v>停止時間（昼勤）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</row>
        <row r="326">
          <cell r="C326" t="str">
            <v>停止時間（夜勤）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</row>
        <row r="327">
          <cell r="B327">
            <v>1285435</v>
          </cell>
          <cell r="C327" t="str">
            <v>振替計画・実績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</row>
        <row r="328">
          <cell r="B328" t="str">
            <v>AW-Eのみ</v>
          </cell>
          <cell r="C328" t="str">
            <v>在庫計画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2.5</v>
          </cell>
          <cell r="AC328">
            <v>7.5</v>
          </cell>
          <cell r="AD328">
            <v>12.5</v>
          </cell>
          <cell r="AE328">
            <v>17.5</v>
          </cell>
          <cell r="AF328">
            <v>22.5</v>
          </cell>
          <cell r="AG328">
            <v>22.5</v>
          </cell>
          <cell r="AH328">
            <v>25</v>
          </cell>
          <cell r="AI328">
            <v>27.5</v>
          </cell>
        </row>
        <row r="329">
          <cell r="C329" t="str">
            <v>在庫実績(社内)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6</v>
          </cell>
          <cell r="O329">
            <v>2</v>
          </cell>
          <cell r="P329">
            <v>6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</row>
        <row r="330">
          <cell r="C330" t="str">
            <v>在庫実績(物流)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</row>
        <row r="331">
          <cell r="C331" t="str">
            <v>差異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6</v>
          </cell>
          <cell r="O331">
            <v>2</v>
          </cell>
          <cell r="P331">
            <v>6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-2.5</v>
          </cell>
          <cell r="AC331">
            <v>-7.5</v>
          </cell>
          <cell r="AD331">
            <v>-12.5</v>
          </cell>
          <cell r="AE331">
            <v>-17.5</v>
          </cell>
          <cell r="AF331">
            <v>-22.5</v>
          </cell>
          <cell r="AG331">
            <v>-22.5</v>
          </cell>
          <cell r="AH331">
            <v>-25</v>
          </cell>
          <cell r="AI331">
            <v>-27.5</v>
          </cell>
        </row>
        <row r="332">
          <cell r="C332" t="str">
            <v>ﾊﾞﾝﾆﾝｸﾞ計画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</row>
        <row r="333">
          <cell r="C333" t="str">
            <v>ｵｰﾀﾞｰ変更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</row>
        <row r="334">
          <cell r="C334" t="str">
            <v>20日情報
(工場出荷)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</row>
        <row r="335">
          <cell r="D335">
            <v>0</v>
          </cell>
        </row>
      </sheetData>
      <sheetData sheetId="7">
        <row r="13">
          <cell r="B13" t="str">
            <v>305108GA076</v>
          </cell>
          <cell r="C13" t="str">
            <v>梱包計画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</row>
        <row r="14">
          <cell r="C14" t="str">
            <v>(調整）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</row>
        <row r="20">
          <cell r="C20" t="str">
            <v>手直し等</v>
          </cell>
        </row>
        <row r="21">
          <cell r="C21" t="str">
            <v>出荷実績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</row>
        <row r="22">
          <cell r="C22" t="str">
            <v>停止時間（昼勤）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</row>
        <row r="23">
          <cell r="C23" t="str">
            <v>停止時間（夜勤）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</row>
        <row r="24">
          <cell r="B24" t="str">
            <v>305108GA076</v>
          </cell>
          <cell r="C24" t="str">
            <v>振替計画・実績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</row>
        <row r="25">
          <cell r="C25" t="str">
            <v>在庫計画</v>
          </cell>
          <cell r="D25">
            <v>125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</row>
        <row r="26">
          <cell r="C26" t="str">
            <v>在庫実績(社内)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1</v>
          </cell>
          <cell r="P26">
            <v>1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</row>
        <row r="27">
          <cell r="C27" t="str">
            <v>在庫実績(物流)</v>
          </cell>
          <cell r="D27">
            <v>125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</row>
        <row r="28">
          <cell r="C28" t="str">
            <v>差異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1</v>
          </cell>
          <cell r="P28">
            <v>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</row>
        <row r="29">
          <cell r="C29" t="str">
            <v>ﾊﾞﾝﾆﾝｸﾞ計画</v>
          </cell>
          <cell r="E29">
            <v>125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</row>
        <row r="30">
          <cell r="C30" t="str">
            <v>ｵｰﾀﾞｰ変更</v>
          </cell>
          <cell r="D30">
            <v>125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</row>
        <row r="31">
          <cell r="C31" t="str">
            <v>20日情報
(工場出荷)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</row>
        <row r="32">
          <cell r="B32" t="str">
            <v>305108GA079</v>
          </cell>
          <cell r="C32" t="str">
            <v>梱包計画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</row>
        <row r="33">
          <cell r="C33" t="str">
            <v>(調整）</v>
          </cell>
        </row>
        <row r="34"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</row>
        <row r="35"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</row>
        <row r="36"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</row>
        <row r="37"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</row>
        <row r="39">
          <cell r="C39" t="str">
            <v>手直し等</v>
          </cell>
        </row>
        <row r="40">
          <cell r="C40" t="str">
            <v>出荷実績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</row>
        <row r="41">
          <cell r="C41" t="str">
            <v>停止時間（昼勤）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</row>
        <row r="42">
          <cell r="C42" t="str">
            <v>停止時間（夜勤）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</row>
        <row r="43">
          <cell r="B43" t="str">
            <v>305108GA079</v>
          </cell>
          <cell r="C43" t="str">
            <v>振替計画・実績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</row>
        <row r="44">
          <cell r="C44" t="str">
            <v>在庫計画</v>
          </cell>
          <cell r="D44">
            <v>80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</row>
        <row r="45">
          <cell r="C45" t="str">
            <v>在庫実績(社内)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</row>
        <row r="46">
          <cell r="C46" t="str">
            <v>在庫実績(物流)</v>
          </cell>
          <cell r="D46">
            <v>80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</row>
        <row r="47">
          <cell r="C47" t="str">
            <v>差異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</row>
        <row r="48">
          <cell r="C48" t="str">
            <v>ﾊﾞﾝﾆﾝｸﾞ計画</v>
          </cell>
          <cell r="E48">
            <v>80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</row>
        <row r="49">
          <cell r="C49" t="str">
            <v>ｵｰﾀﾞｰ変更</v>
          </cell>
          <cell r="D49">
            <v>80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</row>
        <row r="50">
          <cell r="C50" t="str">
            <v>20日情報
(工場出荷)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B51" t="str">
            <v>305108GA090</v>
          </cell>
          <cell r="C51" t="str">
            <v>梱包計画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</row>
        <row r="52">
          <cell r="C52" t="str">
            <v>(調整）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D53">
            <v>0</v>
          </cell>
          <cell r="E53">
            <v>0</v>
          </cell>
        </row>
        <row r="54">
          <cell r="D54">
            <v>0</v>
          </cell>
          <cell r="E54">
            <v>0</v>
          </cell>
        </row>
        <row r="55">
          <cell r="D55">
            <v>0</v>
          </cell>
          <cell r="E55">
            <v>0</v>
          </cell>
        </row>
        <row r="56">
          <cell r="D56">
            <v>0</v>
          </cell>
          <cell r="E56">
            <v>0</v>
          </cell>
        </row>
        <row r="57">
          <cell r="D57">
            <v>0</v>
          </cell>
          <cell r="E57">
            <v>0</v>
          </cell>
        </row>
        <row r="58">
          <cell r="C58" t="str">
            <v>手直し等</v>
          </cell>
        </row>
        <row r="59">
          <cell r="C59" t="str">
            <v>出荷実績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</row>
        <row r="60">
          <cell r="C60" t="str">
            <v>停止時間（昼勤）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</row>
        <row r="61">
          <cell r="C61" t="str">
            <v>停止時間（夜勤）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</row>
        <row r="62">
          <cell r="B62" t="str">
            <v>305108GA090</v>
          </cell>
          <cell r="C62" t="str">
            <v>振替計画・実績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</row>
        <row r="63">
          <cell r="C63" t="str">
            <v>在庫計画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</row>
        <row r="64">
          <cell r="C64" t="str">
            <v>在庫実績(社内)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</row>
        <row r="65">
          <cell r="C65" t="str">
            <v>在庫実績(物流)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</row>
        <row r="66">
          <cell r="C66" t="str">
            <v>差異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</row>
        <row r="67">
          <cell r="C67" t="str">
            <v>ﾊﾞﾝﾆﾝｸﾞ計画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</row>
        <row r="68">
          <cell r="C68" t="str">
            <v>ｵｰﾀﾞｰ変更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</row>
        <row r="69">
          <cell r="C69" t="str">
            <v>20日情報
(工場出荷)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</row>
        <row r="70">
          <cell r="B70" t="str">
            <v>305108GA091</v>
          </cell>
          <cell r="C70" t="str">
            <v>梱包計画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</row>
        <row r="71">
          <cell r="C71" t="str">
            <v>(調整）</v>
          </cell>
        </row>
        <row r="72">
          <cell r="D72">
            <v>0</v>
          </cell>
          <cell r="E72">
            <v>0</v>
          </cell>
        </row>
        <row r="73">
          <cell r="D73">
            <v>0</v>
          </cell>
          <cell r="E73">
            <v>0</v>
          </cell>
        </row>
        <row r="74">
          <cell r="D74">
            <v>0</v>
          </cell>
          <cell r="E74">
            <v>0</v>
          </cell>
        </row>
        <row r="75">
          <cell r="D75">
            <v>0</v>
          </cell>
          <cell r="E75">
            <v>0</v>
          </cell>
        </row>
        <row r="76">
          <cell r="D76">
            <v>0</v>
          </cell>
          <cell r="E76">
            <v>0</v>
          </cell>
        </row>
        <row r="77">
          <cell r="C77" t="str">
            <v>手直し等</v>
          </cell>
        </row>
        <row r="78">
          <cell r="C78" t="str">
            <v>出荷実績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</row>
        <row r="79">
          <cell r="C79" t="str">
            <v>停止時間（昼勤）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</row>
        <row r="80">
          <cell r="C80" t="str">
            <v>停止時間（夜勤）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</row>
        <row r="81">
          <cell r="B81" t="str">
            <v>305108GA091</v>
          </cell>
          <cell r="C81" t="str">
            <v>振替計画・実績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</row>
        <row r="82">
          <cell r="C82" t="str">
            <v>在庫計画</v>
          </cell>
          <cell r="D82">
            <v>30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</row>
        <row r="83">
          <cell r="C83" t="str">
            <v>在庫実績(社内)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</row>
        <row r="84">
          <cell r="C84" t="str">
            <v>在庫実績(物流)</v>
          </cell>
          <cell r="D84">
            <v>30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</row>
        <row r="85">
          <cell r="C85" t="str">
            <v>差異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</row>
        <row r="86">
          <cell r="C86" t="str">
            <v>ﾊﾞﾝﾆﾝｸﾞ計画</v>
          </cell>
          <cell r="E86">
            <v>30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</row>
        <row r="87">
          <cell r="C87" t="str">
            <v>ｵｰﾀﾞｰ変更</v>
          </cell>
          <cell r="D87">
            <v>30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</row>
        <row r="88">
          <cell r="C88" t="str">
            <v>20日情報
(工場出荷)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</row>
        <row r="89">
          <cell r="B89" t="str">
            <v>305108GA092</v>
          </cell>
          <cell r="C89" t="str">
            <v>梱包計画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</row>
        <row r="90">
          <cell r="C90" t="str">
            <v>(調整）</v>
          </cell>
        </row>
        <row r="91"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</row>
        <row r="92"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</row>
        <row r="93"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</row>
        <row r="94"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</row>
        <row r="95"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</row>
        <row r="96">
          <cell r="C96" t="str">
            <v>手直し等</v>
          </cell>
        </row>
        <row r="97">
          <cell r="C97" t="str">
            <v>出荷実績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</row>
        <row r="98">
          <cell r="C98" t="str">
            <v>停止時間（昼勤）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</row>
        <row r="99">
          <cell r="C99" t="str">
            <v>停止時間（夜勤）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B100" t="str">
            <v>305108GA092</v>
          </cell>
          <cell r="C100" t="str">
            <v>振替計画・実績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</row>
        <row r="101">
          <cell r="C101" t="str">
            <v>在庫計画</v>
          </cell>
          <cell r="D101">
            <v>140</v>
          </cell>
          <cell r="E101">
            <v>5</v>
          </cell>
          <cell r="F101">
            <v>5</v>
          </cell>
          <cell r="G101">
            <v>5</v>
          </cell>
          <cell r="H101">
            <v>5</v>
          </cell>
          <cell r="I101">
            <v>5</v>
          </cell>
          <cell r="J101">
            <v>5</v>
          </cell>
          <cell r="K101">
            <v>5</v>
          </cell>
          <cell r="L101">
            <v>5</v>
          </cell>
          <cell r="M101">
            <v>5</v>
          </cell>
          <cell r="N101">
            <v>5</v>
          </cell>
          <cell r="O101">
            <v>5</v>
          </cell>
          <cell r="P101">
            <v>5</v>
          </cell>
          <cell r="Q101">
            <v>5</v>
          </cell>
          <cell r="R101">
            <v>5</v>
          </cell>
          <cell r="S101">
            <v>5</v>
          </cell>
          <cell r="T101">
            <v>5</v>
          </cell>
          <cell r="U101">
            <v>5</v>
          </cell>
          <cell r="V101">
            <v>5</v>
          </cell>
          <cell r="W101">
            <v>5</v>
          </cell>
          <cell r="X101">
            <v>5</v>
          </cell>
          <cell r="Y101">
            <v>5</v>
          </cell>
          <cell r="Z101">
            <v>5</v>
          </cell>
          <cell r="AA101">
            <v>5</v>
          </cell>
          <cell r="AB101">
            <v>5</v>
          </cell>
          <cell r="AC101">
            <v>5</v>
          </cell>
          <cell r="AD101">
            <v>5</v>
          </cell>
          <cell r="AE101">
            <v>5</v>
          </cell>
          <cell r="AF101">
            <v>5</v>
          </cell>
          <cell r="AG101">
            <v>5</v>
          </cell>
          <cell r="AH101">
            <v>5</v>
          </cell>
          <cell r="AI101">
            <v>5</v>
          </cell>
        </row>
        <row r="102">
          <cell r="C102" t="str">
            <v>在庫実績(社内)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2</v>
          </cell>
          <cell r="O102">
            <v>2</v>
          </cell>
          <cell r="P102">
            <v>2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</row>
        <row r="103">
          <cell r="C103" t="str">
            <v>在庫実績(物流)</v>
          </cell>
          <cell r="D103">
            <v>140</v>
          </cell>
          <cell r="E103">
            <v>5</v>
          </cell>
          <cell r="F103">
            <v>5</v>
          </cell>
          <cell r="G103">
            <v>5</v>
          </cell>
          <cell r="H103">
            <v>5</v>
          </cell>
          <cell r="I103">
            <v>5</v>
          </cell>
          <cell r="J103">
            <v>5</v>
          </cell>
          <cell r="K103">
            <v>5</v>
          </cell>
          <cell r="L103">
            <v>5</v>
          </cell>
          <cell r="M103">
            <v>5</v>
          </cell>
          <cell r="N103">
            <v>5</v>
          </cell>
          <cell r="O103">
            <v>5</v>
          </cell>
          <cell r="P103">
            <v>5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</row>
        <row r="104">
          <cell r="C104" t="str">
            <v>差異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2</v>
          </cell>
          <cell r="O104">
            <v>2</v>
          </cell>
          <cell r="P104">
            <v>2</v>
          </cell>
          <cell r="Q104">
            <v>-5</v>
          </cell>
          <cell r="R104">
            <v>-5</v>
          </cell>
          <cell r="S104">
            <v>-5</v>
          </cell>
          <cell r="T104">
            <v>-5</v>
          </cell>
          <cell r="U104">
            <v>-5</v>
          </cell>
          <cell r="V104">
            <v>-5</v>
          </cell>
          <cell r="W104">
            <v>-5</v>
          </cell>
          <cell r="X104">
            <v>-5</v>
          </cell>
          <cell r="Y104">
            <v>-5</v>
          </cell>
          <cell r="Z104">
            <v>-5</v>
          </cell>
          <cell r="AA104">
            <v>-5</v>
          </cell>
          <cell r="AB104">
            <v>-5</v>
          </cell>
          <cell r="AC104">
            <v>-5</v>
          </cell>
          <cell r="AD104">
            <v>-5</v>
          </cell>
          <cell r="AE104">
            <v>-5</v>
          </cell>
          <cell r="AF104">
            <v>-5</v>
          </cell>
          <cell r="AG104">
            <v>-5</v>
          </cell>
          <cell r="AH104">
            <v>-5</v>
          </cell>
          <cell r="AI104">
            <v>-5</v>
          </cell>
        </row>
        <row r="105">
          <cell r="C105" t="str">
            <v>ﾊﾞﾝﾆﾝｸﾞ計画</v>
          </cell>
          <cell r="E105">
            <v>135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</row>
        <row r="106">
          <cell r="C106" t="str">
            <v>ｵｰﾀﾞｰ変更</v>
          </cell>
          <cell r="D106">
            <v>135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</row>
        <row r="107">
          <cell r="C107" t="str">
            <v>20日情報
(工場出荷)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</row>
        <row r="108">
          <cell r="B108" t="str">
            <v>305108GA093</v>
          </cell>
          <cell r="C108" t="str">
            <v>梱包計画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</row>
        <row r="109">
          <cell r="C109" t="str">
            <v>(調整）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</row>
        <row r="110"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</row>
        <row r="111"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</row>
        <row r="112"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</row>
        <row r="113"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</row>
        <row r="114"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</row>
        <row r="115">
          <cell r="C115" t="str">
            <v>手直し等</v>
          </cell>
        </row>
        <row r="116">
          <cell r="C116" t="str">
            <v>出荷実績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</row>
        <row r="117">
          <cell r="C117" t="str">
            <v>停止時間（昼勤）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</row>
        <row r="118">
          <cell r="C118" t="str">
            <v>停止時間（夜勤）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</row>
        <row r="119">
          <cell r="B119" t="str">
            <v>305108GA093</v>
          </cell>
          <cell r="C119" t="str">
            <v>振替計画・実績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</row>
        <row r="120">
          <cell r="C120" t="str">
            <v>在庫計画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</row>
        <row r="121">
          <cell r="C121" t="str">
            <v>在庫実績(社内)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</row>
        <row r="122">
          <cell r="C122" t="str">
            <v>在庫実績(物流)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</row>
        <row r="123">
          <cell r="C123" t="str">
            <v>差異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</row>
        <row r="124">
          <cell r="C124" t="str">
            <v>ﾊﾞﾝﾆﾝｸﾞ計画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</row>
        <row r="125">
          <cell r="C125" t="str">
            <v>ｵｰﾀﾞｰ変更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</row>
        <row r="126">
          <cell r="C126" t="str">
            <v>20日情報
(工場出荷)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</row>
        <row r="127">
          <cell r="B127" t="str">
            <v>305108GA094</v>
          </cell>
          <cell r="C127" t="str">
            <v>梱包計画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</row>
        <row r="128">
          <cell r="C128" t="str">
            <v>(調整）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</row>
        <row r="130"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</row>
        <row r="131"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</row>
        <row r="132"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</row>
        <row r="133"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</row>
        <row r="134">
          <cell r="C134" t="str">
            <v>手直し等</v>
          </cell>
        </row>
        <row r="135">
          <cell r="C135" t="str">
            <v>出荷実績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</row>
        <row r="136">
          <cell r="C136" t="str">
            <v>停止時間（昼勤）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</row>
        <row r="137">
          <cell r="C137" t="str">
            <v>停止時間（夜勤）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</row>
        <row r="138">
          <cell r="B138" t="str">
            <v>305108GA094</v>
          </cell>
          <cell r="C138" t="str">
            <v>振替計画・実績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</row>
        <row r="139">
          <cell r="C139" t="str">
            <v>在庫計画</v>
          </cell>
          <cell r="D139">
            <v>125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</row>
        <row r="140">
          <cell r="C140" t="str">
            <v>在庫実績(社内)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</row>
        <row r="141">
          <cell r="C141" t="str">
            <v>在庫実績(物流)</v>
          </cell>
          <cell r="D141">
            <v>125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</row>
        <row r="142">
          <cell r="C142" t="str">
            <v>差異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</row>
        <row r="143">
          <cell r="C143" t="str">
            <v>ﾊﾞﾝﾆﾝｸﾞ計画</v>
          </cell>
          <cell r="E143">
            <v>125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</row>
        <row r="144">
          <cell r="C144" t="str">
            <v>ｵｰﾀﾞｰ変更</v>
          </cell>
          <cell r="D144">
            <v>125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</row>
        <row r="145">
          <cell r="C145" t="str">
            <v>20日情報
(工場出荷)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</row>
        <row r="146">
          <cell r="B146" t="str">
            <v>305108GA095</v>
          </cell>
          <cell r="C146" t="str">
            <v>梱包計画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</row>
        <row r="147">
          <cell r="C147" t="str">
            <v>(調整）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</row>
        <row r="150"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</row>
        <row r="151"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</row>
        <row r="152"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</row>
        <row r="153">
          <cell r="C153" t="str">
            <v>手直し等</v>
          </cell>
        </row>
        <row r="154">
          <cell r="C154" t="str">
            <v>出荷実績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</row>
        <row r="155">
          <cell r="C155" t="str">
            <v>停止時間（昼勤）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</row>
        <row r="156">
          <cell r="C156" t="str">
            <v>停止時間（夜勤）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</row>
        <row r="157">
          <cell r="B157" t="str">
            <v>305108GA095</v>
          </cell>
          <cell r="C157" t="str">
            <v>振替計画・実績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</row>
        <row r="158">
          <cell r="C158" t="str">
            <v>在庫計画</v>
          </cell>
          <cell r="D158">
            <v>1</v>
          </cell>
          <cell r="E158">
            <v>1</v>
          </cell>
          <cell r="F158">
            <v>1</v>
          </cell>
          <cell r="G158">
            <v>1</v>
          </cell>
          <cell r="H158">
            <v>1</v>
          </cell>
          <cell r="I158">
            <v>1</v>
          </cell>
          <cell r="J158">
            <v>1</v>
          </cell>
          <cell r="K158">
            <v>1</v>
          </cell>
          <cell r="L158">
            <v>1</v>
          </cell>
          <cell r="M158">
            <v>1</v>
          </cell>
          <cell r="N158">
            <v>1</v>
          </cell>
          <cell r="O158">
            <v>1</v>
          </cell>
          <cell r="P158">
            <v>1</v>
          </cell>
          <cell r="Q158">
            <v>1</v>
          </cell>
          <cell r="R158">
            <v>1</v>
          </cell>
          <cell r="S158">
            <v>1</v>
          </cell>
          <cell r="T158">
            <v>1</v>
          </cell>
          <cell r="U158">
            <v>1</v>
          </cell>
          <cell r="V158">
            <v>1</v>
          </cell>
          <cell r="W158">
            <v>1</v>
          </cell>
          <cell r="X158">
            <v>1</v>
          </cell>
          <cell r="Y158">
            <v>1</v>
          </cell>
          <cell r="Z158">
            <v>1</v>
          </cell>
          <cell r="AA158">
            <v>1</v>
          </cell>
          <cell r="AB158">
            <v>1</v>
          </cell>
          <cell r="AC158">
            <v>1</v>
          </cell>
          <cell r="AD158">
            <v>1</v>
          </cell>
          <cell r="AE158">
            <v>1</v>
          </cell>
          <cell r="AF158">
            <v>1</v>
          </cell>
          <cell r="AG158">
            <v>1</v>
          </cell>
          <cell r="AH158">
            <v>1</v>
          </cell>
          <cell r="AI158">
            <v>1</v>
          </cell>
        </row>
        <row r="159">
          <cell r="C159" t="str">
            <v>在庫実績(社内)</v>
          </cell>
          <cell r="D159">
            <v>1</v>
          </cell>
          <cell r="E159">
            <v>1</v>
          </cell>
          <cell r="F159">
            <v>1</v>
          </cell>
          <cell r="G159">
            <v>1</v>
          </cell>
          <cell r="H159">
            <v>1</v>
          </cell>
          <cell r="I159">
            <v>1</v>
          </cell>
          <cell r="J159">
            <v>1</v>
          </cell>
          <cell r="K159">
            <v>1</v>
          </cell>
          <cell r="L159">
            <v>1</v>
          </cell>
          <cell r="M159">
            <v>1</v>
          </cell>
          <cell r="N159">
            <v>1</v>
          </cell>
          <cell r="O159">
            <v>1</v>
          </cell>
          <cell r="P159">
            <v>1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</row>
        <row r="160">
          <cell r="C160" t="str">
            <v>在庫実績(物流)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</row>
        <row r="161">
          <cell r="C161" t="str">
            <v>差異</v>
          </cell>
          <cell r="D161">
            <v>-1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-1</v>
          </cell>
          <cell r="R161">
            <v>-1</v>
          </cell>
          <cell r="S161">
            <v>-1</v>
          </cell>
          <cell r="T161">
            <v>-1</v>
          </cell>
          <cell r="U161">
            <v>-1</v>
          </cell>
          <cell r="V161">
            <v>-1</v>
          </cell>
          <cell r="W161">
            <v>-1</v>
          </cell>
          <cell r="X161">
            <v>-1</v>
          </cell>
          <cell r="Y161">
            <v>-1</v>
          </cell>
          <cell r="Z161">
            <v>-1</v>
          </cell>
          <cell r="AA161">
            <v>-1</v>
          </cell>
          <cell r="AB161">
            <v>-1</v>
          </cell>
          <cell r="AC161">
            <v>-1</v>
          </cell>
          <cell r="AD161">
            <v>-1</v>
          </cell>
          <cell r="AE161">
            <v>-1</v>
          </cell>
          <cell r="AF161">
            <v>-1</v>
          </cell>
          <cell r="AG161">
            <v>-1</v>
          </cell>
          <cell r="AH161">
            <v>-1</v>
          </cell>
          <cell r="AI161">
            <v>-1</v>
          </cell>
        </row>
        <row r="162">
          <cell r="C162" t="str">
            <v>ﾊﾞﾝﾆﾝｸﾞ計画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</row>
        <row r="163">
          <cell r="C163" t="str">
            <v>ｵｰﾀﾞｰ変更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</row>
        <row r="164">
          <cell r="C164" t="str">
            <v>20日情報
(工場出荷)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</row>
        <row r="165">
          <cell r="B165" t="str">
            <v>305108GA096</v>
          </cell>
          <cell r="C165" t="str">
            <v>梱包計画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</row>
        <row r="166">
          <cell r="C166" t="str">
            <v>(調整）</v>
          </cell>
        </row>
        <row r="167">
          <cell r="D167">
            <v>0</v>
          </cell>
          <cell r="E167">
            <v>0</v>
          </cell>
          <cell r="AH167">
            <v>0</v>
          </cell>
          <cell r="AI167">
            <v>0</v>
          </cell>
        </row>
        <row r="168">
          <cell r="D168">
            <v>0</v>
          </cell>
          <cell r="E168">
            <v>0</v>
          </cell>
          <cell r="AH168">
            <v>0</v>
          </cell>
          <cell r="AI168">
            <v>0</v>
          </cell>
        </row>
        <row r="169">
          <cell r="D169">
            <v>0</v>
          </cell>
          <cell r="E169">
            <v>0</v>
          </cell>
          <cell r="AH169">
            <v>0</v>
          </cell>
          <cell r="AI169">
            <v>0</v>
          </cell>
        </row>
        <row r="170">
          <cell r="D170">
            <v>0</v>
          </cell>
          <cell r="E170">
            <v>0</v>
          </cell>
          <cell r="AH170">
            <v>0</v>
          </cell>
          <cell r="AI170">
            <v>0</v>
          </cell>
        </row>
        <row r="171">
          <cell r="D171">
            <v>0</v>
          </cell>
          <cell r="E171">
            <v>0</v>
          </cell>
          <cell r="AH171">
            <v>0</v>
          </cell>
          <cell r="AI171">
            <v>0</v>
          </cell>
        </row>
        <row r="172">
          <cell r="C172" t="str">
            <v>手直し等</v>
          </cell>
        </row>
        <row r="173">
          <cell r="C173" t="str">
            <v>出荷実績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</row>
        <row r="174">
          <cell r="C174" t="str">
            <v>停止時間（昼勤）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</row>
        <row r="175">
          <cell r="C175" t="str">
            <v>停止時間（夜勤）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</row>
        <row r="176">
          <cell r="B176" t="str">
            <v>305108GA096</v>
          </cell>
          <cell r="C176" t="str">
            <v>振替計画・実績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</row>
        <row r="177">
          <cell r="C177" t="str">
            <v>在庫計画</v>
          </cell>
          <cell r="D177">
            <v>10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</row>
        <row r="178">
          <cell r="C178" t="str">
            <v>在庫実績(社内)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</row>
        <row r="179">
          <cell r="C179" t="str">
            <v>在庫実績(物流)</v>
          </cell>
          <cell r="D179">
            <v>10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</row>
        <row r="180">
          <cell r="C180" t="str">
            <v>差異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</row>
        <row r="181">
          <cell r="C181" t="str">
            <v>ﾊﾞﾝﾆﾝｸﾞ計画</v>
          </cell>
          <cell r="E181">
            <v>10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</row>
        <row r="182">
          <cell r="C182" t="str">
            <v>ｵｰﾀﾞｰ変更</v>
          </cell>
          <cell r="D182">
            <v>10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</row>
        <row r="183">
          <cell r="C183" t="str">
            <v>20日情報
(工場出荷)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</row>
        <row r="184">
          <cell r="B184" t="str">
            <v>305108GA097</v>
          </cell>
          <cell r="C184" t="str">
            <v>梱包計画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</row>
        <row r="185">
          <cell r="C185" t="str">
            <v>(調整）</v>
          </cell>
        </row>
        <row r="186"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</row>
        <row r="187"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</row>
        <row r="188"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</row>
        <row r="189"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</row>
        <row r="190"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</row>
        <row r="191">
          <cell r="C191" t="str">
            <v>手直し等</v>
          </cell>
        </row>
        <row r="192">
          <cell r="C192" t="str">
            <v>出荷実績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</row>
        <row r="193">
          <cell r="C193" t="str">
            <v>停止時間（昼勤）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</row>
        <row r="194">
          <cell r="C194" t="str">
            <v>停止時間（夜勤）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</row>
        <row r="195">
          <cell r="B195" t="str">
            <v>305108GA097</v>
          </cell>
          <cell r="C195" t="str">
            <v>振替計画・実績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</row>
        <row r="196">
          <cell r="C196" t="str">
            <v>在庫計画</v>
          </cell>
          <cell r="D196">
            <v>230</v>
          </cell>
          <cell r="E196">
            <v>5</v>
          </cell>
          <cell r="F196">
            <v>5</v>
          </cell>
          <cell r="G196">
            <v>5</v>
          </cell>
          <cell r="H196">
            <v>5</v>
          </cell>
          <cell r="I196">
            <v>5</v>
          </cell>
          <cell r="J196">
            <v>5</v>
          </cell>
          <cell r="K196">
            <v>5</v>
          </cell>
          <cell r="L196">
            <v>5</v>
          </cell>
          <cell r="M196">
            <v>5</v>
          </cell>
          <cell r="N196">
            <v>5</v>
          </cell>
          <cell r="O196">
            <v>5</v>
          </cell>
          <cell r="P196">
            <v>5</v>
          </cell>
          <cell r="Q196">
            <v>5</v>
          </cell>
          <cell r="R196">
            <v>5</v>
          </cell>
          <cell r="S196">
            <v>5</v>
          </cell>
          <cell r="T196">
            <v>5</v>
          </cell>
          <cell r="U196">
            <v>5</v>
          </cell>
          <cell r="V196">
            <v>5</v>
          </cell>
          <cell r="W196">
            <v>5</v>
          </cell>
          <cell r="X196">
            <v>5</v>
          </cell>
          <cell r="Y196">
            <v>5</v>
          </cell>
          <cell r="Z196">
            <v>5</v>
          </cell>
          <cell r="AA196">
            <v>5</v>
          </cell>
          <cell r="AB196">
            <v>5</v>
          </cell>
          <cell r="AC196">
            <v>5</v>
          </cell>
          <cell r="AD196">
            <v>5</v>
          </cell>
          <cell r="AE196">
            <v>5</v>
          </cell>
          <cell r="AF196">
            <v>5</v>
          </cell>
          <cell r="AG196">
            <v>5</v>
          </cell>
          <cell r="AH196">
            <v>5</v>
          </cell>
          <cell r="AI196">
            <v>5</v>
          </cell>
        </row>
        <row r="197">
          <cell r="C197" t="str">
            <v>在庫実績(社内)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3</v>
          </cell>
          <cell r="O197">
            <v>3</v>
          </cell>
          <cell r="P197">
            <v>3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</row>
        <row r="198">
          <cell r="C198" t="str">
            <v>在庫実績(物流)</v>
          </cell>
          <cell r="D198">
            <v>230</v>
          </cell>
          <cell r="E198">
            <v>5</v>
          </cell>
          <cell r="F198">
            <v>5</v>
          </cell>
          <cell r="G198">
            <v>5</v>
          </cell>
          <cell r="H198">
            <v>5</v>
          </cell>
          <cell r="I198">
            <v>5</v>
          </cell>
          <cell r="J198">
            <v>5</v>
          </cell>
          <cell r="K198">
            <v>5</v>
          </cell>
          <cell r="L198">
            <v>5</v>
          </cell>
          <cell r="M198">
            <v>5</v>
          </cell>
          <cell r="N198">
            <v>5</v>
          </cell>
          <cell r="O198">
            <v>5</v>
          </cell>
          <cell r="P198">
            <v>5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</row>
        <row r="199">
          <cell r="C199" t="str">
            <v>差異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3</v>
          </cell>
          <cell r="O199">
            <v>3</v>
          </cell>
          <cell r="P199">
            <v>3</v>
          </cell>
          <cell r="Q199">
            <v>-5</v>
          </cell>
          <cell r="R199">
            <v>-5</v>
          </cell>
          <cell r="S199">
            <v>-5</v>
          </cell>
          <cell r="T199">
            <v>-5</v>
          </cell>
          <cell r="U199">
            <v>-5</v>
          </cell>
          <cell r="V199">
            <v>-5</v>
          </cell>
          <cell r="W199">
            <v>-5</v>
          </cell>
          <cell r="X199">
            <v>-5</v>
          </cell>
          <cell r="Y199">
            <v>-5</v>
          </cell>
          <cell r="Z199">
            <v>-5</v>
          </cell>
          <cell r="AA199">
            <v>-5</v>
          </cell>
          <cell r="AB199">
            <v>-5</v>
          </cell>
          <cell r="AC199">
            <v>-5</v>
          </cell>
          <cell r="AD199">
            <v>-5</v>
          </cell>
          <cell r="AE199">
            <v>-5</v>
          </cell>
          <cell r="AF199">
            <v>-5</v>
          </cell>
          <cell r="AG199">
            <v>-5</v>
          </cell>
          <cell r="AH199">
            <v>-5</v>
          </cell>
          <cell r="AI199">
            <v>-5</v>
          </cell>
        </row>
        <row r="200">
          <cell r="C200" t="str">
            <v>ﾊﾞﾝﾆﾝｸﾞ計画</v>
          </cell>
          <cell r="E200">
            <v>225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</row>
        <row r="201">
          <cell r="C201" t="str">
            <v>ｵｰﾀﾞｰ変更</v>
          </cell>
          <cell r="D201">
            <v>225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</row>
        <row r="202">
          <cell r="C202" t="str">
            <v>20日情報
(工場出荷)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</row>
        <row r="203">
          <cell r="B203" t="str">
            <v>305108GA098</v>
          </cell>
          <cell r="C203" t="str">
            <v>梱包計画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</row>
        <row r="204">
          <cell r="C204" t="str">
            <v>(調整）</v>
          </cell>
        </row>
        <row r="205">
          <cell r="D205">
            <v>0</v>
          </cell>
        </row>
        <row r="206">
          <cell r="D206">
            <v>0</v>
          </cell>
        </row>
        <row r="207">
          <cell r="D207">
            <v>0</v>
          </cell>
        </row>
        <row r="208">
          <cell r="D208">
            <v>0</v>
          </cell>
        </row>
        <row r="209">
          <cell r="D209">
            <v>0</v>
          </cell>
        </row>
        <row r="210">
          <cell r="C210" t="str">
            <v>手直し等</v>
          </cell>
        </row>
        <row r="211">
          <cell r="C211" t="str">
            <v>出荷実績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</row>
        <row r="212">
          <cell r="C212" t="str">
            <v>停止時間（昼勤）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</row>
        <row r="213">
          <cell r="C213" t="str">
            <v>停止時間（夜勤）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</row>
        <row r="214">
          <cell r="B214" t="str">
            <v>305108GA098</v>
          </cell>
          <cell r="C214" t="str">
            <v>振替計画・実績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</row>
        <row r="215">
          <cell r="C215" t="str">
            <v>在庫計画</v>
          </cell>
          <cell r="D215">
            <v>35</v>
          </cell>
          <cell r="E215">
            <v>20</v>
          </cell>
          <cell r="F215">
            <v>20</v>
          </cell>
          <cell r="G215">
            <v>20</v>
          </cell>
          <cell r="H215">
            <v>20</v>
          </cell>
          <cell r="I215">
            <v>20</v>
          </cell>
          <cell r="J215">
            <v>20</v>
          </cell>
          <cell r="K215">
            <v>20</v>
          </cell>
          <cell r="L215">
            <v>20</v>
          </cell>
          <cell r="M215">
            <v>20</v>
          </cell>
          <cell r="N215">
            <v>20</v>
          </cell>
          <cell r="O215">
            <v>20</v>
          </cell>
          <cell r="P215">
            <v>20</v>
          </cell>
          <cell r="Q215">
            <v>20</v>
          </cell>
          <cell r="R215">
            <v>20</v>
          </cell>
          <cell r="S215">
            <v>20</v>
          </cell>
          <cell r="T215">
            <v>20</v>
          </cell>
          <cell r="U215">
            <v>20</v>
          </cell>
          <cell r="V215">
            <v>20</v>
          </cell>
          <cell r="W215">
            <v>20</v>
          </cell>
          <cell r="X215">
            <v>20</v>
          </cell>
          <cell r="Y215">
            <v>20</v>
          </cell>
          <cell r="Z215">
            <v>20</v>
          </cell>
          <cell r="AA215">
            <v>20</v>
          </cell>
          <cell r="AB215">
            <v>20</v>
          </cell>
          <cell r="AC215">
            <v>20</v>
          </cell>
          <cell r="AD215">
            <v>20</v>
          </cell>
          <cell r="AE215">
            <v>20</v>
          </cell>
          <cell r="AF215">
            <v>20</v>
          </cell>
          <cell r="AG215">
            <v>20</v>
          </cell>
          <cell r="AH215">
            <v>20</v>
          </cell>
          <cell r="AI215">
            <v>20</v>
          </cell>
        </row>
        <row r="216">
          <cell r="C216" t="str">
            <v>在庫実績(社内)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</row>
        <row r="217">
          <cell r="C217" t="str">
            <v>在庫実績(物流)</v>
          </cell>
          <cell r="D217">
            <v>35</v>
          </cell>
          <cell r="E217">
            <v>20</v>
          </cell>
          <cell r="F217">
            <v>20</v>
          </cell>
          <cell r="G217">
            <v>20</v>
          </cell>
          <cell r="H217">
            <v>20</v>
          </cell>
          <cell r="I217">
            <v>20</v>
          </cell>
          <cell r="J217">
            <v>20</v>
          </cell>
          <cell r="K217">
            <v>20</v>
          </cell>
          <cell r="L217">
            <v>20</v>
          </cell>
          <cell r="M217">
            <v>20</v>
          </cell>
          <cell r="N217">
            <v>20</v>
          </cell>
          <cell r="O217">
            <v>20</v>
          </cell>
          <cell r="P217">
            <v>20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</row>
        <row r="218">
          <cell r="C218" t="str">
            <v>差異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-20</v>
          </cell>
          <cell r="R218">
            <v>-20</v>
          </cell>
          <cell r="S218">
            <v>-20</v>
          </cell>
          <cell r="T218">
            <v>-20</v>
          </cell>
          <cell r="U218">
            <v>-20</v>
          </cell>
          <cell r="V218">
            <v>-20</v>
          </cell>
          <cell r="W218">
            <v>-20</v>
          </cell>
          <cell r="X218">
            <v>-20</v>
          </cell>
          <cell r="Y218">
            <v>-20</v>
          </cell>
          <cell r="Z218">
            <v>-20</v>
          </cell>
          <cell r="AA218">
            <v>-20</v>
          </cell>
          <cell r="AB218">
            <v>-20</v>
          </cell>
          <cell r="AC218">
            <v>-20</v>
          </cell>
          <cell r="AD218">
            <v>-20</v>
          </cell>
          <cell r="AE218">
            <v>-20</v>
          </cell>
          <cell r="AF218">
            <v>-20</v>
          </cell>
          <cell r="AG218">
            <v>-20</v>
          </cell>
          <cell r="AH218">
            <v>-20</v>
          </cell>
          <cell r="AI218">
            <v>-20</v>
          </cell>
        </row>
        <row r="219">
          <cell r="C219" t="str">
            <v>ﾊﾞﾝﾆﾝｸﾞ計画</v>
          </cell>
          <cell r="E219">
            <v>15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</row>
        <row r="220">
          <cell r="C220" t="str">
            <v>ｵｰﾀﾞｰ変更</v>
          </cell>
          <cell r="D220">
            <v>15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</row>
        <row r="221">
          <cell r="C221" t="str">
            <v>20日情報
(工場出荷)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</row>
        <row r="222">
          <cell r="B222" t="str">
            <v>305108GA099</v>
          </cell>
          <cell r="C222" t="str">
            <v>梱包計画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</row>
        <row r="223">
          <cell r="C223" t="str">
            <v>(調整）</v>
          </cell>
        </row>
        <row r="224"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</row>
        <row r="225"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</row>
        <row r="226"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</row>
        <row r="227"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</row>
        <row r="228"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</row>
        <row r="229">
          <cell r="C229" t="str">
            <v>手直し等</v>
          </cell>
        </row>
        <row r="230">
          <cell r="C230" t="str">
            <v>出荷実績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</row>
        <row r="231">
          <cell r="C231" t="str">
            <v>停止時間（昼勤）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</row>
        <row r="232">
          <cell r="C232" t="str">
            <v>停止時間（夜勤）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</row>
        <row r="233">
          <cell r="B233" t="str">
            <v>305108GA099</v>
          </cell>
          <cell r="C233" t="str">
            <v>振替計画・実績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</row>
        <row r="234">
          <cell r="C234" t="str">
            <v>在庫計画</v>
          </cell>
          <cell r="D234">
            <v>83</v>
          </cell>
          <cell r="E234">
            <v>3</v>
          </cell>
          <cell r="F234">
            <v>3</v>
          </cell>
          <cell r="G234">
            <v>3</v>
          </cell>
          <cell r="H234">
            <v>3</v>
          </cell>
          <cell r="I234">
            <v>3</v>
          </cell>
          <cell r="J234">
            <v>3</v>
          </cell>
          <cell r="K234">
            <v>3</v>
          </cell>
          <cell r="L234">
            <v>3</v>
          </cell>
          <cell r="M234">
            <v>3</v>
          </cell>
          <cell r="N234">
            <v>3</v>
          </cell>
          <cell r="O234">
            <v>3</v>
          </cell>
          <cell r="P234">
            <v>3</v>
          </cell>
          <cell r="Q234">
            <v>3</v>
          </cell>
          <cell r="R234">
            <v>3</v>
          </cell>
          <cell r="S234">
            <v>3</v>
          </cell>
          <cell r="T234">
            <v>3</v>
          </cell>
          <cell r="U234">
            <v>3</v>
          </cell>
          <cell r="V234">
            <v>3</v>
          </cell>
          <cell r="W234">
            <v>3</v>
          </cell>
          <cell r="X234">
            <v>3</v>
          </cell>
          <cell r="Y234">
            <v>3</v>
          </cell>
          <cell r="Z234">
            <v>3</v>
          </cell>
          <cell r="AA234">
            <v>3</v>
          </cell>
          <cell r="AB234">
            <v>3</v>
          </cell>
          <cell r="AC234">
            <v>3</v>
          </cell>
          <cell r="AD234">
            <v>3</v>
          </cell>
          <cell r="AE234">
            <v>3</v>
          </cell>
          <cell r="AF234">
            <v>3</v>
          </cell>
          <cell r="AG234">
            <v>3</v>
          </cell>
          <cell r="AH234">
            <v>3</v>
          </cell>
          <cell r="AI234">
            <v>3</v>
          </cell>
        </row>
        <row r="235">
          <cell r="C235" t="str">
            <v>在庫実績(社内)</v>
          </cell>
          <cell r="D235">
            <v>3</v>
          </cell>
          <cell r="E235">
            <v>3</v>
          </cell>
          <cell r="F235">
            <v>3</v>
          </cell>
          <cell r="G235">
            <v>3</v>
          </cell>
          <cell r="H235">
            <v>3</v>
          </cell>
          <cell r="I235">
            <v>3</v>
          </cell>
          <cell r="J235">
            <v>3</v>
          </cell>
          <cell r="K235">
            <v>3</v>
          </cell>
          <cell r="L235">
            <v>3</v>
          </cell>
          <cell r="M235">
            <v>3</v>
          </cell>
          <cell r="N235">
            <v>3</v>
          </cell>
          <cell r="O235">
            <v>3</v>
          </cell>
          <cell r="P235">
            <v>3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</row>
        <row r="236">
          <cell r="C236" t="str">
            <v>在庫実績(物流)</v>
          </cell>
          <cell r="D236">
            <v>80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</row>
        <row r="237">
          <cell r="C237" t="str">
            <v>差異</v>
          </cell>
          <cell r="D237">
            <v>-3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-3</v>
          </cell>
          <cell r="R237">
            <v>-3</v>
          </cell>
          <cell r="S237">
            <v>-3</v>
          </cell>
          <cell r="T237">
            <v>-3</v>
          </cell>
          <cell r="U237">
            <v>-3</v>
          </cell>
          <cell r="V237">
            <v>-3</v>
          </cell>
          <cell r="W237">
            <v>-3</v>
          </cell>
          <cell r="X237">
            <v>-3</v>
          </cell>
          <cell r="Y237">
            <v>-3</v>
          </cell>
          <cell r="Z237">
            <v>-3</v>
          </cell>
          <cell r="AA237">
            <v>-3</v>
          </cell>
          <cell r="AB237">
            <v>-3</v>
          </cell>
          <cell r="AC237">
            <v>-3</v>
          </cell>
          <cell r="AD237">
            <v>-3</v>
          </cell>
          <cell r="AE237">
            <v>-3</v>
          </cell>
          <cell r="AF237">
            <v>-3</v>
          </cell>
          <cell r="AG237">
            <v>-3</v>
          </cell>
          <cell r="AH237">
            <v>-3</v>
          </cell>
          <cell r="AI237">
            <v>-3</v>
          </cell>
        </row>
        <row r="238">
          <cell r="C238" t="str">
            <v>ﾊﾞﾝﾆﾝｸﾞ計画</v>
          </cell>
          <cell r="E238">
            <v>80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</row>
        <row r="239">
          <cell r="C239" t="str">
            <v>ｵｰﾀﾞｰ変更</v>
          </cell>
          <cell r="D239">
            <v>80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</row>
        <row r="240">
          <cell r="C240" t="str">
            <v>20日情報
(工場出荷)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</row>
        <row r="241">
          <cell r="B241" t="str">
            <v>305108GA100</v>
          </cell>
          <cell r="C241" t="str">
            <v>梱包計画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</row>
        <row r="242">
          <cell r="C242" t="str">
            <v>(調整）</v>
          </cell>
        </row>
        <row r="243"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</row>
        <row r="244"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</row>
        <row r="245"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</row>
        <row r="246"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</row>
        <row r="247"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</row>
        <row r="248">
          <cell r="C248" t="str">
            <v>手直し等</v>
          </cell>
        </row>
        <row r="249">
          <cell r="C249" t="str">
            <v>出荷実績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</row>
        <row r="250">
          <cell r="C250" t="str">
            <v>停止時間（昼勤）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</row>
        <row r="251">
          <cell r="C251" t="str">
            <v>停止時間（夜勤）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</row>
        <row r="252">
          <cell r="B252" t="str">
            <v>305108GA100</v>
          </cell>
          <cell r="C252" t="str">
            <v>振替計画・実績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</row>
        <row r="253">
          <cell r="C253" t="str">
            <v>在庫計画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</row>
        <row r="254">
          <cell r="C254" t="str">
            <v>在庫実績(社内)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</row>
        <row r="255">
          <cell r="C255" t="str">
            <v>在庫実績(物流)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</row>
        <row r="256">
          <cell r="C256" t="str">
            <v>差異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</row>
        <row r="257">
          <cell r="C257" t="str">
            <v>ﾊﾞﾝﾆﾝｸﾞ計画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</row>
        <row r="258">
          <cell r="C258" t="str">
            <v>ｵｰﾀﾞｰ変更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</row>
        <row r="259">
          <cell r="C259" t="str">
            <v>20日情報
(工場出荷)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</row>
        <row r="260">
          <cell r="B260" t="str">
            <v>305108GA101</v>
          </cell>
          <cell r="C260" t="str">
            <v>梱包計画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</row>
        <row r="261">
          <cell r="C261" t="str">
            <v>(調整）</v>
          </cell>
        </row>
        <row r="262"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</row>
        <row r="263"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</row>
        <row r="265"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</row>
        <row r="266"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</row>
        <row r="267">
          <cell r="C267" t="str">
            <v>手直し等</v>
          </cell>
        </row>
        <row r="268">
          <cell r="C268" t="str">
            <v>出荷実績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</row>
        <row r="269">
          <cell r="C269" t="str">
            <v>停止時間（昼勤）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</row>
        <row r="270">
          <cell r="C270" t="str">
            <v>停止時間（夜勤）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</row>
        <row r="271">
          <cell r="B271" t="str">
            <v>305108GA101</v>
          </cell>
          <cell r="C271" t="str">
            <v>振替計画・実績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</row>
        <row r="272">
          <cell r="C272" t="str">
            <v>在庫計画</v>
          </cell>
          <cell r="D272">
            <v>45</v>
          </cell>
          <cell r="E272">
            <v>35</v>
          </cell>
          <cell r="F272">
            <v>35</v>
          </cell>
          <cell r="G272">
            <v>35</v>
          </cell>
          <cell r="H272">
            <v>35</v>
          </cell>
          <cell r="I272">
            <v>35</v>
          </cell>
          <cell r="J272">
            <v>35</v>
          </cell>
          <cell r="K272">
            <v>35</v>
          </cell>
          <cell r="L272">
            <v>35</v>
          </cell>
          <cell r="M272">
            <v>35</v>
          </cell>
          <cell r="N272">
            <v>35</v>
          </cell>
          <cell r="O272">
            <v>35</v>
          </cell>
          <cell r="P272">
            <v>35</v>
          </cell>
          <cell r="Q272">
            <v>35</v>
          </cell>
          <cell r="R272">
            <v>35</v>
          </cell>
          <cell r="S272">
            <v>35</v>
          </cell>
          <cell r="T272">
            <v>35</v>
          </cell>
          <cell r="U272">
            <v>35</v>
          </cell>
          <cell r="V272">
            <v>35</v>
          </cell>
          <cell r="W272">
            <v>35</v>
          </cell>
          <cell r="X272">
            <v>35</v>
          </cell>
          <cell r="Y272">
            <v>35</v>
          </cell>
          <cell r="Z272">
            <v>35</v>
          </cell>
          <cell r="AA272">
            <v>35</v>
          </cell>
          <cell r="AB272">
            <v>35</v>
          </cell>
          <cell r="AC272">
            <v>35</v>
          </cell>
          <cell r="AD272">
            <v>35</v>
          </cell>
          <cell r="AE272">
            <v>35</v>
          </cell>
          <cell r="AF272">
            <v>35</v>
          </cell>
          <cell r="AG272">
            <v>35</v>
          </cell>
          <cell r="AH272">
            <v>35</v>
          </cell>
          <cell r="AI272">
            <v>35</v>
          </cell>
        </row>
        <row r="273">
          <cell r="C273" t="str">
            <v>在庫実績(社内)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</row>
        <row r="274">
          <cell r="C274" t="str">
            <v>在庫実績(物流)</v>
          </cell>
          <cell r="D274">
            <v>45</v>
          </cell>
          <cell r="E274">
            <v>35</v>
          </cell>
          <cell r="F274">
            <v>35</v>
          </cell>
          <cell r="G274">
            <v>35</v>
          </cell>
          <cell r="H274">
            <v>35</v>
          </cell>
          <cell r="I274">
            <v>35</v>
          </cell>
          <cell r="J274">
            <v>35</v>
          </cell>
          <cell r="K274">
            <v>35</v>
          </cell>
          <cell r="L274">
            <v>35</v>
          </cell>
          <cell r="M274">
            <v>35</v>
          </cell>
          <cell r="N274">
            <v>35</v>
          </cell>
          <cell r="O274">
            <v>35</v>
          </cell>
          <cell r="P274">
            <v>35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</row>
        <row r="275">
          <cell r="C275" t="str">
            <v>差異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-35</v>
          </cell>
          <cell r="R275">
            <v>-35</v>
          </cell>
          <cell r="S275">
            <v>-35</v>
          </cell>
          <cell r="T275">
            <v>-35</v>
          </cell>
          <cell r="U275">
            <v>-35</v>
          </cell>
          <cell r="V275">
            <v>-35</v>
          </cell>
          <cell r="W275">
            <v>-35</v>
          </cell>
          <cell r="X275">
            <v>-35</v>
          </cell>
          <cell r="Y275">
            <v>-35</v>
          </cell>
          <cell r="Z275">
            <v>-35</v>
          </cell>
          <cell r="AA275">
            <v>-35</v>
          </cell>
          <cell r="AB275">
            <v>-35</v>
          </cell>
          <cell r="AC275">
            <v>-35</v>
          </cell>
          <cell r="AD275">
            <v>-35</v>
          </cell>
          <cell r="AE275">
            <v>-35</v>
          </cell>
          <cell r="AF275">
            <v>-35</v>
          </cell>
          <cell r="AG275">
            <v>-35</v>
          </cell>
          <cell r="AH275">
            <v>-35</v>
          </cell>
          <cell r="AI275">
            <v>-35</v>
          </cell>
        </row>
        <row r="276">
          <cell r="C276" t="str">
            <v>ﾊﾞﾝﾆﾝｸﾞ計画</v>
          </cell>
          <cell r="E276">
            <v>10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</row>
        <row r="277">
          <cell r="C277" t="str">
            <v>ｵｰﾀﾞｰ変更</v>
          </cell>
          <cell r="D277">
            <v>10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</row>
        <row r="278">
          <cell r="C278" t="str">
            <v>20日情報
(工場出荷)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</row>
        <row r="279">
          <cell r="B279" t="str">
            <v>305108GA102</v>
          </cell>
          <cell r="C279" t="str">
            <v>梱包計画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</row>
        <row r="280">
          <cell r="C280" t="str">
            <v>(調整）</v>
          </cell>
        </row>
        <row r="281"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</row>
        <row r="282"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</row>
        <row r="283"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</row>
        <row r="284"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</row>
        <row r="285"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</row>
        <row r="286">
          <cell r="C286" t="str">
            <v>手直し等</v>
          </cell>
        </row>
        <row r="287">
          <cell r="C287" t="str">
            <v>出荷実績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</row>
        <row r="288">
          <cell r="C288" t="str">
            <v>停止時間（昼勤）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</row>
        <row r="289">
          <cell r="C289" t="str">
            <v>停止時間（夜勤）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</row>
        <row r="290">
          <cell r="B290" t="str">
            <v>305108GA102</v>
          </cell>
          <cell r="C290" t="str">
            <v>振替計画・実績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</row>
        <row r="291">
          <cell r="C291" t="str">
            <v>在庫計画</v>
          </cell>
          <cell r="D291">
            <v>40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</row>
        <row r="292">
          <cell r="C292" t="str">
            <v>在庫実績(社内)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</row>
        <row r="293">
          <cell r="C293" t="str">
            <v>在庫実績(物流)</v>
          </cell>
          <cell r="D293">
            <v>40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</row>
        <row r="294">
          <cell r="C294" t="str">
            <v>差異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</row>
        <row r="295">
          <cell r="C295" t="str">
            <v>ﾊﾞﾝﾆﾝｸﾞ計画</v>
          </cell>
          <cell r="E295">
            <v>40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</row>
        <row r="296">
          <cell r="C296" t="str">
            <v>ｵｰﾀﾞｰ変更</v>
          </cell>
          <cell r="D296">
            <v>40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</row>
        <row r="297">
          <cell r="C297" t="str">
            <v>20日情報
(工場出荷)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</row>
        <row r="298">
          <cell r="B298" t="str">
            <v>305108GA103</v>
          </cell>
          <cell r="C298" t="str">
            <v>梱包計画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</row>
        <row r="299">
          <cell r="C299" t="str">
            <v>(調整）</v>
          </cell>
        </row>
        <row r="300"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</row>
        <row r="301"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</row>
        <row r="302"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</row>
        <row r="303"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</row>
        <row r="304"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</row>
        <row r="305">
          <cell r="C305" t="str">
            <v>手直し等</v>
          </cell>
        </row>
        <row r="306">
          <cell r="C306" t="str">
            <v>出荷実績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</row>
        <row r="307">
          <cell r="C307" t="str">
            <v>停止時間（昼勤）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</row>
        <row r="308">
          <cell r="C308" t="str">
            <v>停止時間（夜勤）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</row>
        <row r="309">
          <cell r="B309" t="str">
            <v>305108GA103</v>
          </cell>
          <cell r="C309" t="str">
            <v>振替計画・実績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</row>
        <row r="310">
          <cell r="C310" t="str">
            <v>在庫計画</v>
          </cell>
          <cell r="D310">
            <v>110</v>
          </cell>
          <cell r="E310">
            <v>10</v>
          </cell>
          <cell r="F310">
            <v>10</v>
          </cell>
          <cell r="G310">
            <v>10</v>
          </cell>
          <cell r="H310">
            <v>10</v>
          </cell>
          <cell r="I310">
            <v>10</v>
          </cell>
          <cell r="J310">
            <v>10</v>
          </cell>
          <cell r="K310">
            <v>10</v>
          </cell>
          <cell r="L310">
            <v>10</v>
          </cell>
          <cell r="M310">
            <v>10</v>
          </cell>
          <cell r="N310">
            <v>10</v>
          </cell>
          <cell r="O310">
            <v>10</v>
          </cell>
          <cell r="P310">
            <v>10</v>
          </cell>
          <cell r="Q310">
            <v>10</v>
          </cell>
          <cell r="R310">
            <v>10</v>
          </cell>
          <cell r="S310">
            <v>10</v>
          </cell>
          <cell r="T310">
            <v>10</v>
          </cell>
          <cell r="U310">
            <v>10</v>
          </cell>
          <cell r="V310">
            <v>10</v>
          </cell>
          <cell r="W310">
            <v>10</v>
          </cell>
          <cell r="X310">
            <v>10</v>
          </cell>
          <cell r="Y310">
            <v>10</v>
          </cell>
          <cell r="Z310">
            <v>10</v>
          </cell>
          <cell r="AA310">
            <v>10</v>
          </cell>
          <cell r="AB310">
            <v>10</v>
          </cell>
          <cell r="AC310">
            <v>10</v>
          </cell>
          <cell r="AD310">
            <v>10</v>
          </cell>
          <cell r="AE310">
            <v>10</v>
          </cell>
          <cell r="AF310">
            <v>10</v>
          </cell>
          <cell r="AG310">
            <v>10</v>
          </cell>
          <cell r="AH310">
            <v>10</v>
          </cell>
          <cell r="AI310">
            <v>10</v>
          </cell>
        </row>
        <row r="311">
          <cell r="C311" t="str">
            <v>在庫実績(社内)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1</v>
          </cell>
          <cell r="O311">
            <v>1</v>
          </cell>
          <cell r="P311">
            <v>1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</row>
        <row r="312">
          <cell r="C312" t="str">
            <v>在庫実績(物流)</v>
          </cell>
          <cell r="D312">
            <v>110</v>
          </cell>
          <cell r="E312">
            <v>10</v>
          </cell>
          <cell r="F312">
            <v>10</v>
          </cell>
          <cell r="G312">
            <v>10</v>
          </cell>
          <cell r="H312">
            <v>10</v>
          </cell>
          <cell r="I312">
            <v>10</v>
          </cell>
          <cell r="J312">
            <v>10</v>
          </cell>
          <cell r="K312">
            <v>10</v>
          </cell>
          <cell r="L312">
            <v>10</v>
          </cell>
          <cell r="M312">
            <v>10</v>
          </cell>
          <cell r="N312">
            <v>10</v>
          </cell>
          <cell r="O312">
            <v>10</v>
          </cell>
          <cell r="P312">
            <v>10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</row>
        <row r="313">
          <cell r="C313" t="str">
            <v>差異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1</v>
          </cell>
          <cell r="O313">
            <v>1</v>
          </cell>
          <cell r="P313">
            <v>1</v>
          </cell>
          <cell r="Q313">
            <v>-10</v>
          </cell>
          <cell r="R313">
            <v>-10</v>
          </cell>
          <cell r="S313">
            <v>-10</v>
          </cell>
          <cell r="T313">
            <v>-10</v>
          </cell>
          <cell r="U313">
            <v>-10</v>
          </cell>
          <cell r="V313">
            <v>-10</v>
          </cell>
          <cell r="W313">
            <v>-10</v>
          </cell>
          <cell r="X313">
            <v>-10</v>
          </cell>
          <cell r="Y313">
            <v>-10</v>
          </cell>
          <cell r="Z313">
            <v>-10</v>
          </cell>
          <cell r="AA313">
            <v>-10</v>
          </cell>
          <cell r="AB313">
            <v>-10</v>
          </cell>
          <cell r="AC313">
            <v>-10</v>
          </cell>
          <cell r="AD313">
            <v>-10</v>
          </cell>
          <cell r="AE313">
            <v>-10</v>
          </cell>
          <cell r="AF313">
            <v>-10</v>
          </cell>
          <cell r="AG313">
            <v>-10</v>
          </cell>
          <cell r="AH313">
            <v>-10</v>
          </cell>
          <cell r="AI313">
            <v>-10</v>
          </cell>
        </row>
        <row r="314">
          <cell r="C314" t="str">
            <v>ﾊﾞﾝﾆﾝｸﾞ計画</v>
          </cell>
          <cell r="E314">
            <v>100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</row>
        <row r="315">
          <cell r="C315" t="str">
            <v>ｵｰﾀﾞｰ変更</v>
          </cell>
          <cell r="D315">
            <v>100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</row>
        <row r="316">
          <cell r="C316" t="str">
            <v>20日情報
(工場出荷)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</row>
        <row r="317">
          <cell r="B317" t="str">
            <v>305108GA113</v>
          </cell>
          <cell r="C317" t="str">
            <v>梱包計画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</row>
        <row r="318">
          <cell r="C318" t="str">
            <v>(調整）</v>
          </cell>
        </row>
        <row r="319"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</row>
        <row r="320"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</row>
        <row r="321"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</row>
        <row r="322"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</row>
        <row r="323"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</row>
        <row r="324">
          <cell r="C324" t="str">
            <v>手直し等</v>
          </cell>
        </row>
        <row r="325">
          <cell r="C325" t="str">
            <v>出荷実績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</row>
        <row r="326">
          <cell r="C326" t="str">
            <v>停止時間（昼勤）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</row>
        <row r="327">
          <cell r="C327" t="str">
            <v>停止時間（夜勤）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</row>
        <row r="328">
          <cell r="B328" t="str">
            <v>305108GA113</v>
          </cell>
          <cell r="C328" t="str">
            <v>振替計画・実績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</row>
        <row r="329">
          <cell r="C329" t="str">
            <v>在庫計画</v>
          </cell>
          <cell r="D329">
            <v>100</v>
          </cell>
          <cell r="E329">
            <v>5</v>
          </cell>
          <cell r="F329">
            <v>5</v>
          </cell>
          <cell r="G329">
            <v>5</v>
          </cell>
          <cell r="H329">
            <v>5</v>
          </cell>
          <cell r="I329">
            <v>5</v>
          </cell>
          <cell r="J329">
            <v>5</v>
          </cell>
          <cell r="K329">
            <v>5</v>
          </cell>
          <cell r="L329">
            <v>5</v>
          </cell>
          <cell r="M329">
            <v>5</v>
          </cell>
          <cell r="N329">
            <v>5</v>
          </cell>
          <cell r="O329">
            <v>5</v>
          </cell>
          <cell r="P329">
            <v>5</v>
          </cell>
          <cell r="Q329">
            <v>5</v>
          </cell>
          <cell r="R329">
            <v>5</v>
          </cell>
          <cell r="S329">
            <v>5</v>
          </cell>
          <cell r="T329">
            <v>5</v>
          </cell>
          <cell r="U329">
            <v>5</v>
          </cell>
          <cell r="V329">
            <v>5</v>
          </cell>
          <cell r="W329">
            <v>5</v>
          </cell>
          <cell r="X329">
            <v>5</v>
          </cell>
          <cell r="Y329">
            <v>5</v>
          </cell>
          <cell r="Z329">
            <v>5</v>
          </cell>
          <cell r="AA329">
            <v>5</v>
          </cell>
          <cell r="AB329">
            <v>5</v>
          </cell>
          <cell r="AC329">
            <v>5</v>
          </cell>
          <cell r="AD329">
            <v>5</v>
          </cell>
          <cell r="AE329">
            <v>5</v>
          </cell>
          <cell r="AF329">
            <v>5</v>
          </cell>
          <cell r="AG329">
            <v>5</v>
          </cell>
          <cell r="AH329">
            <v>5</v>
          </cell>
          <cell r="AI329">
            <v>5</v>
          </cell>
        </row>
        <row r="330">
          <cell r="C330" t="str">
            <v>在庫実績(社内)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</row>
        <row r="331">
          <cell r="C331" t="str">
            <v>在庫実績(物流)</v>
          </cell>
          <cell r="D331">
            <v>100</v>
          </cell>
          <cell r="E331">
            <v>5</v>
          </cell>
          <cell r="F331">
            <v>5</v>
          </cell>
          <cell r="G331">
            <v>5</v>
          </cell>
          <cell r="H331">
            <v>5</v>
          </cell>
          <cell r="I331">
            <v>5</v>
          </cell>
          <cell r="J331">
            <v>5</v>
          </cell>
          <cell r="K331">
            <v>5</v>
          </cell>
          <cell r="L331">
            <v>5</v>
          </cell>
          <cell r="M331">
            <v>5</v>
          </cell>
          <cell r="N331">
            <v>5</v>
          </cell>
          <cell r="O331">
            <v>5</v>
          </cell>
          <cell r="P331">
            <v>5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</row>
        <row r="332">
          <cell r="C332" t="str">
            <v>差異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-5</v>
          </cell>
          <cell r="R332">
            <v>-5</v>
          </cell>
          <cell r="S332">
            <v>-5</v>
          </cell>
          <cell r="T332">
            <v>-5</v>
          </cell>
          <cell r="U332">
            <v>-5</v>
          </cell>
          <cell r="V332">
            <v>-5</v>
          </cell>
          <cell r="W332">
            <v>-5</v>
          </cell>
          <cell r="X332">
            <v>-5</v>
          </cell>
          <cell r="Y332">
            <v>-5</v>
          </cell>
          <cell r="Z332">
            <v>-5</v>
          </cell>
          <cell r="AA332">
            <v>-5</v>
          </cell>
          <cell r="AB332">
            <v>-5</v>
          </cell>
          <cell r="AC332">
            <v>-5</v>
          </cell>
          <cell r="AD332">
            <v>-5</v>
          </cell>
          <cell r="AE332">
            <v>-5</v>
          </cell>
          <cell r="AF332">
            <v>-5</v>
          </cell>
          <cell r="AG332">
            <v>-5</v>
          </cell>
          <cell r="AH332">
            <v>-5</v>
          </cell>
          <cell r="AI332">
            <v>-5</v>
          </cell>
        </row>
        <row r="333">
          <cell r="C333" t="str">
            <v>ﾊﾞﾝﾆﾝｸﾞ計画</v>
          </cell>
          <cell r="E333">
            <v>95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</row>
        <row r="334">
          <cell r="C334" t="str">
            <v>ｵｰﾀﾞｰ変更</v>
          </cell>
          <cell r="D334">
            <v>95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</row>
        <row r="335">
          <cell r="C335" t="str">
            <v>20日情報
(工場出荷)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</row>
        <row r="336">
          <cell r="B336" t="str">
            <v>305108GA114</v>
          </cell>
          <cell r="C336" t="str">
            <v>梱包計画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</row>
        <row r="337">
          <cell r="C337" t="str">
            <v>(調整）</v>
          </cell>
        </row>
        <row r="338"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</row>
        <row r="339"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</row>
        <row r="340"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</row>
        <row r="341"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</row>
        <row r="342"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</row>
        <row r="343">
          <cell r="C343" t="str">
            <v>手直し等</v>
          </cell>
        </row>
        <row r="344">
          <cell r="C344" t="str">
            <v>出荷実績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</row>
        <row r="345">
          <cell r="C345" t="str">
            <v>停止時間（昼勤）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</row>
        <row r="346">
          <cell r="C346" t="str">
            <v>停止時間（夜勤）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</row>
        <row r="347">
          <cell r="B347" t="str">
            <v>305108GA114</v>
          </cell>
          <cell r="C347" t="str">
            <v>振替計画・実績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</row>
        <row r="348">
          <cell r="C348" t="str">
            <v>在庫計画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</row>
        <row r="349">
          <cell r="C349" t="str">
            <v>在庫実績(社内)</v>
          </cell>
          <cell r="D349">
            <v>0</v>
          </cell>
          <cell r="E349">
            <v>0</v>
          </cell>
          <cell r="F349">
            <v>0</v>
          </cell>
          <cell r="G349">
            <v>1</v>
          </cell>
          <cell r="H349">
            <v>1</v>
          </cell>
          <cell r="I349">
            <v>1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</row>
        <row r="350">
          <cell r="C350" t="str">
            <v>在庫実績(物流)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</row>
        <row r="351">
          <cell r="C351" t="str">
            <v>差異</v>
          </cell>
          <cell r="E351">
            <v>0</v>
          </cell>
          <cell r="F351">
            <v>0</v>
          </cell>
          <cell r="G351">
            <v>1</v>
          </cell>
          <cell r="H351">
            <v>1</v>
          </cell>
          <cell r="I351">
            <v>1</v>
          </cell>
          <cell r="J351">
            <v>1</v>
          </cell>
          <cell r="K351">
            <v>1</v>
          </cell>
          <cell r="L351">
            <v>1</v>
          </cell>
          <cell r="M351">
            <v>1</v>
          </cell>
          <cell r="N351">
            <v>1</v>
          </cell>
          <cell r="O351">
            <v>1</v>
          </cell>
          <cell r="P351">
            <v>1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</row>
        <row r="352">
          <cell r="C352" t="str">
            <v>ﾊﾞﾝﾆﾝｸﾞ計画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</row>
        <row r="353">
          <cell r="C353" t="str">
            <v>ｵｰﾀﾞｰ変更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</row>
        <row r="354">
          <cell r="C354" t="str">
            <v>20日情報
(工場出荷)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</row>
        <row r="355">
          <cell r="B355" t="str">
            <v>305108GA115</v>
          </cell>
          <cell r="C355" t="str">
            <v>梱包計画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</row>
        <row r="356">
          <cell r="C356" t="str">
            <v>(調整）</v>
          </cell>
        </row>
        <row r="357"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</row>
        <row r="358"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</row>
        <row r="359"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</row>
        <row r="360"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</row>
        <row r="361"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</row>
        <row r="362">
          <cell r="C362" t="str">
            <v>手直し等</v>
          </cell>
        </row>
        <row r="363">
          <cell r="C363" t="str">
            <v>出荷実績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</row>
        <row r="364">
          <cell r="C364" t="str">
            <v>停止時間（昼勤）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</row>
        <row r="365">
          <cell r="C365" t="str">
            <v>停止時間（夜勤）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</row>
        <row r="366">
          <cell r="B366" t="str">
            <v>305108GA115</v>
          </cell>
          <cell r="C366" t="str">
            <v>振替計画・実績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</row>
        <row r="367">
          <cell r="C367" t="str">
            <v>在庫計画</v>
          </cell>
          <cell r="D367">
            <v>20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</row>
        <row r="368">
          <cell r="C368" t="str">
            <v>在庫実績(社内)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</row>
        <row r="369">
          <cell r="C369" t="str">
            <v>在庫実績(物流)</v>
          </cell>
          <cell r="D369">
            <v>20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</row>
        <row r="370">
          <cell r="C370" t="str">
            <v>差異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</row>
        <row r="371">
          <cell r="C371" t="str">
            <v>ﾊﾞﾝﾆﾝｸﾞ計画</v>
          </cell>
          <cell r="E371">
            <v>20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</row>
        <row r="372">
          <cell r="C372" t="str">
            <v>ｵｰﾀﾞｰ変更</v>
          </cell>
          <cell r="D372">
            <v>20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</row>
        <row r="373">
          <cell r="C373" t="str">
            <v>20日情報
(工場出荷)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</row>
        <row r="374">
          <cell r="B374" t="str">
            <v>305108GA116</v>
          </cell>
          <cell r="C374" t="str">
            <v>梱包計画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</row>
        <row r="375">
          <cell r="C375" t="str">
            <v>(調整）</v>
          </cell>
        </row>
        <row r="376"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</row>
        <row r="377"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</row>
        <row r="378"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</row>
        <row r="379"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</row>
        <row r="380"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</row>
        <row r="381">
          <cell r="C381" t="str">
            <v>手直し等</v>
          </cell>
        </row>
        <row r="382">
          <cell r="C382" t="str">
            <v>出荷実績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</row>
        <row r="383">
          <cell r="C383" t="str">
            <v>停止時間（昼勤）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</row>
        <row r="384">
          <cell r="C384" t="str">
            <v>停止時間（夜勤）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</row>
        <row r="385">
          <cell r="B385" t="str">
            <v>305108GA116</v>
          </cell>
          <cell r="C385" t="str">
            <v>振替計画・実績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</row>
        <row r="386">
          <cell r="C386" t="str">
            <v>在庫計画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</row>
        <row r="387">
          <cell r="C387" t="str">
            <v>在庫実績(社内)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</row>
        <row r="388">
          <cell r="C388" t="str">
            <v>在庫実績(物流)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</row>
        <row r="389">
          <cell r="C389" t="str">
            <v>差異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</row>
        <row r="390">
          <cell r="C390" t="str">
            <v>ﾊﾞﾝﾆﾝｸﾞ計画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</row>
        <row r="391">
          <cell r="C391" t="str">
            <v>ｵｰﾀﾞｰ変更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</row>
        <row r="392">
          <cell r="C392" t="str">
            <v>20日情報
(工場出荷)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</row>
        <row r="393">
          <cell r="B393" t="str">
            <v>305108GA117</v>
          </cell>
          <cell r="C393" t="str">
            <v>梱包計画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</row>
        <row r="394">
          <cell r="C394" t="str">
            <v>(調整）</v>
          </cell>
        </row>
        <row r="395"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</row>
        <row r="396"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</row>
        <row r="397"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</row>
        <row r="398"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</row>
        <row r="399"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</row>
        <row r="400">
          <cell r="C400" t="str">
            <v>手直し等</v>
          </cell>
        </row>
        <row r="401">
          <cell r="C401" t="str">
            <v>出荷実績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</row>
        <row r="402">
          <cell r="C402" t="str">
            <v>停止時間（昼勤）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</row>
        <row r="403">
          <cell r="C403" t="str">
            <v>停止時間（夜勤）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</row>
        <row r="404">
          <cell r="B404" t="str">
            <v>305108GA117</v>
          </cell>
          <cell r="C404" t="str">
            <v>振替計画・実績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</row>
        <row r="405">
          <cell r="C405" t="str">
            <v>在庫計画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</row>
        <row r="406">
          <cell r="C406" t="str">
            <v>在庫実績(社内)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</row>
        <row r="407">
          <cell r="C407" t="str">
            <v>在庫実績(物流)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</row>
        <row r="408">
          <cell r="C408" t="str">
            <v>差異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</row>
        <row r="409">
          <cell r="C409" t="str">
            <v>ﾊﾞﾝﾆﾝｸﾞ計画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</row>
        <row r="410">
          <cell r="C410" t="str">
            <v>ｵｰﾀﾞｰ変更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</row>
        <row r="411">
          <cell r="C411" t="str">
            <v>20日情報
(工場出荷)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</row>
        <row r="412">
          <cell r="B412" t="str">
            <v>305108GA118</v>
          </cell>
          <cell r="C412" t="str">
            <v>梱包計画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</row>
        <row r="413">
          <cell r="C413" t="str">
            <v>(調整）</v>
          </cell>
        </row>
        <row r="414"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</row>
        <row r="415"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</row>
        <row r="416"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</row>
        <row r="417"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</row>
        <row r="418"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</row>
        <row r="419">
          <cell r="C419" t="str">
            <v>手直し等</v>
          </cell>
        </row>
        <row r="420">
          <cell r="C420" t="str">
            <v>出荷実績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</row>
        <row r="421">
          <cell r="C421" t="str">
            <v>停止時間（昼勤）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</row>
        <row r="422">
          <cell r="C422" t="str">
            <v>停止時間（夜勤）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</row>
        <row r="423">
          <cell r="B423" t="str">
            <v>305108GA118</v>
          </cell>
          <cell r="C423" t="str">
            <v>振替計画・実績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</row>
        <row r="424">
          <cell r="C424" t="str">
            <v>在庫計画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</row>
        <row r="425">
          <cell r="C425" t="str">
            <v>在庫実績(社内)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</row>
        <row r="426">
          <cell r="C426" t="str">
            <v>在庫実績(物流)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</row>
        <row r="427">
          <cell r="C427" t="str">
            <v>差異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</row>
        <row r="428">
          <cell r="C428" t="str">
            <v>ﾊﾞﾝﾆﾝｸﾞ計画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</row>
        <row r="429">
          <cell r="C429" t="str">
            <v>ｵｰﾀﾞｰ変更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</row>
        <row r="430">
          <cell r="C430" t="str">
            <v>20日情報
(工場出荷)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</row>
        <row r="431">
          <cell r="B431" t="str">
            <v>305108GA119</v>
          </cell>
          <cell r="C431" t="str">
            <v>梱包計画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</row>
        <row r="432">
          <cell r="C432" t="str">
            <v>(調整）</v>
          </cell>
        </row>
        <row r="433"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</row>
        <row r="434"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</row>
        <row r="435"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</row>
        <row r="436"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</row>
        <row r="437"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</row>
        <row r="438">
          <cell r="C438" t="str">
            <v>手直し等</v>
          </cell>
        </row>
        <row r="439">
          <cell r="C439" t="str">
            <v>出荷実績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</row>
        <row r="440">
          <cell r="C440" t="str">
            <v>停止時間（昼勤）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</row>
        <row r="441">
          <cell r="C441" t="str">
            <v>停止時間（夜勤）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</row>
        <row r="442">
          <cell r="B442" t="str">
            <v>305108GA119</v>
          </cell>
          <cell r="C442" t="str">
            <v>振替計画・実績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</row>
        <row r="443">
          <cell r="C443" t="str">
            <v>在庫計画</v>
          </cell>
          <cell r="D443">
            <v>10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</row>
        <row r="444">
          <cell r="C444" t="str">
            <v>在庫実績(社内)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1</v>
          </cell>
          <cell r="O444">
            <v>1</v>
          </cell>
          <cell r="P444">
            <v>1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</row>
        <row r="445">
          <cell r="C445" t="str">
            <v>在庫実績(物流)</v>
          </cell>
          <cell r="D445">
            <v>10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</row>
        <row r="446">
          <cell r="C446" t="str">
            <v>差異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1</v>
          </cell>
          <cell r="O446">
            <v>1</v>
          </cell>
          <cell r="P446">
            <v>1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</row>
        <row r="447">
          <cell r="C447" t="str">
            <v>ﾊﾞﾝﾆﾝｸﾞ計画</v>
          </cell>
          <cell r="E447">
            <v>10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</row>
        <row r="448">
          <cell r="C448" t="str">
            <v>ｵｰﾀﾞｰ変更</v>
          </cell>
          <cell r="D448">
            <v>10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</row>
        <row r="449">
          <cell r="C449" t="str">
            <v>20日情報
(工場出荷)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</row>
        <row r="450">
          <cell r="B450" t="str">
            <v>305108GA120</v>
          </cell>
          <cell r="C450" t="str">
            <v>梱包計画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</row>
        <row r="451">
          <cell r="C451" t="str">
            <v>(調整）</v>
          </cell>
        </row>
        <row r="452"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</row>
        <row r="453"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</row>
        <row r="454"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</row>
        <row r="455"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</row>
        <row r="456"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</row>
        <row r="457">
          <cell r="C457" t="str">
            <v>手直し等</v>
          </cell>
        </row>
        <row r="458">
          <cell r="C458" t="str">
            <v>出荷実績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</row>
        <row r="459">
          <cell r="C459" t="str">
            <v>停止時間（昼勤）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</row>
        <row r="460">
          <cell r="C460" t="str">
            <v>停止時間（夜勤）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</row>
        <row r="461">
          <cell r="B461" t="str">
            <v>305108GA120</v>
          </cell>
          <cell r="C461" t="str">
            <v>振替計画・実績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</row>
        <row r="462">
          <cell r="C462" t="str">
            <v>在庫計画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</row>
        <row r="463">
          <cell r="C463" t="str">
            <v>在庫実績(社内)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</row>
        <row r="464">
          <cell r="C464" t="str">
            <v>在庫実績(物流)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</row>
        <row r="465">
          <cell r="C465" t="str">
            <v>差異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</row>
        <row r="466">
          <cell r="C466" t="str">
            <v>ﾊﾞﾝﾆﾝｸﾞ計画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</row>
        <row r="467">
          <cell r="C467" t="str">
            <v>ｵｰﾀﾞｰ変更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</row>
        <row r="468">
          <cell r="C468" t="str">
            <v>20日情報
(工場出荷)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</row>
        <row r="469">
          <cell r="B469" t="str">
            <v>305108GA121</v>
          </cell>
          <cell r="C469" t="str">
            <v>梱包計画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</row>
        <row r="470">
          <cell r="C470" t="str">
            <v>(調整）</v>
          </cell>
        </row>
        <row r="471"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</row>
        <row r="472"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</row>
        <row r="473"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</row>
        <row r="474"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</row>
        <row r="475"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</row>
        <row r="476">
          <cell r="C476" t="str">
            <v>手直し等</v>
          </cell>
        </row>
        <row r="477">
          <cell r="C477" t="str">
            <v>出荷実績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</row>
        <row r="478">
          <cell r="C478" t="str">
            <v>停止時間（昼勤）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</row>
        <row r="479">
          <cell r="C479" t="str">
            <v>停止時間（夜勤）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</row>
        <row r="480">
          <cell r="B480" t="str">
            <v>305108GA121</v>
          </cell>
          <cell r="C480" t="str">
            <v>振替計画・実績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</row>
        <row r="481">
          <cell r="C481" t="str">
            <v>在庫計画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</row>
        <row r="482">
          <cell r="C482" t="str">
            <v>在庫実績(社内)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</row>
        <row r="483">
          <cell r="C483" t="str">
            <v>在庫実績(物流)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</row>
        <row r="484">
          <cell r="C484" t="str">
            <v>差異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</row>
        <row r="485">
          <cell r="C485" t="str">
            <v>ﾊﾞﾝﾆﾝｸﾞ計画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</row>
        <row r="486">
          <cell r="C486" t="str">
            <v>ｵｰﾀﾞｰ変更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</row>
        <row r="487">
          <cell r="C487" t="str">
            <v>20日情報
(工場出荷)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</row>
        <row r="488">
          <cell r="B488" t="str">
            <v>305108GA122</v>
          </cell>
          <cell r="C488" t="str">
            <v>梱包計画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</row>
        <row r="489">
          <cell r="C489" t="str">
            <v>(調整）</v>
          </cell>
        </row>
        <row r="490"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</row>
        <row r="491"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</row>
        <row r="492"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</row>
        <row r="493"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</row>
        <row r="494"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</row>
        <row r="495">
          <cell r="C495" t="str">
            <v>手直し等</v>
          </cell>
        </row>
        <row r="496">
          <cell r="C496" t="str">
            <v>出荷実績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</row>
        <row r="497">
          <cell r="C497" t="str">
            <v>停止時間（昼勤）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</row>
        <row r="498">
          <cell r="C498" t="str">
            <v>停止時間（夜勤）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</row>
        <row r="499">
          <cell r="B499" t="str">
            <v>305108GA122</v>
          </cell>
          <cell r="C499" t="str">
            <v>振替計画・実績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</row>
        <row r="500">
          <cell r="C500" t="str">
            <v>在庫計画</v>
          </cell>
          <cell r="D500">
            <v>10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</row>
        <row r="501">
          <cell r="C501" t="str">
            <v>在庫実績(社内)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</row>
        <row r="502">
          <cell r="C502" t="str">
            <v>在庫実績(物流)</v>
          </cell>
          <cell r="D502">
            <v>10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</row>
        <row r="503">
          <cell r="C503" t="str">
            <v>差異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</row>
        <row r="504">
          <cell r="C504" t="str">
            <v>ﾊﾞﾝﾆﾝｸﾞ計画</v>
          </cell>
          <cell r="E504">
            <v>10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</row>
        <row r="505">
          <cell r="C505" t="str">
            <v>ｵｰﾀﾞｰ変更</v>
          </cell>
          <cell r="D505">
            <v>10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</row>
        <row r="506">
          <cell r="C506" t="str">
            <v>20日情報
(工場出荷)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</row>
        <row r="507">
          <cell r="B507" t="str">
            <v>5A0604801</v>
          </cell>
          <cell r="C507" t="str">
            <v>梱包計画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</row>
        <row r="508">
          <cell r="C508" t="str">
            <v>(調整）</v>
          </cell>
        </row>
        <row r="509"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</row>
        <row r="510"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</row>
        <row r="511"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</row>
        <row r="512"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</row>
        <row r="513"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</row>
        <row r="514">
          <cell r="C514" t="str">
            <v>手直し等</v>
          </cell>
        </row>
        <row r="515">
          <cell r="C515" t="str">
            <v>出荷実績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</row>
        <row r="516">
          <cell r="C516" t="str">
            <v>停止時間（昼勤）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</row>
        <row r="517">
          <cell r="C517" t="str">
            <v>停止時間（夜勤）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</row>
        <row r="518">
          <cell r="B518" t="str">
            <v>5A0604801</v>
          </cell>
          <cell r="C518" t="str">
            <v>振替計画・実績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</row>
        <row r="519">
          <cell r="C519" t="str">
            <v>在庫計画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</row>
        <row r="520">
          <cell r="C520" t="str">
            <v>在庫実績(社内)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</row>
        <row r="521">
          <cell r="C521" t="str">
            <v>在庫実績(物流)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</row>
        <row r="522">
          <cell r="C522" t="str">
            <v>差異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</row>
        <row r="523">
          <cell r="C523" t="str">
            <v>ﾊﾞﾝﾆﾝｸﾞ計画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</row>
        <row r="524">
          <cell r="C524" t="str">
            <v>ｵｰﾀﾞｰ変更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</row>
        <row r="525">
          <cell r="C525" t="str">
            <v>20日情報
(工場出荷)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</row>
        <row r="526">
          <cell r="B526">
            <v>984420101</v>
          </cell>
          <cell r="C526" t="str">
            <v>梱包計画</v>
          </cell>
          <cell r="D526">
            <v>30</v>
          </cell>
          <cell r="E526">
            <v>0</v>
          </cell>
          <cell r="F526">
            <v>0</v>
          </cell>
          <cell r="G526">
            <v>10</v>
          </cell>
          <cell r="H526">
            <v>10</v>
          </cell>
          <cell r="I526">
            <v>10</v>
          </cell>
          <cell r="J526">
            <v>10</v>
          </cell>
          <cell r="K526">
            <v>10</v>
          </cell>
          <cell r="L526">
            <v>0</v>
          </cell>
          <cell r="M526">
            <v>0</v>
          </cell>
          <cell r="N526">
            <v>10</v>
          </cell>
          <cell r="O526">
            <v>10</v>
          </cell>
          <cell r="P526">
            <v>10</v>
          </cell>
          <cell r="Q526">
            <v>10</v>
          </cell>
          <cell r="R526">
            <v>10</v>
          </cell>
          <cell r="S526">
            <v>0</v>
          </cell>
          <cell r="T526">
            <v>0</v>
          </cell>
          <cell r="U526">
            <v>10</v>
          </cell>
          <cell r="V526">
            <v>10</v>
          </cell>
          <cell r="W526">
            <v>10</v>
          </cell>
          <cell r="X526">
            <v>10</v>
          </cell>
          <cell r="Y526">
            <v>10</v>
          </cell>
          <cell r="Z526">
            <v>0</v>
          </cell>
          <cell r="AA526">
            <v>0</v>
          </cell>
          <cell r="AB526">
            <v>10</v>
          </cell>
          <cell r="AC526">
            <v>10</v>
          </cell>
          <cell r="AD526">
            <v>10</v>
          </cell>
          <cell r="AE526">
            <v>10</v>
          </cell>
          <cell r="AF526">
            <v>10</v>
          </cell>
          <cell r="AG526">
            <v>0</v>
          </cell>
          <cell r="AH526">
            <v>0</v>
          </cell>
          <cell r="AI526">
            <v>0</v>
          </cell>
        </row>
        <row r="527">
          <cell r="C527" t="str">
            <v>(調整）</v>
          </cell>
        </row>
        <row r="528"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</row>
        <row r="529"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</row>
        <row r="530"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</row>
        <row r="531"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</row>
        <row r="532">
          <cell r="D532">
            <v>65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</row>
        <row r="533">
          <cell r="C533" t="str">
            <v>手直し等</v>
          </cell>
        </row>
        <row r="534">
          <cell r="C534" t="str">
            <v>出荷実績</v>
          </cell>
          <cell r="E534">
            <v>0</v>
          </cell>
          <cell r="F534">
            <v>0</v>
          </cell>
          <cell r="G534">
            <v>10</v>
          </cell>
          <cell r="H534">
            <v>5</v>
          </cell>
          <cell r="I534">
            <v>15</v>
          </cell>
          <cell r="J534">
            <v>10</v>
          </cell>
          <cell r="K534">
            <v>10</v>
          </cell>
          <cell r="L534">
            <v>0</v>
          </cell>
          <cell r="M534">
            <v>0</v>
          </cell>
          <cell r="N534">
            <v>10</v>
          </cell>
          <cell r="O534">
            <v>10</v>
          </cell>
          <cell r="P534">
            <v>10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</row>
        <row r="535">
          <cell r="C535" t="str">
            <v>停止時間（昼勤）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</row>
        <row r="536">
          <cell r="C536" t="str">
            <v>停止時間（夜勤）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</row>
        <row r="537">
          <cell r="B537">
            <v>984420101</v>
          </cell>
          <cell r="C537" t="str">
            <v>振替計画・実績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</row>
        <row r="538">
          <cell r="C538" t="str">
            <v>在庫計画</v>
          </cell>
          <cell r="D538">
            <v>130</v>
          </cell>
          <cell r="E538">
            <v>130</v>
          </cell>
          <cell r="F538">
            <v>130</v>
          </cell>
          <cell r="G538">
            <v>150</v>
          </cell>
          <cell r="H538">
            <v>160</v>
          </cell>
          <cell r="I538">
            <v>135</v>
          </cell>
          <cell r="J538">
            <v>105</v>
          </cell>
          <cell r="K538">
            <v>115</v>
          </cell>
          <cell r="L538">
            <v>40</v>
          </cell>
          <cell r="M538">
            <v>40</v>
          </cell>
          <cell r="N538">
            <v>50</v>
          </cell>
          <cell r="O538">
            <v>60</v>
          </cell>
          <cell r="P538">
            <v>70</v>
          </cell>
          <cell r="Q538">
            <v>70</v>
          </cell>
          <cell r="R538">
            <v>80</v>
          </cell>
          <cell r="S538">
            <v>70</v>
          </cell>
          <cell r="T538">
            <v>70</v>
          </cell>
          <cell r="U538">
            <v>80</v>
          </cell>
          <cell r="V538">
            <v>90</v>
          </cell>
          <cell r="W538">
            <v>90</v>
          </cell>
          <cell r="X538">
            <v>100</v>
          </cell>
          <cell r="Y538">
            <v>100</v>
          </cell>
          <cell r="Z538">
            <v>100</v>
          </cell>
          <cell r="AA538">
            <v>100</v>
          </cell>
          <cell r="AB538">
            <v>110</v>
          </cell>
          <cell r="AC538">
            <v>120</v>
          </cell>
          <cell r="AD538">
            <v>130</v>
          </cell>
          <cell r="AE538">
            <v>130</v>
          </cell>
          <cell r="AF538">
            <v>140</v>
          </cell>
          <cell r="AG538">
            <v>130</v>
          </cell>
          <cell r="AH538">
            <v>130</v>
          </cell>
          <cell r="AI538">
            <v>130</v>
          </cell>
        </row>
        <row r="539">
          <cell r="C539" t="str">
            <v>在庫実績(社内)</v>
          </cell>
          <cell r="D539">
            <v>0</v>
          </cell>
          <cell r="E539">
            <v>0</v>
          </cell>
          <cell r="F539">
            <v>0</v>
          </cell>
          <cell r="G539">
            <v>4</v>
          </cell>
          <cell r="H539">
            <v>4</v>
          </cell>
          <cell r="I539">
            <v>4</v>
          </cell>
          <cell r="J539">
            <v>4</v>
          </cell>
          <cell r="K539">
            <v>4</v>
          </cell>
          <cell r="L539">
            <v>4</v>
          </cell>
          <cell r="M539">
            <v>4</v>
          </cell>
          <cell r="N539">
            <v>4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</row>
        <row r="540">
          <cell r="C540" t="str">
            <v>在庫実績(物流)</v>
          </cell>
          <cell r="D540">
            <v>130</v>
          </cell>
          <cell r="E540">
            <v>130</v>
          </cell>
          <cell r="F540">
            <v>130</v>
          </cell>
          <cell r="G540">
            <v>140</v>
          </cell>
          <cell r="H540">
            <v>145</v>
          </cell>
          <cell r="I540">
            <v>125</v>
          </cell>
          <cell r="J540">
            <v>95</v>
          </cell>
          <cell r="K540">
            <v>105</v>
          </cell>
          <cell r="L540">
            <v>30</v>
          </cell>
          <cell r="M540">
            <v>30</v>
          </cell>
          <cell r="N540">
            <v>40</v>
          </cell>
          <cell r="O540">
            <v>50</v>
          </cell>
          <cell r="P540">
            <v>60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</row>
        <row r="541">
          <cell r="C541" t="str">
            <v>差異</v>
          </cell>
          <cell r="D541">
            <v>0</v>
          </cell>
          <cell r="E541">
            <v>0</v>
          </cell>
          <cell r="F541">
            <v>0</v>
          </cell>
          <cell r="G541">
            <v>-6</v>
          </cell>
          <cell r="H541">
            <v>-11</v>
          </cell>
          <cell r="I541">
            <v>-6</v>
          </cell>
          <cell r="J541">
            <v>-6</v>
          </cell>
          <cell r="K541">
            <v>-6</v>
          </cell>
          <cell r="L541">
            <v>-6</v>
          </cell>
          <cell r="M541">
            <v>-6</v>
          </cell>
          <cell r="N541">
            <v>-6</v>
          </cell>
          <cell r="O541">
            <v>-10</v>
          </cell>
          <cell r="P541">
            <v>-10</v>
          </cell>
          <cell r="Q541">
            <v>-70</v>
          </cell>
          <cell r="R541">
            <v>-80</v>
          </cell>
          <cell r="S541">
            <v>-70</v>
          </cell>
          <cell r="T541">
            <v>-70</v>
          </cell>
          <cell r="U541">
            <v>-80</v>
          </cell>
          <cell r="V541">
            <v>-90</v>
          </cell>
          <cell r="W541">
            <v>-90</v>
          </cell>
          <cell r="X541">
            <v>-100</v>
          </cell>
          <cell r="Y541">
            <v>-100</v>
          </cell>
          <cell r="Z541">
            <v>-100</v>
          </cell>
          <cell r="AA541">
            <v>-100</v>
          </cell>
          <cell r="AB541">
            <v>-110</v>
          </cell>
          <cell r="AC541">
            <v>-120</v>
          </cell>
          <cell r="AD541">
            <v>-130</v>
          </cell>
          <cell r="AE541">
            <v>-130</v>
          </cell>
          <cell r="AF541">
            <v>-140</v>
          </cell>
          <cell r="AG541">
            <v>-130</v>
          </cell>
          <cell r="AH541">
            <v>-130</v>
          </cell>
          <cell r="AI541">
            <v>-130</v>
          </cell>
        </row>
        <row r="542">
          <cell r="C542" t="str">
            <v>ﾊﾞﾝﾆﾝｸﾞ計画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35</v>
          </cell>
          <cell r="J542">
            <v>40</v>
          </cell>
          <cell r="K542">
            <v>0</v>
          </cell>
          <cell r="L542">
            <v>75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10</v>
          </cell>
          <cell r="R542">
            <v>0</v>
          </cell>
          <cell r="S542">
            <v>10</v>
          </cell>
          <cell r="T542">
            <v>0</v>
          </cell>
          <cell r="U542">
            <v>0</v>
          </cell>
          <cell r="V542">
            <v>0</v>
          </cell>
          <cell r="W542">
            <v>10</v>
          </cell>
          <cell r="X542">
            <v>0</v>
          </cell>
          <cell r="Y542">
            <v>10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10</v>
          </cell>
          <cell r="AF542">
            <v>0</v>
          </cell>
          <cell r="AG542">
            <v>10</v>
          </cell>
          <cell r="AH542">
            <v>0</v>
          </cell>
          <cell r="AI542">
            <v>0</v>
          </cell>
        </row>
        <row r="543">
          <cell r="C543" t="str">
            <v>ｵｰﾀﾞｰ変更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35</v>
          </cell>
          <cell r="I543">
            <v>40</v>
          </cell>
          <cell r="K543">
            <v>75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10</v>
          </cell>
          <cell r="Q543">
            <v>0</v>
          </cell>
          <cell r="R543">
            <v>10</v>
          </cell>
          <cell r="S543">
            <v>0</v>
          </cell>
          <cell r="T543">
            <v>0</v>
          </cell>
          <cell r="U543">
            <v>0</v>
          </cell>
          <cell r="V543">
            <v>10</v>
          </cell>
          <cell r="W543">
            <v>0</v>
          </cell>
          <cell r="X543">
            <v>10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10</v>
          </cell>
          <cell r="AE543">
            <v>0</v>
          </cell>
          <cell r="AF543">
            <v>10</v>
          </cell>
          <cell r="AG543">
            <v>0</v>
          </cell>
          <cell r="AH543">
            <v>0</v>
          </cell>
          <cell r="AI543">
            <v>0</v>
          </cell>
        </row>
        <row r="544">
          <cell r="C544" t="str">
            <v>20日情報
(工場出荷)</v>
          </cell>
          <cell r="E544">
            <v>0</v>
          </cell>
          <cell r="F544">
            <v>0</v>
          </cell>
          <cell r="G544">
            <v>0</v>
          </cell>
          <cell r="H544">
            <v>75</v>
          </cell>
          <cell r="I544">
            <v>0</v>
          </cell>
          <cell r="J544">
            <v>75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10</v>
          </cell>
          <cell r="Q544">
            <v>0</v>
          </cell>
          <cell r="R544">
            <v>10</v>
          </cell>
          <cell r="S544">
            <v>0</v>
          </cell>
          <cell r="T544">
            <v>0</v>
          </cell>
          <cell r="U544">
            <v>0</v>
          </cell>
          <cell r="V544">
            <v>10</v>
          </cell>
          <cell r="W544">
            <v>0</v>
          </cell>
          <cell r="X544">
            <v>10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10</v>
          </cell>
          <cell r="AE544">
            <v>0</v>
          </cell>
          <cell r="AF544">
            <v>10</v>
          </cell>
          <cell r="AG544">
            <v>0</v>
          </cell>
          <cell r="AH544">
            <v>0</v>
          </cell>
          <cell r="AI544">
            <v>0</v>
          </cell>
        </row>
        <row r="545">
          <cell r="B545">
            <v>984420201</v>
          </cell>
          <cell r="C545" t="str">
            <v>梱包計画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</row>
        <row r="546">
          <cell r="C546" t="str">
            <v>(調整）</v>
          </cell>
        </row>
        <row r="547"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</row>
        <row r="548"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</row>
        <row r="549"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</row>
        <row r="550"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</row>
        <row r="551"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</row>
        <row r="552">
          <cell r="C552" t="str">
            <v>手直し等</v>
          </cell>
        </row>
        <row r="553">
          <cell r="C553" t="str">
            <v>出荷実績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</row>
        <row r="554">
          <cell r="C554" t="str">
            <v>停止時間（昼勤）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</row>
        <row r="555">
          <cell r="C555" t="str">
            <v>停止時間（夜勤）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</row>
        <row r="556">
          <cell r="B556">
            <v>984420201</v>
          </cell>
          <cell r="C556" t="str">
            <v>振替計画・実績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</row>
        <row r="557">
          <cell r="C557" t="str">
            <v>在庫計画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</row>
        <row r="558">
          <cell r="C558" t="str">
            <v>在庫実績(社内)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</row>
        <row r="559">
          <cell r="C559" t="str">
            <v>在庫実績(物流)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</row>
        <row r="560">
          <cell r="C560" t="str">
            <v>差異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</row>
        <row r="561">
          <cell r="C561" t="str">
            <v>ﾊﾞﾝﾆﾝｸﾞ計画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</row>
        <row r="562">
          <cell r="C562" t="str">
            <v>ｵｰﾀﾞｰ変更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</row>
        <row r="563">
          <cell r="C563" t="str">
            <v>20日情報
(工場出荷)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</row>
        <row r="564">
          <cell r="B564">
            <v>984420901</v>
          </cell>
          <cell r="C564" t="str">
            <v>梱包計画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</row>
        <row r="565">
          <cell r="C565" t="str">
            <v>(調整）</v>
          </cell>
        </row>
        <row r="566"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</row>
        <row r="567"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</row>
        <row r="568"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</row>
        <row r="569"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</row>
        <row r="570"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</row>
        <row r="571">
          <cell r="C571" t="str">
            <v>手直し等</v>
          </cell>
        </row>
        <row r="572">
          <cell r="C572" t="str">
            <v>出荷実績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</row>
        <row r="573">
          <cell r="C573" t="str">
            <v>停止時間（昼勤）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</row>
        <row r="574">
          <cell r="C574" t="str">
            <v>停止時間（夜勤）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</row>
        <row r="575">
          <cell r="B575">
            <v>984420901</v>
          </cell>
          <cell r="C575" t="str">
            <v>振替計画・実績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</row>
        <row r="576">
          <cell r="C576" t="str">
            <v>在庫計画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</row>
        <row r="577">
          <cell r="C577" t="str">
            <v>在庫実績(社内)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</row>
        <row r="578">
          <cell r="C578" t="str">
            <v>在庫実績(物流)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</row>
        <row r="579">
          <cell r="C579" t="str">
            <v>差異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</row>
        <row r="580">
          <cell r="C580" t="str">
            <v>ﾊﾞﾝﾆﾝｸﾞ計画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</row>
        <row r="581">
          <cell r="C581" t="str">
            <v>ｵｰﾀﾞｰ変更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</row>
        <row r="582">
          <cell r="C582" t="str">
            <v>20日情報
(工場出荷)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</row>
        <row r="583">
          <cell r="B583">
            <v>984421001</v>
          </cell>
          <cell r="C583" t="str">
            <v>梱包計画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</row>
        <row r="584">
          <cell r="C584" t="str">
            <v>(調整）</v>
          </cell>
        </row>
        <row r="585"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</row>
        <row r="586"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</row>
        <row r="587"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</row>
        <row r="588"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</row>
        <row r="589"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</row>
        <row r="590">
          <cell r="C590" t="str">
            <v>手直し等</v>
          </cell>
        </row>
        <row r="591">
          <cell r="C591" t="str">
            <v>出荷実績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</row>
        <row r="592">
          <cell r="C592" t="str">
            <v>停止時間（昼勤）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</row>
        <row r="593">
          <cell r="C593" t="str">
            <v>停止時間（夜勤）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</row>
        <row r="594">
          <cell r="B594">
            <v>984421001</v>
          </cell>
          <cell r="C594" t="str">
            <v>振替計画・実績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</row>
        <row r="595">
          <cell r="C595" t="str">
            <v>在庫計画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</row>
        <row r="596">
          <cell r="C596" t="str">
            <v>在庫実績(社内)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</row>
        <row r="597">
          <cell r="C597" t="str">
            <v>在庫実績(物流)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</row>
        <row r="598">
          <cell r="C598" t="str">
            <v>差異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</row>
        <row r="599">
          <cell r="C599" t="str">
            <v>ﾊﾞﾝﾆﾝｸﾞ計画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</row>
        <row r="600">
          <cell r="C600" t="str">
            <v>ｵｰﾀﾞｰ変更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</row>
        <row r="601">
          <cell r="C601" t="str">
            <v>20日情報
(工場出荷)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</row>
        <row r="602">
          <cell r="B602">
            <v>984421101</v>
          </cell>
          <cell r="C602" t="str">
            <v>梱包計画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</row>
        <row r="603">
          <cell r="C603" t="str">
            <v>(調整）</v>
          </cell>
        </row>
        <row r="604"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</row>
        <row r="605"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</row>
        <row r="606"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</row>
        <row r="607"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</row>
        <row r="608"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</row>
        <row r="609">
          <cell r="C609" t="str">
            <v>手直し等</v>
          </cell>
        </row>
        <row r="610">
          <cell r="C610" t="str">
            <v>出荷実績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</row>
        <row r="611">
          <cell r="C611" t="str">
            <v>停止時間（昼勤）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</row>
        <row r="612">
          <cell r="C612" t="str">
            <v>停止時間（夜勤）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</row>
        <row r="613">
          <cell r="B613">
            <v>984421101</v>
          </cell>
          <cell r="C613" t="str">
            <v>振替計画・実績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</row>
        <row r="614">
          <cell r="C614" t="str">
            <v>在庫計画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</row>
        <row r="615">
          <cell r="C615" t="str">
            <v>在庫実績(社内)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</row>
        <row r="616">
          <cell r="C616" t="str">
            <v>在庫実績(物流)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</row>
        <row r="617">
          <cell r="C617" t="str">
            <v>差異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</row>
        <row r="618">
          <cell r="C618" t="str">
            <v>ﾊﾞﾝﾆﾝｸﾞ計画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</row>
        <row r="619">
          <cell r="C619" t="str">
            <v>ｵｰﾀﾞｰ変更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</row>
        <row r="620">
          <cell r="C620" t="str">
            <v>20日情報
(工場出荷)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</row>
        <row r="621">
          <cell r="B621">
            <v>984421201</v>
          </cell>
          <cell r="C621" t="str">
            <v>梱包計画</v>
          </cell>
          <cell r="D621">
            <v>45</v>
          </cell>
          <cell r="E621">
            <v>0</v>
          </cell>
          <cell r="F621">
            <v>0</v>
          </cell>
          <cell r="G621">
            <v>55</v>
          </cell>
          <cell r="H621">
            <v>55</v>
          </cell>
          <cell r="I621">
            <v>55</v>
          </cell>
          <cell r="J621">
            <v>60</v>
          </cell>
          <cell r="K621">
            <v>60</v>
          </cell>
          <cell r="L621">
            <v>0</v>
          </cell>
          <cell r="M621">
            <v>0</v>
          </cell>
          <cell r="N621">
            <v>55</v>
          </cell>
          <cell r="O621">
            <v>55</v>
          </cell>
          <cell r="P621">
            <v>55</v>
          </cell>
          <cell r="Q621">
            <v>60</v>
          </cell>
          <cell r="R621">
            <v>60</v>
          </cell>
          <cell r="S621">
            <v>0</v>
          </cell>
          <cell r="T621">
            <v>0</v>
          </cell>
          <cell r="U621">
            <v>55</v>
          </cell>
          <cell r="V621">
            <v>55</v>
          </cell>
          <cell r="W621">
            <v>55</v>
          </cell>
          <cell r="X621">
            <v>60</v>
          </cell>
          <cell r="Y621">
            <v>60</v>
          </cell>
          <cell r="Z621">
            <v>0</v>
          </cell>
          <cell r="AA621">
            <v>0</v>
          </cell>
          <cell r="AB621">
            <v>55</v>
          </cell>
          <cell r="AC621">
            <v>55</v>
          </cell>
          <cell r="AD621">
            <v>55</v>
          </cell>
          <cell r="AE621">
            <v>60</v>
          </cell>
          <cell r="AF621">
            <v>60</v>
          </cell>
          <cell r="AG621">
            <v>0</v>
          </cell>
          <cell r="AH621">
            <v>0</v>
          </cell>
          <cell r="AI621">
            <v>0</v>
          </cell>
        </row>
        <row r="622">
          <cell r="C622" t="str">
            <v>(調整）</v>
          </cell>
        </row>
        <row r="623"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</row>
        <row r="624">
          <cell r="D624">
            <v>160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</row>
        <row r="625"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</row>
        <row r="626"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</row>
        <row r="627">
          <cell r="D627">
            <v>110</v>
          </cell>
          <cell r="E627">
            <v>0</v>
          </cell>
          <cell r="F627">
            <v>0</v>
          </cell>
          <cell r="G627">
            <v>55</v>
          </cell>
          <cell r="H627">
            <v>30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</row>
        <row r="628">
          <cell r="C628" t="str">
            <v>手直し等</v>
          </cell>
        </row>
        <row r="629">
          <cell r="C629" t="str">
            <v>出荷実績</v>
          </cell>
          <cell r="E629">
            <v>0</v>
          </cell>
          <cell r="F629">
            <v>0</v>
          </cell>
          <cell r="G629">
            <v>45</v>
          </cell>
          <cell r="H629">
            <v>55</v>
          </cell>
          <cell r="I629">
            <v>55</v>
          </cell>
          <cell r="J629">
            <v>60</v>
          </cell>
          <cell r="K629">
            <v>65</v>
          </cell>
          <cell r="L629">
            <v>0</v>
          </cell>
          <cell r="M629">
            <v>0</v>
          </cell>
          <cell r="N629">
            <v>55</v>
          </cell>
          <cell r="O629">
            <v>55</v>
          </cell>
          <cell r="P629">
            <v>55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</row>
        <row r="630">
          <cell r="C630" t="str">
            <v>停止時間（昼勤）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</row>
        <row r="631">
          <cell r="C631" t="str">
            <v>停止時間（夜勤）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</row>
        <row r="632">
          <cell r="B632">
            <v>984421201</v>
          </cell>
          <cell r="C632" t="str">
            <v>振替計画・実績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</row>
        <row r="633">
          <cell r="C633" t="str">
            <v>在庫計画</v>
          </cell>
          <cell r="D633">
            <v>185</v>
          </cell>
          <cell r="E633">
            <v>185</v>
          </cell>
          <cell r="F633">
            <v>185</v>
          </cell>
          <cell r="G633">
            <v>235</v>
          </cell>
          <cell r="H633">
            <v>290</v>
          </cell>
          <cell r="I633">
            <v>345</v>
          </cell>
          <cell r="J633">
            <v>252.5</v>
          </cell>
          <cell r="K633">
            <v>312.5</v>
          </cell>
          <cell r="L633">
            <v>162.5</v>
          </cell>
          <cell r="M633">
            <v>162.5</v>
          </cell>
          <cell r="N633">
            <v>220</v>
          </cell>
          <cell r="O633">
            <v>275</v>
          </cell>
          <cell r="P633">
            <v>330</v>
          </cell>
          <cell r="Q633">
            <v>387.5</v>
          </cell>
          <cell r="R633">
            <v>287.5</v>
          </cell>
          <cell r="S633">
            <v>287.5</v>
          </cell>
          <cell r="T633">
            <v>287.5</v>
          </cell>
          <cell r="U633">
            <v>345</v>
          </cell>
          <cell r="V633">
            <v>240</v>
          </cell>
          <cell r="W633">
            <v>135</v>
          </cell>
          <cell r="X633">
            <v>192.5</v>
          </cell>
          <cell r="Y633">
            <v>102.5</v>
          </cell>
          <cell r="Z633">
            <v>102.5</v>
          </cell>
          <cell r="AA633">
            <v>102.5</v>
          </cell>
          <cell r="AB633">
            <v>160</v>
          </cell>
          <cell r="AC633">
            <v>215</v>
          </cell>
          <cell r="AD633">
            <v>270</v>
          </cell>
          <cell r="AE633">
            <v>227.5</v>
          </cell>
          <cell r="AF633">
            <v>287.5</v>
          </cell>
          <cell r="AG633">
            <v>187.5</v>
          </cell>
          <cell r="AH633">
            <v>187.5</v>
          </cell>
          <cell r="AI633">
            <v>187.5</v>
          </cell>
        </row>
        <row r="634">
          <cell r="C634" t="str">
            <v>在庫実績(社内)</v>
          </cell>
          <cell r="D634">
            <v>5</v>
          </cell>
          <cell r="E634">
            <v>5</v>
          </cell>
          <cell r="F634">
            <v>5</v>
          </cell>
          <cell r="G634">
            <v>5</v>
          </cell>
          <cell r="H634">
            <v>10</v>
          </cell>
          <cell r="I634">
            <v>5</v>
          </cell>
          <cell r="J634">
            <v>10</v>
          </cell>
          <cell r="K634">
            <v>5</v>
          </cell>
          <cell r="L634">
            <v>5</v>
          </cell>
          <cell r="M634">
            <v>5</v>
          </cell>
          <cell r="N634">
            <v>6</v>
          </cell>
          <cell r="O634">
            <v>11</v>
          </cell>
          <cell r="P634">
            <v>9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</row>
        <row r="635">
          <cell r="C635" t="str">
            <v>在庫実績(物流)</v>
          </cell>
          <cell r="D635">
            <v>180</v>
          </cell>
          <cell r="E635">
            <v>180</v>
          </cell>
          <cell r="F635">
            <v>180</v>
          </cell>
          <cell r="G635">
            <v>225</v>
          </cell>
          <cell r="H635">
            <v>280</v>
          </cell>
          <cell r="I635">
            <v>335</v>
          </cell>
          <cell r="J635">
            <v>245</v>
          </cell>
          <cell r="K635">
            <v>310</v>
          </cell>
          <cell r="L635">
            <v>160</v>
          </cell>
          <cell r="M635">
            <v>160</v>
          </cell>
          <cell r="N635">
            <v>215</v>
          </cell>
          <cell r="O635">
            <v>270</v>
          </cell>
          <cell r="P635">
            <v>325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</row>
        <row r="636">
          <cell r="C636" t="str">
            <v>差異</v>
          </cell>
          <cell r="D636">
            <v>-5</v>
          </cell>
          <cell r="E636">
            <v>0</v>
          </cell>
          <cell r="F636">
            <v>0</v>
          </cell>
          <cell r="G636">
            <v>-5</v>
          </cell>
          <cell r="H636">
            <v>0</v>
          </cell>
          <cell r="I636">
            <v>-5</v>
          </cell>
          <cell r="J636">
            <v>2.5</v>
          </cell>
          <cell r="K636">
            <v>2.5</v>
          </cell>
          <cell r="L636">
            <v>2.5</v>
          </cell>
          <cell r="M636">
            <v>2.5</v>
          </cell>
          <cell r="N636">
            <v>1</v>
          </cell>
          <cell r="O636">
            <v>6</v>
          </cell>
          <cell r="P636">
            <v>4</v>
          </cell>
          <cell r="Q636">
            <v>-387.5</v>
          </cell>
          <cell r="R636">
            <v>-287.5</v>
          </cell>
          <cell r="S636">
            <v>-287.5</v>
          </cell>
          <cell r="T636">
            <v>-287.5</v>
          </cell>
          <cell r="U636">
            <v>-345</v>
          </cell>
          <cell r="V636">
            <v>-240</v>
          </cell>
          <cell r="W636">
            <v>-135</v>
          </cell>
          <cell r="X636">
            <v>-192.5</v>
          </cell>
          <cell r="Y636">
            <v>-102.5</v>
          </cell>
          <cell r="Z636">
            <v>-102.5</v>
          </cell>
          <cell r="AA636">
            <v>-102.5</v>
          </cell>
          <cell r="AB636">
            <v>-160</v>
          </cell>
          <cell r="AC636">
            <v>-215</v>
          </cell>
          <cell r="AD636">
            <v>-270</v>
          </cell>
          <cell r="AE636">
            <v>-227.5</v>
          </cell>
          <cell r="AF636">
            <v>-287.5</v>
          </cell>
          <cell r="AG636">
            <v>-187.5</v>
          </cell>
          <cell r="AH636">
            <v>-187.5</v>
          </cell>
          <cell r="AI636">
            <v>-187.5</v>
          </cell>
        </row>
        <row r="637">
          <cell r="C637" t="str">
            <v>ﾊﾞﾝﾆﾝｸﾞ計画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150</v>
          </cell>
          <cell r="K637">
            <v>0</v>
          </cell>
          <cell r="L637">
            <v>150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160</v>
          </cell>
          <cell r="S637">
            <v>0</v>
          </cell>
          <cell r="T637">
            <v>0</v>
          </cell>
          <cell r="U637">
            <v>0</v>
          </cell>
          <cell r="V637">
            <v>160</v>
          </cell>
          <cell r="W637">
            <v>160</v>
          </cell>
          <cell r="X637">
            <v>0</v>
          </cell>
          <cell r="Y637">
            <v>150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100</v>
          </cell>
          <cell r="AF637">
            <v>0</v>
          </cell>
          <cell r="AG637">
            <v>100</v>
          </cell>
          <cell r="AH637">
            <v>0</v>
          </cell>
          <cell r="AI637">
            <v>0</v>
          </cell>
        </row>
        <row r="638">
          <cell r="C638" t="str">
            <v>ｵｰﾀﾞｰ変更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I638">
            <v>150</v>
          </cell>
          <cell r="K638">
            <v>150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Q638">
            <v>160</v>
          </cell>
          <cell r="S638">
            <v>0</v>
          </cell>
          <cell r="T638">
            <v>0</v>
          </cell>
          <cell r="U638">
            <v>160</v>
          </cell>
          <cell r="V638">
            <v>160</v>
          </cell>
          <cell r="W638">
            <v>0</v>
          </cell>
          <cell r="X638">
            <v>150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100</v>
          </cell>
          <cell r="AE638">
            <v>0</v>
          </cell>
          <cell r="AF638">
            <v>100</v>
          </cell>
          <cell r="AG638">
            <v>0</v>
          </cell>
          <cell r="AH638">
            <v>0</v>
          </cell>
          <cell r="AI638">
            <v>0</v>
          </cell>
        </row>
        <row r="639">
          <cell r="C639" t="str">
            <v>20日情報
(工場出荷)</v>
          </cell>
          <cell r="E639">
            <v>0</v>
          </cell>
          <cell r="F639">
            <v>0</v>
          </cell>
          <cell r="G639">
            <v>0</v>
          </cell>
          <cell r="H639">
            <v>150</v>
          </cell>
          <cell r="I639">
            <v>0</v>
          </cell>
          <cell r="J639">
            <v>150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160</v>
          </cell>
          <cell r="Q639">
            <v>0</v>
          </cell>
          <cell r="R639">
            <v>160</v>
          </cell>
          <cell r="S639">
            <v>0</v>
          </cell>
          <cell r="T639">
            <v>0</v>
          </cell>
          <cell r="U639">
            <v>0</v>
          </cell>
          <cell r="V639">
            <v>160</v>
          </cell>
          <cell r="W639">
            <v>0</v>
          </cell>
          <cell r="X639">
            <v>150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100</v>
          </cell>
          <cell r="AE639">
            <v>0</v>
          </cell>
          <cell r="AF639">
            <v>100</v>
          </cell>
          <cell r="AG639">
            <v>0</v>
          </cell>
          <cell r="AH639">
            <v>0</v>
          </cell>
          <cell r="AI639">
            <v>0</v>
          </cell>
        </row>
        <row r="640">
          <cell r="B640">
            <v>984421301</v>
          </cell>
          <cell r="C640" t="str">
            <v>梱包計画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</row>
        <row r="641">
          <cell r="C641" t="str">
            <v>(調整）</v>
          </cell>
        </row>
        <row r="642"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</row>
        <row r="643"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</row>
        <row r="644"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</row>
        <row r="645"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</row>
        <row r="646"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</row>
        <row r="647">
          <cell r="C647" t="str">
            <v>手直し等</v>
          </cell>
        </row>
        <row r="648">
          <cell r="C648" t="str">
            <v>出荷実績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</row>
        <row r="649">
          <cell r="C649" t="str">
            <v>停止時間（昼勤）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</row>
        <row r="650">
          <cell r="C650" t="str">
            <v>停止時間（夜勤）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</row>
        <row r="651">
          <cell r="B651">
            <v>984421301</v>
          </cell>
          <cell r="C651" t="str">
            <v>振替計画・実績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</row>
        <row r="652">
          <cell r="C652" t="str">
            <v>在庫計画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</row>
        <row r="653">
          <cell r="C653" t="str">
            <v>在庫実績(社内)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</row>
        <row r="654">
          <cell r="C654" t="str">
            <v>在庫実績(物流)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</row>
        <row r="655">
          <cell r="C655" t="str">
            <v>差異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</row>
        <row r="656">
          <cell r="C656" t="str">
            <v>ﾊﾞﾝﾆﾝｸﾞ計画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</row>
        <row r="657">
          <cell r="C657" t="str">
            <v>ｵｰﾀﾞｰ変更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</row>
        <row r="658">
          <cell r="C658" t="str">
            <v>20日情報
(工場出荷)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</row>
        <row r="659">
          <cell r="B659">
            <v>984421501</v>
          </cell>
          <cell r="C659" t="str">
            <v>梱包計画</v>
          </cell>
          <cell r="D659">
            <v>5</v>
          </cell>
          <cell r="E659">
            <v>0</v>
          </cell>
          <cell r="F659">
            <v>0</v>
          </cell>
          <cell r="G659">
            <v>15</v>
          </cell>
          <cell r="H659">
            <v>15</v>
          </cell>
          <cell r="I659">
            <v>15</v>
          </cell>
          <cell r="J659">
            <v>15</v>
          </cell>
          <cell r="K659">
            <v>15</v>
          </cell>
          <cell r="L659">
            <v>0</v>
          </cell>
          <cell r="M659">
            <v>0</v>
          </cell>
          <cell r="N659">
            <v>15</v>
          </cell>
          <cell r="O659">
            <v>15</v>
          </cell>
          <cell r="P659">
            <v>15</v>
          </cell>
          <cell r="Q659">
            <v>15</v>
          </cell>
          <cell r="R659">
            <v>15</v>
          </cell>
          <cell r="S659">
            <v>0</v>
          </cell>
          <cell r="T659">
            <v>0</v>
          </cell>
          <cell r="U659">
            <v>15</v>
          </cell>
          <cell r="V659">
            <v>15</v>
          </cell>
          <cell r="W659">
            <v>15</v>
          </cell>
          <cell r="X659">
            <v>15</v>
          </cell>
          <cell r="Y659">
            <v>15</v>
          </cell>
          <cell r="Z659">
            <v>0</v>
          </cell>
          <cell r="AA659">
            <v>0</v>
          </cell>
          <cell r="AB659">
            <v>15</v>
          </cell>
          <cell r="AC659">
            <v>15</v>
          </cell>
          <cell r="AD659">
            <v>15</v>
          </cell>
          <cell r="AE659">
            <v>15</v>
          </cell>
          <cell r="AF659">
            <v>15</v>
          </cell>
          <cell r="AG659">
            <v>0</v>
          </cell>
          <cell r="AH659">
            <v>0</v>
          </cell>
          <cell r="AI659">
            <v>0</v>
          </cell>
        </row>
        <row r="660">
          <cell r="C660" t="str">
            <v>(調整）</v>
          </cell>
        </row>
        <row r="661"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</row>
        <row r="662">
          <cell r="D662">
            <v>40</v>
          </cell>
          <cell r="E662">
            <v>0</v>
          </cell>
          <cell r="F662">
            <v>0</v>
          </cell>
          <cell r="G662">
            <v>5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</row>
        <row r="663"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</row>
        <row r="664"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</row>
        <row r="665">
          <cell r="D665">
            <v>25</v>
          </cell>
          <cell r="E665">
            <v>0</v>
          </cell>
          <cell r="F665">
            <v>0</v>
          </cell>
          <cell r="G665">
            <v>10</v>
          </cell>
          <cell r="H665">
            <v>15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</row>
        <row r="666">
          <cell r="C666" t="str">
            <v>手直し等</v>
          </cell>
        </row>
        <row r="667">
          <cell r="C667" t="str">
            <v>出荷実績</v>
          </cell>
          <cell r="E667">
            <v>0</v>
          </cell>
          <cell r="F667">
            <v>0</v>
          </cell>
          <cell r="G667">
            <v>10</v>
          </cell>
          <cell r="H667">
            <v>10</v>
          </cell>
          <cell r="I667">
            <v>15</v>
          </cell>
          <cell r="J667">
            <v>15</v>
          </cell>
          <cell r="K667">
            <v>15</v>
          </cell>
          <cell r="L667">
            <v>0</v>
          </cell>
          <cell r="M667">
            <v>0</v>
          </cell>
          <cell r="N667">
            <v>20</v>
          </cell>
          <cell r="O667">
            <v>10</v>
          </cell>
          <cell r="P667">
            <v>20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</row>
        <row r="668">
          <cell r="C668" t="str">
            <v>停止時間（昼勤）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</row>
        <row r="669">
          <cell r="C669" t="str">
            <v>停止時間（夜勤）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</row>
        <row r="670">
          <cell r="B670">
            <v>984421501</v>
          </cell>
          <cell r="C670" t="str">
            <v>振替計画・実績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</row>
        <row r="671">
          <cell r="C671" t="str">
            <v>在庫計画</v>
          </cell>
          <cell r="D671">
            <v>35</v>
          </cell>
          <cell r="E671">
            <v>35</v>
          </cell>
          <cell r="F671">
            <v>35</v>
          </cell>
          <cell r="G671">
            <v>45</v>
          </cell>
          <cell r="H671">
            <v>60</v>
          </cell>
          <cell r="I671">
            <v>75</v>
          </cell>
          <cell r="J671">
            <v>55</v>
          </cell>
          <cell r="K671">
            <v>70</v>
          </cell>
          <cell r="L671">
            <v>35</v>
          </cell>
          <cell r="M671">
            <v>35</v>
          </cell>
          <cell r="N671">
            <v>50</v>
          </cell>
          <cell r="O671">
            <v>65</v>
          </cell>
          <cell r="P671">
            <v>80</v>
          </cell>
          <cell r="Q671">
            <v>95</v>
          </cell>
          <cell r="R671">
            <v>70</v>
          </cell>
          <cell r="S671">
            <v>70</v>
          </cell>
          <cell r="T671">
            <v>70</v>
          </cell>
          <cell r="U671">
            <v>85</v>
          </cell>
          <cell r="V671">
            <v>60</v>
          </cell>
          <cell r="W671">
            <v>40</v>
          </cell>
          <cell r="X671">
            <v>55</v>
          </cell>
          <cell r="Y671">
            <v>35</v>
          </cell>
          <cell r="Z671">
            <v>35</v>
          </cell>
          <cell r="AA671">
            <v>35</v>
          </cell>
          <cell r="AB671">
            <v>50</v>
          </cell>
          <cell r="AC671">
            <v>65</v>
          </cell>
          <cell r="AD671">
            <v>80</v>
          </cell>
          <cell r="AE671">
            <v>75</v>
          </cell>
          <cell r="AF671">
            <v>90</v>
          </cell>
          <cell r="AG671">
            <v>70</v>
          </cell>
          <cell r="AH671">
            <v>70</v>
          </cell>
          <cell r="AI671">
            <v>70</v>
          </cell>
        </row>
        <row r="672">
          <cell r="C672" t="str">
            <v>在庫実績(社内)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4</v>
          </cell>
          <cell r="I672">
            <v>3</v>
          </cell>
          <cell r="J672">
            <v>3</v>
          </cell>
          <cell r="K672">
            <v>3</v>
          </cell>
          <cell r="L672">
            <v>3</v>
          </cell>
          <cell r="M672">
            <v>3</v>
          </cell>
          <cell r="N672">
            <v>3</v>
          </cell>
          <cell r="O672">
            <v>3</v>
          </cell>
          <cell r="P672">
            <v>3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</row>
        <row r="673">
          <cell r="C673" t="str">
            <v>在庫実績(物流)</v>
          </cell>
          <cell r="D673">
            <v>35</v>
          </cell>
          <cell r="E673">
            <v>35</v>
          </cell>
          <cell r="F673">
            <v>35</v>
          </cell>
          <cell r="G673">
            <v>45</v>
          </cell>
          <cell r="H673">
            <v>55</v>
          </cell>
          <cell r="I673">
            <v>70</v>
          </cell>
          <cell r="J673">
            <v>50</v>
          </cell>
          <cell r="K673">
            <v>65</v>
          </cell>
          <cell r="L673">
            <v>30</v>
          </cell>
          <cell r="M673">
            <v>30</v>
          </cell>
          <cell r="N673">
            <v>50</v>
          </cell>
          <cell r="O673">
            <v>60</v>
          </cell>
          <cell r="P673">
            <v>80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</row>
        <row r="674">
          <cell r="C674" t="str">
            <v>差異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-1</v>
          </cell>
          <cell r="I674">
            <v>-2</v>
          </cell>
          <cell r="J674">
            <v>-2</v>
          </cell>
          <cell r="K674">
            <v>-2</v>
          </cell>
          <cell r="L674">
            <v>-2</v>
          </cell>
          <cell r="M674">
            <v>-2</v>
          </cell>
          <cell r="N674">
            <v>3</v>
          </cell>
          <cell r="O674">
            <v>-2</v>
          </cell>
          <cell r="P674">
            <v>3</v>
          </cell>
          <cell r="Q674">
            <v>-95</v>
          </cell>
          <cell r="R674">
            <v>-70</v>
          </cell>
          <cell r="S674">
            <v>-70</v>
          </cell>
          <cell r="T674">
            <v>-70</v>
          </cell>
          <cell r="U674">
            <v>-85</v>
          </cell>
          <cell r="V674">
            <v>-60</v>
          </cell>
          <cell r="W674">
            <v>-40</v>
          </cell>
          <cell r="X674">
            <v>-55</v>
          </cell>
          <cell r="Y674">
            <v>-35</v>
          </cell>
          <cell r="Z674">
            <v>-35</v>
          </cell>
          <cell r="AA674">
            <v>-35</v>
          </cell>
          <cell r="AB674">
            <v>-50</v>
          </cell>
          <cell r="AC674">
            <v>-65</v>
          </cell>
          <cell r="AD674">
            <v>-80</v>
          </cell>
          <cell r="AE674">
            <v>-75</v>
          </cell>
          <cell r="AF674">
            <v>-90</v>
          </cell>
          <cell r="AG674">
            <v>-70</v>
          </cell>
          <cell r="AH674">
            <v>-70</v>
          </cell>
          <cell r="AI674">
            <v>-70</v>
          </cell>
        </row>
        <row r="675">
          <cell r="C675" t="str">
            <v>ﾊﾞﾝﾆﾝｸﾞ計画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35</v>
          </cell>
          <cell r="K675">
            <v>0</v>
          </cell>
          <cell r="L675">
            <v>35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40</v>
          </cell>
          <cell r="S675">
            <v>0</v>
          </cell>
          <cell r="T675">
            <v>0</v>
          </cell>
          <cell r="U675">
            <v>0</v>
          </cell>
          <cell r="V675">
            <v>40</v>
          </cell>
          <cell r="W675">
            <v>35</v>
          </cell>
          <cell r="X675">
            <v>0</v>
          </cell>
          <cell r="Y675">
            <v>35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20</v>
          </cell>
          <cell r="AF675">
            <v>0</v>
          </cell>
          <cell r="AG675">
            <v>20</v>
          </cell>
          <cell r="AH675">
            <v>0</v>
          </cell>
          <cell r="AI675">
            <v>0</v>
          </cell>
        </row>
        <row r="676">
          <cell r="C676" t="str">
            <v>ｵｰﾀﾞｰ変更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I676">
            <v>35</v>
          </cell>
          <cell r="K676">
            <v>35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Q676">
            <v>40</v>
          </cell>
          <cell r="S676">
            <v>0</v>
          </cell>
          <cell r="T676">
            <v>0</v>
          </cell>
          <cell r="U676">
            <v>40</v>
          </cell>
          <cell r="V676">
            <v>35</v>
          </cell>
          <cell r="W676">
            <v>0</v>
          </cell>
          <cell r="X676">
            <v>35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20</v>
          </cell>
          <cell r="AE676">
            <v>0</v>
          </cell>
          <cell r="AF676">
            <v>20</v>
          </cell>
          <cell r="AG676">
            <v>0</v>
          </cell>
          <cell r="AH676">
            <v>0</v>
          </cell>
          <cell r="AI676">
            <v>0</v>
          </cell>
        </row>
        <row r="677">
          <cell r="C677" t="str">
            <v>20日情報
(工場出荷)</v>
          </cell>
          <cell r="E677">
            <v>0</v>
          </cell>
          <cell r="F677">
            <v>0</v>
          </cell>
          <cell r="G677">
            <v>0</v>
          </cell>
          <cell r="H677">
            <v>35</v>
          </cell>
          <cell r="I677">
            <v>0</v>
          </cell>
          <cell r="J677">
            <v>35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40</v>
          </cell>
          <cell r="Q677">
            <v>0</v>
          </cell>
          <cell r="R677">
            <v>40</v>
          </cell>
          <cell r="S677">
            <v>0</v>
          </cell>
          <cell r="T677">
            <v>0</v>
          </cell>
          <cell r="U677">
            <v>0</v>
          </cell>
          <cell r="V677">
            <v>35</v>
          </cell>
          <cell r="W677">
            <v>0</v>
          </cell>
          <cell r="X677">
            <v>35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20</v>
          </cell>
          <cell r="AE677">
            <v>0</v>
          </cell>
          <cell r="AF677">
            <v>20</v>
          </cell>
          <cell r="AG677">
            <v>0</v>
          </cell>
          <cell r="AH677">
            <v>0</v>
          </cell>
          <cell r="AI677">
            <v>0</v>
          </cell>
        </row>
        <row r="678">
          <cell r="B678">
            <v>984421601</v>
          </cell>
          <cell r="C678" t="str">
            <v>梱包計画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</row>
        <row r="679">
          <cell r="C679" t="str">
            <v>(調整）</v>
          </cell>
        </row>
        <row r="680"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</row>
        <row r="681"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</row>
        <row r="682"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</row>
        <row r="683"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</row>
        <row r="684"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</row>
        <row r="685">
          <cell r="C685" t="str">
            <v>手直し等</v>
          </cell>
        </row>
        <row r="686">
          <cell r="C686" t="str">
            <v>出荷実績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</row>
        <row r="687">
          <cell r="C687" t="str">
            <v>停止時間（昼勤）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</row>
        <row r="688">
          <cell r="C688" t="str">
            <v>停止時間（夜勤）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</row>
        <row r="689">
          <cell r="B689">
            <v>984421601</v>
          </cell>
          <cell r="C689" t="str">
            <v>振替計画・実績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</row>
        <row r="690">
          <cell r="C690" t="str">
            <v>在庫計画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</row>
        <row r="691">
          <cell r="C691" t="str">
            <v>在庫実績(社内)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</row>
        <row r="692">
          <cell r="C692" t="str">
            <v>在庫実績(物流)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</row>
        <row r="693">
          <cell r="C693" t="str">
            <v>差異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</row>
        <row r="694">
          <cell r="C694" t="str">
            <v>ﾊﾞﾝﾆﾝｸﾞ計画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</row>
        <row r="695">
          <cell r="C695" t="str">
            <v>ｵｰﾀﾞｰ変更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</row>
        <row r="696">
          <cell r="C696" t="str">
            <v>20日情報
(工場出荷)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</row>
        <row r="697">
          <cell r="B697">
            <v>984421701</v>
          </cell>
          <cell r="C697" t="str">
            <v>梱包計画</v>
          </cell>
          <cell r="D697">
            <v>0</v>
          </cell>
          <cell r="E697">
            <v>0</v>
          </cell>
          <cell r="F697">
            <v>0</v>
          </cell>
          <cell r="G697">
            <v>10</v>
          </cell>
          <cell r="H697">
            <v>10</v>
          </cell>
          <cell r="I697">
            <v>10</v>
          </cell>
          <cell r="J697">
            <v>10</v>
          </cell>
          <cell r="K697">
            <v>10</v>
          </cell>
          <cell r="L697">
            <v>0</v>
          </cell>
          <cell r="M697">
            <v>0</v>
          </cell>
          <cell r="N697">
            <v>10</v>
          </cell>
          <cell r="O697">
            <v>10</v>
          </cell>
          <cell r="P697">
            <v>10</v>
          </cell>
          <cell r="Q697">
            <v>10</v>
          </cell>
          <cell r="R697">
            <v>10</v>
          </cell>
          <cell r="S697">
            <v>0</v>
          </cell>
          <cell r="T697">
            <v>0</v>
          </cell>
          <cell r="U697">
            <v>10</v>
          </cell>
          <cell r="V697">
            <v>10</v>
          </cell>
          <cell r="W697">
            <v>10</v>
          </cell>
          <cell r="X697">
            <v>10</v>
          </cell>
          <cell r="Y697">
            <v>10</v>
          </cell>
          <cell r="Z697">
            <v>0</v>
          </cell>
          <cell r="AA697">
            <v>0</v>
          </cell>
          <cell r="AB697">
            <v>5</v>
          </cell>
          <cell r="AC697">
            <v>5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</row>
        <row r="698">
          <cell r="C698" t="str">
            <v>(調整）</v>
          </cell>
          <cell r="AB698">
            <v>-5</v>
          </cell>
          <cell r="AC698">
            <v>-5</v>
          </cell>
          <cell r="AD698">
            <v>-10</v>
          </cell>
          <cell r="AE698">
            <v>-10</v>
          </cell>
          <cell r="AF698">
            <v>-10</v>
          </cell>
        </row>
        <row r="699">
          <cell r="D699">
            <v>0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</row>
        <row r="700">
          <cell r="D700">
            <v>0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</row>
        <row r="701"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</row>
        <row r="702"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</row>
        <row r="703">
          <cell r="D703">
            <v>15</v>
          </cell>
          <cell r="E703">
            <v>0</v>
          </cell>
          <cell r="F703">
            <v>0</v>
          </cell>
          <cell r="G703">
            <v>10</v>
          </cell>
          <cell r="H703">
            <v>5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</row>
        <row r="704">
          <cell r="C704" t="str">
            <v>手直し等</v>
          </cell>
        </row>
        <row r="705">
          <cell r="C705" t="str">
            <v>出荷実績</v>
          </cell>
          <cell r="E705">
            <v>0</v>
          </cell>
          <cell r="F705">
            <v>0</v>
          </cell>
          <cell r="G705">
            <v>10</v>
          </cell>
          <cell r="H705">
            <v>10</v>
          </cell>
          <cell r="I705">
            <v>5</v>
          </cell>
          <cell r="J705">
            <v>15</v>
          </cell>
          <cell r="K705">
            <v>10</v>
          </cell>
          <cell r="L705">
            <v>0</v>
          </cell>
          <cell r="M705">
            <v>0</v>
          </cell>
          <cell r="N705">
            <v>10</v>
          </cell>
          <cell r="O705">
            <v>10</v>
          </cell>
          <cell r="P705">
            <v>10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</row>
        <row r="706">
          <cell r="C706" t="str">
            <v>停止時間（昼勤）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</row>
        <row r="707">
          <cell r="C707" t="str">
            <v>停止時間（夜勤）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</row>
        <row r="708">
          <cell r="B708">
            <v>984421701</v>
          </cell>
          <cell r="C708" t="str">
            <v>振替計画・実績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</row>
        <row r="709">
          <cell r="C709" t="str">
            <v>在庫計画</v>
          </cell>
          <cell r="D709">
            <v>0</v>
          </cell>
          <cell r="E709">
            <v>0</v>
          </cell>
          <cell r="F709">
            <v>0</v>
          </cell>
          <cell r="G709">
            <v>5</v>
          </cell>
          <cell r="H709">
            <v>15</v>
          </cell>
          <cell r="I709">
            <v>25</v>
          </cell>
          <cell r="J709">
            <v>35</v>
          </cell>
          <cell r="K709">
            <v>45</v>
          </cell>
          <cell r="L709">
            <v>45</v>
          </cell>
          <cell r="M709">
            <v>45</v>
          </cell>
          <cell r="N709">
            <v>55</v>
          </cell>
          <cell r="O709">
            <v>65</v>
          </cell>
          <cell r="P709">
            <v>75</v>
          </cell>
          <cell r="Q709">
            <v>85</v>
          </cell>
          <cell r="R709">
            <v>95</v>
          </cell>
          <cell r="S709">
            <v>95</v>
          </cell>
          <cell r="T709">
            <v>95</v>
          </cell>
          <cell r="U709">
            <v>105</v>
          </cell>
          <cell r="V709">
            <v>115</v>
          </cell>
          <cell r="W709">
            <v>95</v>
          </cell>
          <cell r="X709">
            <v>105</v>
          </cell>
          <cell r="Y709">
            <v>80</v>
          </cell>
          <cell r="Z709">
            <v>80</v>
          </cell>
          <cell r="AA709">
            <v>80</v>
          </cell>
          <cell r="AB709">
            <v>87.5</v>
          </cell>
          <cell r="AC709">
            <v>92.5</v>
          </cell>
          <cell r="AD709">
            <v>95</v>
          </cell>
          <cell r="AE709">
            <v>60</v>
          </cell>
          <cell r="AF709">
            <v>60</v>
          </cell>
          <cell r="AG709">
            <v>25</v>
          </cell>
          <cell r="AH709">
            <v>25</v>
          </cell>
          <cell r="AI709">
            <v>25</v>
          </cell>
        </row>
        <row r="710">
          <cell r="C710" t="str">
            <v>在庫実績(社内)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5</v>
          </cell>
          <cell r="O710">
            <v>5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</row>
        <row r="711">
          <cell r="C711" t="str">
            <v>在庫実績(物流)</v>
          </cell>
          <cell r="D711">
            <v>0</v>
          </cell>
          <cell r="E711">
            <v>0</v>
          </cell>
          <cell r="F711">
            <v>0</v>
          </cell>
          <cell r="G711">
            <v>10</v>
          </cell>
          <cell r="H711">
            <v>20</v>
          </cell>
          <cell r="I711">
            <v>25</v>
          </cell>
          <cell r="J711">
            <v>40</v>
          </cell>
          <cell r="K711">
            <v>50</v>
          </cell>
          <cell r="L711">
            <v>50</v>
          </cell>
          <cell r="M711">
            <v>50</v>
          </cell>
          <cell r="N711">
            <v>60</v>
          </cell>
          <cell r="O711">
            <v>70</v>
          </cell>
          <cell r="P711">
            <v>80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</row>
        <row r="712">
          <cell r="C712" t="str">
            <v>差異</v>
          </cell>
          <cell r="D712">
            <v>0</v>
          </cell>
          <cell r="E712">
            <v>0</v>
          </cell>
          <cell r="F712">
            <v>0</v>
          </cell>
          <cell r="G712">
            <v>5</v>
          </cell>
          <cell r="H712">
            <v>5</v>
          </cell>
          <cell r="I712">
            <v>0</v>
          </cell>
          <cell r="J712">
            <v>5</v>
          </cell>
          <cell r="K712">
            <v>5</v>
          </cell>
          <cell r="L712">
            <v>5</v>
          </cell>
          <cell r="M712">
            <v>5</v>
          </cell>
          <cell r="N712">
            <v>10</v>
          </cell>
          <cell r="O712">
            <v>10</v>
          </cell>
          <cell r="P712">
            <v>5</v>
          </cell>
          <cell r="Q712">
            <v>-85</v>
          </cell>
          <cell r="R712">
            <v>-95</v>
          </cell>
          <cell r="S712">
            <v>-95</v>
          </cell>
          <cell r="T712">
            <v>-95</v>
          </cell>
          <cell r="U712">
            <v>-105</v>
          </cell>
          <cell r="V712">
            <v>-115</v>
          </cell>
          <cell r="W712">
            <v>-95</v>
          </cell>
          <cell r="X712">
            <v>-105</v>
          </cell>
          <cell r="Y712">
            <v>-80</v>
          </cell>
          <cell r="Z712">
            <v>-80</v>
          </cell>
          <cell r="AA712">
            <v>-80</v>
          </cell>
          <cell r="AB712">
            <v>-87.5</v>
          </cell>
          <cell r="AC712">
            <v>-92.5</v>
          </cell>
          <cell r="AD712">
            <v>-95</v>
          </cell>
          <cell r="AE712">
            <v>-60</v>
          </cell>
          <cell r="AF712">
            <v>-60</v>
          </cell>
          <cell r="AG712">
            <v>-25</v>
          </cell>
          <cell r="AH712">
            <v>-25</v>
          </cell>
          <cell r="AI712">
            <v>-25</v>
          </cell>
        </row>
        <row r="713">
          <cell r="C713" t="str">
            <v>ﾊﾞﾝﾆﾝｸﾞ計画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30</v>
          </cell>
          <cell r="X713">
            <v>0</v>
          </cell>
          <cell r="Y713">
            <v>35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35</v>
          </cell>
          <cell r="AF713">
            <v>0</v>
          </cell>
          <cell r="AG713">
            <v>35</v>
          </cell>
          <cell r="AH713">
            <v>0</v>
          </cell>
          <cell r="AI713">
            <v>0</v>
          </cell>
        </row>
        <row r="714">
          <cell r="C714" t="str">
            <v>ｵｰﾀﾞｰ変更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30</v>
          </cell>
          <cell r="W714">
            <v>0</v>
          </cell>
          <cell r="X714">
            <v>35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35</v>
          </cell>
          <cell r="AE714">
            <v>0</v>
          </cell>
          <cell r="AF714">
            <v>35</v>
          </cell>
          <cell r="AG714">
            <v>0</v>
          </cell>
          <cell r="AH714">
            <v>0</v>
          </cell>
          <cell r="AI714">
            <v>0</v>
          </cell>
        </row>
        <row r="715">
          <cell r="C715" t="str">
            <v>20日情報
(工場出荷)</v>
          </cell>
          <cell r="E715">
            <v>0</v>
          </cell>
          <cell r="F715">
            <v>0</v>
          </cell>
          <cell r="G715">
            <v>0</v>
          </cell>
          <cell r="H715">
            <v>15</v>
          </cell>
          <cell r="I715">
            <v>0</v>
          </cell>
          <cell r="J715">
            <v>15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15</v>
          </cell>
          <cell r="Q715">
            <v>0</v>
          </cell>
          <cell r="R715">
            <v>15</v>
          </cell>
          <cell r="S715">
            <v>0</v>
          </cell>
          <cell r="T715">
            <v>0</v>
          </cell>
          <cell r="U715">
            <v>0</v>
          </cell>
          <cell r="V715">
            <v>15</v>
          </cell>
          <cell r="W715">
            <v>0</v>
          </cell>
          <cell r="X715">
            <v>20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20</v>
          </cell>
          <cell r="AE715">
            <v>0</v>
          </cell>
          <cell r="AF715">
            <v>20</v>
          </cell>
          <cell r="AG715">
            <v>0</v>
          </cell>
          <cell r="AH715">
            <v>0</v>
          </cell>
          <cell r="AI715">
            <v>0</v>
          </cell>
        </row>
        <row r="716">
          <cell r="B716">
            <v>984421801</v>
          </cell>
          <cell r="C716" t="str">
            <v>梱包計画</v>
          </cell>
          <cell r="D716">
            <v>0</v>
          </cell>
          <cell r="E716">
            <v>0</v>
          </cell>
          <cell r="F716">
            <v>0</v>
          </cell>
          <cell r="G716">
            <v>5</v>
          </cell>
          <cell r="H716">
            <v>5</v>
          </cell>
          <cell r="I716">
            <v>5</v>
          </cell>
          <cell r="J716">
            <v>5</v>
          </cell>
          <cell r="K716">
            <v>5</v>
          </cell>
          <cell r="L716">
            <v>0</v>
          </cell>
          <cell r="M716">
            <v>0</v>
          </cell>
          <cell r="N716">
            <v>5</v>
          </cell>
          <cell r="O716">
            <v>5</v>
          </cell>
          <cell r="P716">
            <v>5</v>
          </cell>
          <cell r="Q716">
            <v>5</v>
          </cell>
          <cell r="R716">
            <v>5</v>
          </cell>
          <cell r="S716">
            <v>0</v>
          </cell>
          <cell r="T716">
            <v>0</v>
          </cell>
          <cell r="U716">
            <v>5</v>
          </cell>
          <cell r="V716">
            <v>5</v>
          </cell>
          <cell r="W716">
            <v>5</v>
          </cell>
          <cell r="X716">
            <v>5</v>
          </cell>
          <cell r="Y716">
            <v>5</v>
          </cell>
          <cell r="Z716">
            <v>0</v>
          </cell>
          <cell r="AA716">
            <v>0</v>
          </cell>
          <cell r="AB716">
            <v>5</v>
          </cell>
          <cell r="AC716">
            <v>5</v>
          </cell>
          <cell r="AD716">
            <v>5</v>
          </cell>
          <cell r="AE716">
            <v>5</v>
          </cell>
          <cell r="AF716">
            <v>5</v>
          </cell>
          <cell r="AG716">
            <v>0</v>
          </cell>
          <cell r="AH716">
            <v>0</v>
          </cell>
          <cell r="AI716">
            <v>0</v>
          </cell>
        </row>
        <row r="717">
          <cell r="C717" t="str">
            <v>(調整）</v>
          </cell>
        </row>
        <row r="718"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</row>
        <row r="719"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</row>
        <row r="720"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</row>
        <row r="721"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</row>
        <row r="722">
          <cell r="D722">
            <v>30</v>
          </cell>
          <cell r="E722">
            <v>0</v>
          </cell>
          <cell r="F722">
            <v>0</v>
          </cell>
          <cell r="G722">
            <v>5</v>
          </cell>
          <cell r="H722">
            <v>5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</row>
        <row r="723">
          <cell r="C723" t="str">
            <v>手直し等</v>
          </cell>
        </row>
        <row r="724">
          <cell r="C724" t="str">
            <v>出荷実績</v>
          </cell>
          <cell r="E724">
            <v>0</v>
          </cell>
          <cell r="F724">
            <v>0</v>
          </cell>
          <cell r="G724">
            <v>5</v>
          </cell>
          <cell r="H724">
            <v>5</v>
          </cell>
          <cell r="I724">
            <v>5</v>
          </cell>
          <cell r="J724">
            <v>5</v>
          </cell>
          <cell r="K724">
            <v>0</v>
          </cell>
          <cell r="L724">
            <v>0</v>
          </cell>
          <cell r="M724">
            <v>0</v>
          </cell>
          <cell r="N724">
            <v>10</v>
          </cell>
          <cell r="O724">
            <v>5</v>
          </cell>
          <cell r="P724">
            <v>5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</row>
        <row r="725">
          <cell r="C725" t="str">
            <v>停止時間（昼勤）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</row>
        <row r="726">
          <cell r="C726" t="str">
            <v>停止時間（夜勤）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</row>
        <row r="727">
          <cell r="B727">
            <v>984421801</v>
          </cell>
          <cell r="C727" t="str">
            <v>振替計画・実績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</row>
        <row r="728">
          <cell r="C728" t="str">
            <v>在庫計画</v>
          </cell>
          <cell r="D728">
            <v>20</v>
          </cell>
          <cell r="E728">
            <v>20</v>
          </cell>
          <cell r="F728">
            <v>20</v>
          </cell>
          <cell r="G728">
            <v>22.5</v>
          </cell>
          <cell r="H728">
            <v>27.5</v>
          </cell>
          <cell r="I728">
            <v>27.5</v>
          </cell>
          <cell r="J728">
            <v>32.5</v>
          </cell>
          <cell r="K728">
            <v>32.5</v>
          </cell>
          <cell r="L728">
            <v>32.5</v>
          </cell>
          <cell r="M728">
            <v>32.5</v>
          </cell>
          <cell r="N728">
            <v>37.5</v>
          </cell>
          <cell r="O728">
            <v>42.5</v>
          </cell>
          <cell r="P728">
            <v>47.5</v>
          </cell>
          <cell r="Q728">
            <v>47.5</v>
          </cell>
          <cell r="R728">
            <v>52.5</v>
          </cell>
          <cell r="S728">
            <v>47.5</v>
          </cell>
          <cell r="T728">
            <v>47.5</v>
          </cell>
          <cell r="U728">
            <v>52.5</v>
          </cell>
          <cell r="V728">
            <v>57.5</v>
          </cell>
          <cell r="W728">
            <v>57.5</v>
          </cell>
          <cell r="X728">
            <v>62.5</v>
          </cell>
          <cell r="Y728">
            <v>62.5</v>
          </cell>
          <cell r="Z728">
            <v>62.5</v>
          </cell>
          <cell r="AA728">
            <v>62.5</v>
          </cell>
          <cell r="AB728">
            <v>67.5</v>
          </cell>
          <cell r="AC728">
            <v>72.5</v>
          </cell>
          <cell r="AD728">
            <v>77.5</v>
          </cell>
          <cell r="AE728">
            <v>77.5</v>
          </cell>
          <cell r="AF728">
            <v>82.5</v>
          </cell>
          <cell r="AG728">
            <v>77.5</v>
          </cell>
          <cell r="AH728">
            <v>77.5</v>
          </cell>
          <cell r="AI728">
            <v>77.5</v>
          </cell>
        </row>
        <row r="729">
          <cell r="C729" t="str">
            <v>在庫実績(社内)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5</v>
          </cell>
          <cell r="L729">
            <v>5</v>
          </cell>
          <cell r="M729">
            <v>5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</row>
        <row r="730">
          <cell r="C730" t="str">
            <v>在庫実績(物流)</v>
          </cell>
          <cell r="D730">
            <v>20</v>
          </cell>
          <cell r="E730">
            <v>20</v>
          </cell>
          <cell r="F730">
            <v>20</v>
          </cell>
          <cell r="G730">
            <v>25</v>
          </cell>
          <cell r="H730">
            <v>30</v>
          </cell>
          <cell r="I730">
            <v>30</v>
          </cell>
          <cell r="J730">
            <v>35</v>
          </cell>
          <cell r="K730">
            <v>30</v>
          </cell>
          <cell r="L730">
            <v>30</v>
          </cell>
          <cell r="M730">
            <v>30</v>
          </cell>
          <cell r="N730">
            <v>40</v>
          </cell>
          <cell r="O730">
            <v>45</v>
          </cell>
          <cell r="P730">
            <v>50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</row>
        <row r="731">
          <cell r="C731" t="str">
            <v>差異</v>
          </cell>
          <cell r="D731">
            <v>0</v>
          </cell>
          <cell r="E731">
            <v>0</v>
          </cell>
          <cell r="F731">
            <v>0</v>
          </cell>
          <cell r="G731">
            <v>2.5</v>
          </cell>
          <cell r="H731">
            <v>2.5</v>
          </cell>
          <cell r="I731">
            <v>2.5</v>
          </cell>
          <cell r="J731">
            <v>2.5</v>
          </cell>
          <cell r="K731">
            <v>2.5</v>
          </cell>
          <cell r="L731">
            <v>2.5</v>
          </cell>
          <cell r="M731">
            <v>2.5</v>
          </cell>
          <cell r="N731">
            <v>2.5</v>
          </cell>
          <cell r="O731">
            <v>2.5</v>
          </cell>
          <cell r="P731">
            <v>2.5</v>
          </cell>
          <cell r="Q731">
            <v>-47.5</v>
          </cell>
          <cell r="R731">
            <v>-52.5</v>
          </cell>
          <cell r="S731">
            <v>-47.5</v>
          </cell>
          <cell r="T731">
            <v>-47.5</v>
          </cell>
          <cell r="U731">
            <v>-52.5</v>
          </cell>
          <cell r="V731">
            <v>-57.5</v>
          </cell>
          <cell r="W731">
            <v>-57.5</v>
          </cell>
          <cell r="X731">
            <v>-62.5</v>
          </cell>
          <cell r="Y731">
            <v>-62.5</v>
          </cell>
          <cell r="Z731">
            <v>-62.5</v>
          </cell>
          <cell r="AA731">
            <v>-62.5</v>
          </cell>
          <cell r="AB731">
            <v>-67.5</v>
          </cell>
          <cell r="AC731">
            <v>-72.5</v>
          </cell>
          <cell r="AD731">
            <v>-77.5</v>
          </cell>
          <cell r="AE731">
            <v>-77.5</v>
          </cell>
          <cell r="AF731">
            <v>-82.5</v>
          </cell>
          <cell r="AG731">
            <v>-77.5</v>
          </cell>
          <cell r="AH731">
            <v>-77.5</v>
          </cell>
          <cell r="AI731">
            <v>-77.5</v>
          </cell>
        </row>
        <row r="732">
          <cell r="C732" t="str">
            <v>ﾊﾞﾝﾆﾝｸﾞ計画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5</v>
          </cell>
          <cell r="J732">
            <v>0</v>
          </cell>
          <cell r="K732">
            <v>5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5</v>
          </cell>
          <cell r="R732">
            <v>0</v>
          </cell>
          <cell r="S732">
            <v>5</v>
          </cell>
          <cell r="T732">
            <v>0</v>
          </cell>
          <cell r="U732">
            <v>0</v>
          </cell>
          <cell r="V732">
            <v>0</v>
          </cell>
          <cell r="W732">
            <v>5</v>
          </cell>
          <cell r="X732">
            <v>0</v>
          </cell>
          <cell r="Y732">
            <v>5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5</v>
          </cell>
          <cell r="AF732">
            <v>0</v>
          </cell>
          <cell r="AG732">
            <v>5</v>
          </cell>
          <cell r="AH732">
            <v>0</v>
          </cell>
          <cell r="AI732">
            <v>0</v>
          </cell>
        </row>
        <row r="733">
          <cell r="C733" t="str">
            <v>ｵｰﾀﾞｰ変更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5</v>
          </cell>
          <cell r="I733">
            <v>0</v>
          </cell>
          <cell r="J733">
            <v>5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5</v>
          </cell>
          <cell r="Q733">
            <v>0</v>
          </cell>
          <cell r="R733">
            <v>5</v>
          </cell>
          <cell r="S733">
            <v>0</v>
          </cell>
          <cell r="T733">
            <v>0</v>
          </cell>
          <cell r="U733">
            <v>0</v>
          </cell>
          <cell r="V733">
            <v>5</v>
          </cell>
          <cell r="W733">
            <v>0</v>
          </cell>
          <cell r="X733">
            <v>5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5</v>
          </cell>
          <cell r="AE733">
            <v>0</v>
          </cell>
          <cell r="AF733">
            <v>5</v>
          </cell>
          <cell r="AG733">
            <v>0</v>
          </cell>
          <cell r="AH733">
            <v>0</v>
          </cell>
          <cell r="AI733">
            <v>0</v>
          </cell>
        </row>
        <row r="734">
          <cell r="C734" t="str">
            <v>20日情報
(工場出荷)</v>
          </cell>
          <cell r="E734">
            <v>0</v>
          </cell>
          <cell r="F734">
            <v>0</v>
          </cell>
          <cell r="G734">
            <v>0</v>
          </cell>
          <cell r="H734">
            <v>5</v>
          </cell>
          <cell r="I734">
            <v>0</v>
          </cell>
          <cell r="J734">
            <v>5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5</v>
          </cell>
          <cell r="Q734">
            <v>0</v>
          </cell>
          <cell r="R734">
            <v>5</v>
          </cell>
          <cell r="S734">
            <v>0</v>
          </cell>
          <cell r="T734">
            <v>0</v>
          </cell>
          <cell r="U734">
            <v>0</v>
          </cell>
          <cell r="V734">
            <v>5</v>
          </cell>
          <cell r="W734">
            <v>0</v>
          </cell>
          <cell r="X734">
            <v>5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5</v>
          </cell>
          <cell r="AE734">
            <v>0</v>
          </cell>
          <cell r="AF734">
            <v>5</v>
          </cell>
          <cell r="AG734">
            <v>0</v>
          </cell>
          <cell r="AH734">
            <v>0</v>
          </cell>
          <cell r="AI734">
            <v>0</v>
          </cell>
        </row>
        <row r="735">
          <cell r="B735">
            <v>984422001</v>
          </cell>
          <cell r="C735" t="str">
            <v>梱包計画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</row>
        <row r="736">
          <cell r="C736" t="str">
            <v>(調整）</v>
          </cell>
        </row>
        <row r="737"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</row>
        <row r="738"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</row>
        <row r="739"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</row>
        <row r="740">
          <cell r="D740">
            <v>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</row>
        <row r="741">
          <cell r="D741">
            <v>0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</row>
        <row r="742">
          <cell r="C742" t="str">
            <v>手直し等</v>
          </cell>
        </row>
        <row r="743">
          <cell r="C743" t="str">
            <v>出荷実績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</row>
        <row r="744">
          <cell r="C744" t="str">
            <v>停止時間（昼勤）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</row>
        <row r="745">
          <cell r="C745" t="str">
            <v>停止時間（夜勤）</v>
          </cell>
          <cell r="E745">
            <v>0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</row>
        <row r="746">
          <cell r="B746">
            <v>984422001</v>
          </cell>
          <cell r="C746" t="str">
            <v>振替計画・実績</v>
          </cell>
          <cell r="E746">
            <v>0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</row>
        <row r="747">
          <cell r="C747" t="str">
            <v>在庫計画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</row>
        <row r="748">
          <cell r="C748" t="str">
            <v>在庫実績(社内)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</row>
        <row r="749">
          <cell r="C749" t="str">
            <v>在庫実績(物流)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</row>
        <row r="750">
          <cell r="C750" t="str">
            <v>差異</v>
          </cell>
          <cell r="D750">
            <v>0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</row>
        <row r="751">
          <cell r="C751" t="str">
            <v>ﾊﾞﾝﾆﾝｸﾞ計画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</row>
        <row r="752">
          <cell r="C752" t="str">
            <v>ｵｰﾀﾞｰ変更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</row>
        <row r="753">
          <cell r="C753" t="str">
            <v>20日情報
(工場出荷)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</row>
        <row r="754">
          <cell r="B754">
            <v>984422101</v>
          </cell>
          <cell r="C754" t="str">
            <v>梱包計画</v>
          </cell>
          <cell r="D754">
            <v>10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5</v>
          </cell>
          <cell r="AE754">
            <v>5</v>
          </cell>
          <cell r="AF754">
            <v>5</v>
          </cell>
          <cell r="AG754">
            <v>0</v>
          </cell>
          <cell r="AH754">
            <v>0</v>
          </cell>
          <cell r="AI754">
            <v>0</v>
          </cell>
        </row>
        <row r="755">
          <cell r="C755" t="str">
            <v>(調整）</v>
          </cell>
          <cell r="AD755">
            <v>5</v>
          </cell>
          <cell r="AE755">
            <v>5</v>
          </cell>
          <cell r="AF755">
            <v>5</v>
          </cell>
        </row>
        <row r="756"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</row>
        <row r="757"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</row>
        <row r="758"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</row>
        <row r="759"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</row>
        <row r="760">
          <cell r="D760">
            <v>20</v>
          </cell>
          <cell r="E760">
            <v>0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</row>
        <row r="761">
          <cell r="C761" t="str">
            <v>手直し等</v>
          </cell>
        </row>
        <row r="762">
          <cell r="C762" t="str">
            <v>出荷実績</v>
          </cell>
          <cell r="E762">
            <v>0</v>
          </cell>
          <cell r="F762">
            <v>0</v>
          </cell>
          <cell r="G762">
            <v>5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</row>
        <row r="763">
          <cell r="C763" t="str">
            <v>停止時間（昼勤）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</row>
        <row r="764">
          <cell r="C764" t="str">
            <v>停止時間（夜勤）</v>
          </cell>
          <cell r="E764">
            <v>0</v>
          </cell>
          <cell r="F764">
            <v>0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</row>
        <row r="765">
          <cell r="B765">
            <v>984422101</v>
          </cell>
          <cell r="C765" t="str">
            <v>振替計画・実績</v>
          </cell>
          <cell r="E765">
            <v>0</v>
          </cell>
          <cell r="F765">
            <v>0</v>
          </cell>
          <cell r="G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</row>
        <row r="766">
          <cell r="C766" t="str">
            <v>在庫計画</v>
          </cell>
          <cell r="D766">
            <v>45</v>
          </cell>
          <cell r="E766">
            <v>45</v>
          </cell>
          <cell r="F766">
            <v>45</v>
          </cell>
          <cell r="G766">
            <v>50</v>
          </cell>
          <cell r="H766">
            <v>50</v>
          </cell>
          <cell r="I766">
            <v>50</v>
          </cell>
          <cell r="J766">
            <v>40</v>
          </cell>
          <cell r="K766">
            <v>40</v>
          </cell>
          <cell r="L766">
            <v>30</v>
          </cell>
          <cell r="M766">
            <v>30</v>
          </cell>
          <cell r="N766">
            <v>30</v>
          </cell>
          <cell r="O766">
            <v>30</v>
          </cell>
          <cell r="P766">
            <v>30</v>
          </cell>
          <cell r="Q766">
            <v>30</v>
          </cell>
          <cell r="R766">
            <v>30</v>
          </cell>
          <cell r="S766">
            <v>25</v>
          </cell>
          <cell r="T766">
            <v>25</v>
          </cell>
          <cell r="U766">
            <v>25</v>
          </cell>
          <cell r="V766">
            <v>25</v>
          </cell>
          <cell r="W766">
            <v>25</v>
          </cell>
          <cell r="X766">
            <v>25</v>
          </cell>
          <cell r="Y766">
            <v>20</v>
          </cell>
          <cell r="Z766">
            <v>20</v>
          </cell>
          <cell r="AA766">
            <v>20</v>
          </cell>
          <cell r="AB766">
            <v>20</v>
          </cell>
          <cell r="AC766">
            <v>20</v>
          </cell>
          <cell r="AD766">
            <v>22.5</v>
          </cell>
          <cell r="AE766">
            <v>27.5</v>
          </cell>
          <cell r="AF766">
            <v>32.5</v>
          </cell>
          <cell r="AG766">
            <v>27.5</v>
          </cell>
          <cell r="AH766">
            <v>27.5</v>
          </cell>
          <cell r="AI766">
            <v>27.5</v>
          </cell>
        </row>
        <row r="767">
          <cell r="C767" t="str">
            <v>在庫実績(社内)</v>
          </cell>
          <cell r="D767">
            <v>0</v>
          </cell>
          <cell r="E767">
            <v>0</v>
          </cell>
          <cell r="F767">
            <v>0</v>
          </cell>
          <cell r="G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</row>
        <row r="768">
          <cell r="C768" t="str">
            <v>在庫実績(物流)</v>
          </cell>
          <cell r="D768">
            <v>45</v>
          </cell>
          <cell r="E768">
            <v>45</v>
          </cell>
          <cell r="F768">
            <v>45</v>
          </cell>
          <cell r="G768">
            <v>50</v>
          </cell>
          <cell r="H768">
            <v>50</v>
          </cell>
          <cell r="I768">
            <v>50</v>
          </cell>
          <cell r="J768">
            <v>40</v>
          </cell>
          <cell r="K768">
            <v>40</v>
          </cell>
          <cell r="L768">
            <v>30</v>
          </cell>
          <cell r="M768">
            <v>30</v>
          </cell>
          <cell r="N768">
            <v>30</v>
          </cell>
          <cell r="O768">
            <v>30</v>
          </cell>
          <cell r="P768">
            <v>30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</row>
        <row r="769">
          <cell r="C769" t="str">
            <v>差異</v>
          </cell>
          <cell r="D769">
            <v>0</v>
          </cell>
          <cell r="E769">
            <v>0</v>
          </cell>
          <cell r="F769">
            <v>0</v>
          </cell>
          <cell r="G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-30</v>
          </cell>
          <cell r="R769">
            <v>-30</v>
          </cell>
          <cell r="S769">
            <v>-25</v>
          </cell>
          <cell r="T769">
            <v>-25</v>
          </cell>
          <cell r="U769">
            <v>-25</v>
          </cell>
          <cell r="V769">
            <v>-25</v>
          </cell>
          <cell r="W769">
            <v>-25</v>
          </cell>
          <cell r="X769">
            <v>-25</v>
          </cell>
          <cell r="Y769">
            <v>-20</v>
          </cell>
          <cell r="Z769">
            <v>-20</v>
          </cell>
          <cell r="AA769">
            <v>-20</v>
          </cell>
          <cell r="AB769">
            <v>-20</v>
          </cell>
          <cell r="AC769">
            <v>-20</v>
          </cell>
          <cell r="AD769">
            <v>-22.5</v>
          </cell>
          <cell r="AE769">
            <v>-27.5</v>
          </cell>
          <cell r="AF769">
            <v>-32.5</v>
          </cell>
          <cell r="AG769">
            <v>-27.5</v>
          </cell>
          <cell r="AH769">
            <v>-27.5</v>
          </cell>
          <cell r="AI769">
            <v>-27.5</v>
          </cell>
        </row>
        <row r="770">
          <cell r="C770" t="str">
            <v>ﾊﾞﾝﾆﾝｸﾞ計画</v>
          </cell>
          <cell r="E770">
            <v>0</v>
          </cell>
          <cell r="F770">
            <v>0</v>
          </cell>
          <cell r="G770">
            <v>0</v>
          </cell>
          <cell r="H770">
            <v>0</v>
          </cell>
          <cell r="I770">
            <v>0</v>
          </cell>
          <cell r="J770">
            <v>10</v>
          </cell>
          <cell r="K770">
            <v>0</v>
          </cell>
          <cell r="L770">
            <v>10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5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5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5</v>
          </cell>
          <cell r="AH770">
            <v>0</v>
          </cell>
          <cell r="AI770">
            <v>0</v>
          </cell>
        </row>
        <row r="771">
          <cell r="C771" t="str">
            <v>ｵｰﾀﾞｰ変更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I771">
            <v>10</v>
          </cell>
          <cell r="K771">
            <v>10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5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5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5</v>
          </cell>
          <cell r="AG771">
            <v>0</v>
          </cell>
          <cell r="AH771">
            <v>0</v>
          </cell>
          <cell r="AI771">
            <v>0</v>
          </cell>
        </row>
        <row r="772">
          <cell r="C772" t="str">
            <v>20日情報
(工場出荷)</v>
          </cell>
          <cell r="E772">
            <v>0</v>
          </cell>
          <cell r="F772">
            <v>0</v>
          </cell>
          <cell r="G772">
            <v>0</v>
          </cell>
          <cell r="H772">
            <v>10</v>
          </cell>
          <cell r="I772">
            <v>0</v>
          </cell>
          <cell r="J772">
            <v>10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5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5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5</v>
          </cell>
          <cell r="AG772">
            <v>0</v>
          </cell>
          <cell r="AH772">
            <v>0</v>
          </cell>
          <cell r="AI772">
            <v>0</v>
          </cell>
        </row>
        <row r="773">
          <cell r="B773">
            <v>984422201</v>
          </cell>
          <cell r="C773" t="str">
            <v>梱包計画</v>
          </cell>
          <cell r="D773">
            <v>0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</row>
        <row r="774">
          <cell r="C774" t="str">
            <v>(調整）</v>
          </cell>
        </row>
        <row r="775"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</row>
        <row r="776"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</row>
        <row r="777"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</row>
        <row r="778"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</row>
        <row r="779"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</row>
        <row r="780">
          <cell r="C780" t="str">
            <v>手直し等</v>
          </cell>
        </row>
        <row r="781">
          <cell r="C781" t="str">
            <v>出荷実績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</row>
        <row r="782">
          <cell r="C782" t="str">
            <v>停止時間（昼勤）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</row>
        <row r="783">
          <cell r="C783" t="str">
            <v>停止時間（夜勤）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</row>
        <row r="784">
          <cell r="B784">
            <v>984422201</v>
          </cell>
          <cell r="C784" t="str">
            <v>振替計画・実績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</row>
        <row r="785">
          <cell r="C785" t="str">
            <v>在庫計画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</row>
        <row r="786">
          <cell r="C786" t="str">
            <v>在庫実績(社内)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</row>
        <row r="787">
          <cell r="C787" t="str">
            <v>在庫実績(物流)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</row>
        <row r="788">
          <cell r="C788" t="str">
            <v>差異</v>
          </cell>
          <cell r="D788">
            <v>0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</row>
        <row r="789">
          <cell r="C789" t="str">
            <v>ﾊﾞﾝﾆﾝｸﾞ計画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</row>
        <row r="790">
          <cell r="C790" t="str">
            <v>ｵｰﾀﾞｰ変更</v>
          </cell>
          <cell r="D790">
            <v>0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</row>
        <row r="791">
          <cell r="C791" t="str">
            <v>20日情報
(工場出荷)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</row>
        <row r="792">
          <cell r="B792">
            <v>984422701</v>
          </cell>
          <cell r="C792" t="str">
            <v>梱包計画</v>
          </cell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</row>
        <row r="793">
          <cell r="C793" t="str">
            <v>(調整）</v>
          </cell>
        </row>
        <row r="794">
          <cell r="D794">
            <v>0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</row>
        <row r="795">
          <cell r="D795">
            <v>0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</row>
        <row r="796"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</row>
        <row r="797">
          <cell r="D797">
            <v>0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</row>
        <row r="798">
          <cell r="D798">
            <v>0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</row>
        <row r="799">
          <cell r="C799" t="str">
            <v>手直し等</v>
          </cell>
        </row>
        <row r="800">
          <cell r="C800" t="str">
            <v>出荷実績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</row>
        <row r="801">
          <cell r="C801" t="str">
            <v>停止時間（昼勤）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</row>
        <row r="802">
          <cell r="C802" t="str">
            <v>停止時間（夜勤）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</row>
        <row r="803">
          <cell r="B803">
            <v>984422701</v>
          </cell>
          <cell r="C803" t="str">
            <v>振替計画・実績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</row>
        <row r="804">
          <cell r="C804" t="str">
            <v>在庫計画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</row>
        <row r="805">
          <cell r="C805" t="str">
            <v>在庫実績(社内)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</row>
        <row r="806">
          <cell r="C806" t="str">
            <v>在庫実績(物流)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</row>
        <row r="807">
          <cell r="C807" t="str">
            <v>差異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</row>
        <row r="808">
          <cell r="C808" t="str">
            <v>ﾊﾞﾝﾆﾝｸﾞ計画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</row>
        <row r="809">
          <cell r="C809" t="str">
            <v>ｵｰﾀﾞｰ変更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</row>
        <row r="810">
          <cell r="C810" t="str">
            <v>20日情報
(工場出荷)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</row>
        <row r="811">
          <cell r="B811">
            <v>984423101</v>
          </cell>
          <cell r="C811" t="str">
            <v>梱包計画</v>
          </cell>
          <cell r="D811">
            <v>5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5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</row>
        <row r="812">
          <cell r="C812" t="str">
            <v>(調整）</v>
          </cell>
          <cell r="AB812">
            <v>5</v>
          </cell>
        </row>
        <row r="813"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</row>
        <row r="814"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</row>
        <row r="815"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</row>
        <row r="816">
          <cell r="D816">
            <v>0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</row>
        <row r="817">
          <cell r="D817">
            <v>5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5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</row>
        <row r="818">
          <cell r="C818" t="str">
            <v>手直し等</v>
          </cell>
        </row>
        <row r="819">
          <cell r="C819" t="str">
            <v>出荷実績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</row>
        <row r="820">
          <cell r="C820" t="str">
            <v>停止時間（昼勤）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</row>
        <row r="821">
          <cell r="C821" t="str">
            <v>停止時間（夜勤）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</row>
        <row r="822">
          <cell r="B822">
            <v>984423101</v>
          </cell>
          <cell r="C822" t="str">
            <v>振替計画・実績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</row>
        <row r="823">
          <cell r="C823" t="str">
            <v>在庫計画</v>
          </cell>
          <cell r="D823">
            <v>0</v>
          </cell>
          <cell r="E823">
            <v>0</v>
          </cell>
          <cell r="F823">
            <v>0</v>
          </cell>
          <cell r="G823">
            <v>2.5</v>
          </cell>
          <cell r="H823">
            <v>2.5</v>
          </cell>
          <cell r="I823">
            <v>2.5</v>
          </cell>
          <cell r="J823">
            <v>2.5</v>
          </cell>
          <cell r="K823">
            <v>2.5</v>
          </cell>
          <cell r="L823">
            <v>2.5</v>
          </cell>
          <cell r="M823">
            <v>2.5</v>
          </cell>
          <cell r="N823">
            <v>2.5</v>
          </cell>
          <cell r="O823">
            <v>2.5</v>
          </cell>
          <cell r="P823">
            <v>2.5</v>
          </cell>
          <cell r="Q823">
            <v>2.5</v>
          </cell>
          <cell r="R823">
            <v>2.5</v>
          </cell>
          <cell r="S823">
            <v>2.5</v>
          </cell>
          <cell r="T823">
            <v>2.5</v>
          </cell>
          <cell r="U823">
            <v>2.5</v>
          </cell>
          <cell r="V823">
            <v>2.5</v>
          </cell>
          <cell r="W823">
            <v>2.5</v>
          </cell>
          <cell r="X823">
            <v>2.5</v>
          </cell>
          <cell r="Y823">
            <v>2.5</v>
          </cell>
          <cell r="Z823">
            <v>2.5</v>
          </cell>
          <cell r="AA823">
            <v>2.5</v>
          </cell>
          <cell r="AB823">
            <v>5</v>
          </cell>
          <cell r="AC823">
            <v>7.5</v>
          </cell>
          <cell r="AD823">
            <v>7.5</v>
          </cell>
          <cell r="AE823">
            <v>7.5</v>
          </cell>
          <cell r="AF823">
            <v>7.5</v>
          </cell>
          <cell r="AG823">
            <v>7.5</v>
          </cell>
          <cell r="AH823">
            <v>7.5</v>
          </cell>
          <cell r="AI823">
            <v>7.5</v>
          </cell>
        </row>
        <row r="824">
          <cell r="C824" t="str">
            <v>在庫実績(社内)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</row>
        <row r="825">
          <cell r="C825" t="str">
            <v>在庫実績(物流)</v>
          </cell>
          <cell r="D825">
            <v>0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</row>
        <row r="826">
          <cell r="C826" t="str">
            <v>差異</v>
          </cell>
          <cell r="D826">
            <v>0</v>
          </cell>
          <cell r="E826">
            <v>0</v>
          </cell>
          <cell r="F826">
            <v>0</v>
          </cell>
          <cell r="G826">
            <v>-2.5</v>
          </cell>
          <cell r="H826">
            <v>-2.5</v>
          </cell>
          <cell r="I826">
            <v>-2.5</v>
          </cell>
          <cell r="J826">
            <v>-2.5</v>
          </cell>
          <cell r="K826">
            <v>-2.5</v>
          </cell>
          <cell r="L826">
            <v>-2.5</v>
          </cell>
          <cell r="M826">
            <v>-2.5</v>
          </cell>
          <cell r="N826">
            <v>-2.5</v>
          </cell>
          <cell r="O826">
            <v>-2.5</v>
          </cell>
          <cell r="P826">
            <v>-2.5</v>
          </cell>
          <cell r="Q826">
            <v>-2.5</v>
          </cell>
          <cell r="R826">
            <v>-2.5</v>
          </cell>
          <cell r="S826">
            <v>-2.5</v>
          </cell>
          <cell r="T826">
            <v>-2.5</v>
          </cell>
          <cell r="U826">
            <v>-2.5</v>
          </cell>
          <cell r="V826">
            <v>-2.5</v>
          </cell>
          <cell r="W826">
            <v>-2.5</v>
          </cell>
          <cell r="X826">
            <v>-2.5</v>
          </cell>
          <cell r="Y826">
            <v>-2.5</v>
          </cell>
          <cell r="Z826">
            <v>-2.5</v>
          </cell>
          <cell r="AA826">
            <v>-2.5</v>
          </cell>
          <cell r="AB826">
            <v>-5</v>
          </cell>
          <cell r="AC826">
            <v>-7.5</v>
          </cell>
          <cell r="AD826">
            <v>-7.5</v>
          </cell>
          <cell r="AE826">
            <v>-7.5</v>
          </cell>
          <cell r="AF826">
            <v>-7.5</v>
          </cell>
          <cell r="AG826">
            <v>-7.5</v>
          </cell>
          <cell r="AH826">
            <v>-7.5</v>
          </cell>
          <cell r="AI826">
            <v>-7.5</v>
          </cell>
        </row>
        <row r="827">
          <cell r="C827" t="str">
            <v>ﾊﾞﾝﾆﾝｸﾞ計画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</row>
        <row r="828">
          <cell r="C828" t="str">
            <v>ｵｰﾀﾞｰ変更</v>
          </cell>
          <cell r="D828">
            <v>0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</row>
        <row r="829">
          <cell r="C829" t="str">
            <v>20日情報
(工場出荷)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</row>
        <row r="830">
          <cell r="B830">
            <v>984423201</v>
          </cell>
          <cell r="C830" t="str">
            <v>梱包計画</v>
          </cell>
          <cell r="D830">
            <v>10</v>
          </cell>
          <cell r="E830">
            <v>0</v>
          </cell>
          <cell r="F830">
            <v>0</v>
          </cell>
          <cell r="G830">
            <v>5</v>
          </cell>
          <cell r="H830">
            <v>5</v>
          </cell>
          <cell r="I830">
            <v>5</v>
          </cell>
          <cell r="J830">
            <v>5</v>
          </cell>
          <cell r="K830">
            <v>5</v>
          </cell>
          <cell r="L830">
            <v>0</v>
          </cell>
          <cell r="M830">
            <v>0</v>
          </cell>
          <cell r="N830">
            <v>5</v>
          </cell>
          <cell r="O830">
            <v>5</v>
          </cell>
          <cell r="P830">
            <v>5</v>
          </cell>
          <cell r="Q830">
            <v>5</v>
          </cell>
          <cell r="R830">
            <v>5</v>
          </cell>
          <cell r="S830">
            <v>0</v>
          </cell>
          <cell r="T830">
            <v>0</v>
          </cell>
          <cell r="U830">
            <v>5</v>
          </cell>
          <cell r="V830">
            <v>5</v>
          </cell>
          <cell r="W830">
            <v>5</v>
          </cell>
          <cell r="X830">
            <v>5</v>
          </cell>
          <cell r="Y830">
            <v>5</v>
          </cell>
          <cell r="Z830">
            <v>0</v>
          </cell>
          <cell r="AA830">
            <v>0</v>
          </cell>
          <cell r="AB830">
            <v>5</v>
          </cell>
          <cell r="AC830">
            <v>5</v>
          </cell>
          <cell r="AD830">
            <v>5</v>
          </cell>
          <cell r="AE830">
            <v>5</v>
          </cell>
          <cell r="AF830">
            <v>5</v>
          </cell>
          <cell r="AG830">
            <v>0</v>
          </cell>
          <cell r="AH830">
            <v>0</v>
          </cell>
          <cell r="AI830">
            <v>0</v>
          </cell>
        </row>
        <row r="831">
          <cell r="C831" t="str">
            <v>(調整）</v>
          </cell>
        </row>
        <row r="832"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</row>
        <row r="833">
          <cell r="D833">
            <v>0</v>
          </cell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</row>
        <row r="834"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</row>
        <row r="835"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</row>
        <row r="836">
          <cell r="D836">
            <v>15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</row>
        <row r="837">
          <cell r="C837" t="str">
            <v>手直し等</v>
          </cell>
        </row>
        <row r="838">
          <cell r="C838" t="str">
            <v>出荷実績</v>
          </cell>
          <cell r="E838">
            <v>0</v>
          </cell>
          <cell r="F838">
            <v>0</v>
          </cell>
          <cell r="G838">
            <v>10</v>
          </cell>
          <cell r="H838">
            <v>5</v>
          </cell>
          <cell r="I838">
            <v>5</v>
          </cell>
          <cell r="J838">
            <v>5</v>
          </cell>
          <cell r="K838">
            <v>5</v>
          </cell>
          <cell r="L838">
            <v>0</v>
          </cell>
          <cell r="M838">
            <v>0</v>
          </cell>
          <cell r="N838">
            <v>5</v>
          </cell>
          <cell r="O838">
            <v>5</v>
          </cell>
          <cell r="P838">
            <v>5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</row>
        <row r="839">
          <cell r="C839" t="str">
            <v>停止時間（昼勤）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</row>
        <row r="840">
          <cell r="C840" t="str">
            <v>停止時間（夜勤）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</row>
        <row r="841">
          <cell r="B841">
            <v>984423201</v>
          </cell>
          <cell r="C841" t="str">
            <v>振替計画・実績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</row>
        <row r="842">
          <cell r="C842" t="str">
            <v>在庫計画</v>
          </cell>
          <cell r="D842">
            <v>45</v>
          </cell>
          <cell r="E842">
            <v>45</v>
          </cell>
          <cell r="F842">
            <v>45</v>
          </cell>
          <cell r="G842">
            <v>52.5</v>
          </cell>
          <cell r="H842">
            <v>57.5</v>
          </cell>
          <cell r="I842">
            <v>62.5</v>
          </cell>
          <cell r="J842">
            <v>57.5</v>
          </cell>
          <cell r="K842">
            <v>52.5</v>
          </cell>
          <cell r="L842">
            <v>52.5</v>
          </cell>
          <cell r="M842">
            <v>52.5</v>
          </cell>
          <cell r="N842">
            <v>57.5</v>
          </cell>
          <cell r="O842">
            <v>62.5</v>
          </cell>
          <cell r="P842">
            <v>67.5</v>
          </cell>
          <cell r="Q842">
            <v>62.5</v>
          </cell>
          <cell r="R842">
            <v>67.5</v>
          </cell>
          <cell r="S842">
            <v>57.5</v>
          </cell>
          <cell r="T842">
            <v>57.5</v>
          </cell>
          <cell r="U842">
            <v>62.5</v>
          </cell>
          <cell r="V842">
            <v>67.5</v>
          </cell>
          <cell r="W842">
            <v>62.5</v>
          </cell>
          <cell r="X842">
            <v>67.5</v>
          </cell>
          <cell r="Y842">
            <v>62.5</v>
          </cell>
          <cell r="Z842">
            <v>62.5</v>
          </cell>
          <cell r="AA842">
            <v>62.5</v>
          </cell>
          <cell r="AB842">
            <v>67.5</v>
          </cell>
          <cell r="AC842">
            <v>72.5</v>
          </cell>
          <cell r="AD842">
            <v>77.5</v>
          </cell>
          <cell r="AE842">
            <v>72.5</v>
          </cell>
          <cell r="AF842">
            <v>77.5</v>
          </cell>
          <cell r="AG842">
            <v>67.5</v>
          </cell>
          <cell r="AH842">
            <v>67.5</v>
          </cell>
          <cell r="AI842">
            <v>67.5</v>
          </cell>
        </row>
        <row r="843">
          <cell r="C843" t="str">
            <v>在庫実績(社内)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</row>
        <row r="844">
          <cell r="C844" t="str">
            <v>在庫実績(物流)</v>
          </cell>
          <cell r="D844">
            <v>45</v>
          </cell>
          <cell r="E844">
            <v>45</v>
          </cell>
          <cell r="F844">
            <v>45</v>
          </cell>
          <cell r="G844">
            <v>55</v>
          </cell>
          <cell r="H844">
            <v>60</v>
          </cell>
          <cell r="I844">
            <v>65</v>
          </cell>
          <cell r="J844">
            <v>60</v>
          </cell>
          <cell r="K844">
            <v>55</v>
          </cell>
          <cell r="L844">
            <v>55</v>
          </cell>
          <cell r="M844">
            <v>55</v>
          </cell>
          <cell r="N844">
            <v>60</v>
          </cell>
          <cell r="O844">
            <v>65</v>
          </cell>
          <cell r="P844">
            <v>70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</row>
        <row r="845">
          <cell r="C845" t="str">
            <v>差異</v>
          </cell>
          <cell r="D845">
            <v>0</v>
          </cell>
          <cell r="E845">
            <v>0</v>
          </cell>
          <cell r="F845">
            <v>0</v>
          </cell>
          <cell r="G845">
            <v>2.5</v>
          </cell>
          <cell r="H845">
            <v>2.5</v>
          </cell>
          <cell r="I845">
            <v>2.5</v>
          </cell>
          <cell r="J845">
            <v>2.5</v>
          </cell>
          <cell r="K845">
            <v>2.5</v>
          </cell>
          <cell r="L845">
            <v>2.5</v>
          </cell>
          <cell r="M845">
            <v>2.5</v>
          </cell>
          <cell r="N845">
            <v>2.5</v>
          </cell>
          <cell r="O845">
            <v>2.5</v>
          </cell>
          <cell r="P845">
            <v>2.5</v>
          </cell>
          <cell r="Q845">
            <v>-62.5</v>
          </cell>
          <cell r="R845">
            <v>-67.5</v>
          </cell>
          <cell r="S845">
            <v>-57.5</v>
          </cell>
          <cell r="T845">
            <v>-57.5</v>
          </cell>
          <cell r="U845">
            <v>-62.5</v>
          </cell>
          <cell r="V845">
            <v>-67.5</v>
          </cell>
          <cell r="W845">
            <v>-62.5</v>
          </cell>
          <cell r="X845">
            <v>-67.5</v>
          </cell>
          <cell r="Y845">
            <v>-62.5</v>
          </cell>
          <cell r="Z845">
            <v>-62.5</v>
          </cell>
          <cell r="AA845">
            <v>-62.5</v>
          </cell>
          <cell r="AB845">
            <v>-67.5</v>
          </cell>
          <cell r="AC845">
            <v>-72.5</v>
          </cell>
          <cell r="AD845">
            <v>-77.5</v>
          </cell>
          <cell r="AE845">
            <v>-72.5</v>
          </cell>
          <cell r="AF845">
            <v>-77.5</v>
          </cell>
          <cell r="AG845">
            <v>-67.5</v>
          </cell>
          <cell r="AH845">
            <v>-67.5</v>
          </cell>
          <cell r="AI845">
            <v>-67.5</v>
          </cell>
        </row>
        <row r="846">
          <cell r="C846" t="str">
            <v>ﾊﾞﾝﾆﾝｸﾞ計画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10</v>
          </cell>
          <cell r="K846">
            <v>10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10</v>
          </cell>
          <cell r="R846">
            <v>0</v>
          </cell>
          <cell r="S846">
            <v>10</v>
          </cell>
          <cell r="T846">
            <v>0</v>
          </cell>
          <cell r="U846">
            <v>0</v>
          </cell>
          <cell r="V846">
            <v>0</v>
          </cell>
          <cell r="W846">
            <v>10</v>
          </cell>
          <cell r="X846">
            <v>0</v>
          </cell>
          <cell r="Y846">
            <v>10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10</v>
          </cell>
          <cell r="AF846">
            <v>0</v>
          </cell>
          <cell r="AG846">
            <v>10</v>
          </cell>
          <cell r="AH846">
            <v>0</v>
          </cell>
          <cell r="AI846">
            <v>0</v>
          </cell>
        </row>
        <row r="847">
          <cell r="C847" t="str">
            <v>ｵｰﾀﾞｰ変更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I847">
            <v>10</v>
          </cell>
          <cell r="J847">
            <v>10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10</v>
          </cell>
          <cell r="Q847">
            <v>0</v>
          </cell>
          <cell r="R847">
            <v>10</v>
          </cell>
          <cell r="S847">
            <v>0</v>
          </cell>
          <cell r="T847">
            <v>0</v>
          </cell>
          <cell r="U847">
            <v>0</v>
          </cell>
          <cell r="V847">
            <v>10</v>
          </cell>
          <cell r="W847">
            <v>0</v>
          </cell>
          <cell r="X847">
            <v>10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10</v>
          </cell>
          <cell r="AE847">
            <v>0</v>
          </cell>
          <cell r="AF847">
            <v>10</v>
          </cell>
          <cell r="AG847">
            <v>0</v>
          </cell>
          <cell r="AH847">
            <v>0</v>
          </cell>
          <cell r="AI847">
            <v>0</v>
          </cell>
        </row>
        <row r="848">
          <cell r="C848" t="str">
            <v>20日情報
(工場出荷)</v>
          </cell>
          <cell r="E848">
            <v>0</v>
          </cell>
          <cell r="F848">
            <v>0</v>
          </cell>
          <cell r="G848">
            <v>0</v>
          </cell>
          <cell r="H848">
            <v>10</v>
          </cell>
          <cell r="I848">
            <v>0</v>
          </cell>
          <cell r="J848">
            <v>10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10</v>
          </cell>
          <cell r="Q848">
            <v>0</v>
          </cell>
          <cell r="R848">
            <v>10</v>
          </cell>
          <cell r="S848">
            <v>0</v>
          </cell>
          <cell r="T848">
            <v>0</v>
          </cell>
          <cell r="U848">
            <v>0</v>
          </cell>
          <cell r="V848">
            <v>10</v>
          </cell>
          <cell r="W848">
            <v>0</v>
          </cell>
          <cell r="X848">
            <v>10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10</v>
          </cell>
          <cell r="AE848">
            <v>0</v>
          </cell>
          <cell r="AF848">
            <v>10</v>
          </cell>
          <cell r="AG848">
            <v>0</v>
          </cell>
          <cell r="AH848">
            <v>0</v>
          </cell>
          <cell r="AI848">
            <v>0</v>
          </cell>
        </row>
        <row r="849">
          <cell r="B849">
            <v>984423301</v>
          </cell>
          <cell r="C849" t="str">
            <v>梱包計画</v>
          </cell>
          <cell r="D849">
            <v>15</v>
          </cell>
          <cell r="E849">
            <v>0</v>
          </cell>
          <cell r="F849">
            <v>0</v>
          </cell>
          <cell r="G849">
            <v>20</v>
          </cell>
          <cell r="H849">
            <v>20</v>
          </cell>
          <cell r="I849">
            <v>20</v>
          </cell>
          <cell r="J849">
            <v>20</v>
          </cell>
          <cell r="K849">
            <v>20</v>
          </cell>
          <cell r="L849">
            <v>0</v>
          </cell>
          <cell r="M849">
            <v>0</v>
          </cell>
          <cell r="N849">
            <v>20</v>
          </cell>
          <cell r="O849">
            <v>20</v>
          </cell>
          <cell r="P849">
            <v>20</v>
          </cell>
          <cell r="Q849">
            <v>20</v>
          </cell>
          <cell r="R849">
            <v>20</v>
          </cell>
          <cell r="S849">
            <v>0</v>
          </cell>
          <cell r="T849">
            <v>0</v>
          </cell>
          <cell r="U849">
            <v>20</v>
          </cell>
          <cell r="V849">
            <v>20</v>
          </cell>
          <cell r="W849">
            <v>20</v>
          </cell>
          <cell r="X849">
            <v>20</v>
          </cell>
          <cell r="Y849">
            <v>20</v>
          </cell>
          <cell r="Z849">
            <v>0</v>
          </cell>
          <cell r="AA849">
            <v>0</v>
          </cell>
          <cell r="AB849">
            <v>20</v>
          </cell>
          <cell r="AC849">
            <v>20</v>
          </cell>
          <cell r="AD849">
            <v>20</v>
          </cell>
          <cell r="AE849">
            <v>20</v>
          </cell>
          <cell r="AF849">
            <v>20</v>
          </cell>
          <cell r="AG849">
            <v>0</v>
          </cell>
          <cell r="AH849">
            <v>0</v>
          </cell>
          <cell r="AI849">
            <v>0</v>
          </cell>
        </row>
        <row r="850">
          <cell r="C850" t="str">
            <v>(調整）</v>
          </cell>
        </row>
        <row r="851"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</row>
        <row r="852">
          <cell r="D852">
            <v>55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</row>
        <row r="853"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</row>
        <row r="854">
          <cell r="D854">
            <v>0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</row>
        <row r="855">
          <cell r="D855">
            <v>35</v>
          </cell>
          <cell r="E855">
            <v>0</v>
          </cell>
          <cell r="F855">
            <v>0</v>
          </cell>
          <cell r="G855">
            <v>20</v>
          </cell>
          <cell r="H855">
            <v>15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</row>
        <row r="856">
          <cell r="C856" t="str">
            <v>手直し等</v>
          </cell>
        </row>
        <row r="857">
          <cell r="C857" t="str">
            <v>出荷実績</v>
          </cell>
          <cell r="E857">
            <v>0</v>
          </cell>
          <cell r="F857">
            <v>0</v>
          </cell>
          <cell r="G857">
            <v>20</v>
          </cell>
          <cell r="H857">
            <v>15</v>
          </cell>
          <cell r="I857">
            <v>20</v>
          </cell>
          <cell r="J857">
            <v>20</v>
          </cell>
          <cell r="K857">
            <v>20</v>
          </cell>
          <cell r="L857">
            <v>0</v>
          </cell>
          <cell r="M857">
            <v>0</v>
          </cell>
          <cell r="N857">
            <v>20</v>
          </cell>
          <cell r="O857">
            <v>20</v>
          </cell>
          <cell r="P857">
            <v>20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</row>
        <row r="858">
          <cell r="C858" t="str">
            <v>停止時間（昼勤）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</row>
        <row r="859">
          <cell r="C859" t="str">
            <v>停止時間（夜勤）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</row>
        <row r="860">
          <cell r="B860">
            <v>984423301</v>
          </cell>
          <cell r="C860" t="str">
            <v>振替計画・実績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</row>
        <row r="861">
          <cell r="C861" t="str">
            <v>在庫計画</v>
          </cell>
          <cell r="D861">
            <v>55</v>
          </cell>
          <cell r="E861">
            <v>55</v>
          </cell>
          <cell r="F861">
            <v>55</v>
          </cell>
          <cell r="G861">
            <v>72.5</v>
          </cell>
          <cell r="H861">
            <v>92.5</v>
          </cell>
          <cell r="I861">
            <v>112.5</v>
          </cell>
          <cell r="J861">
            <v>92.5</v>
          </cell>
          <cell r="K861">
            <v>72.5</v>
          </cell>
          <cell r="L861">
            <v>72.5</v>
          </cell>
          <cell r="M861">
            <v>72.5</v>
          </cell>
          <cell r="N861">
            <v>92.5</v>
          </cell>
          <cell r="O861">
            <v>112.5</v>
          </cell>
          <cell r="P861">
            <v>132.5</v>
          </cell>
          <cell r="Q861">
            <v>147.5</v>
          </cell>
          <cell r="R861">
            <v>117.5</v>
          </cell>
          <cell r="S861">
            <v>117.5</v>
          </cell>
          <cell r="T861">
            <v>117.5</v>
          </cell>
          <cell r="U861">
            <v>137.5</v>
          </cell>
          <cell r="V861">
            <v>102.5</v>
          </cell>
          <cell r="W861">
            <v>67.5</v>
          </cell>
          <cell r="X861">
            <v>87.5</v>
          </cell>
          <cell r="Y861">
            <v>52.5</v>
          </cell>
          <cell r="Z861">
            <v>52.5</v>
          </cell>
          <cell r="AA861">
            <v>52.5</v>
          </cell>
          <cell r="AB861">
            <v>72.5</v>
          </cell>
          <cell r="AC861">
            <v>92.5</v>
          </cell>
          <cell r="AD861">
            <v>112.5</v>
          </cell>
          <cell r="AE861">
            <v>82.5</v>
          </cell>
          <cell r="AF861">
            <v>102.5</v>
          </cell>
          <cell r="AG861">
            <v>52.5</v>
          </cell>
          <cell r="AH861">
            <v>52.5</v>
          </cell>
          <cell r="AI861">
            <v>52.5</v>
          </cell>
        </row>
        <row r="862">
          <cell r="C862" t="str">
            <v>在庫実績(社内)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5</v>
          </cell>
          <cell r="I862">
            <v>9</v>
          </cell>
          <cell r="J862">
            <v>4</v>
          </cell>
          <cell r="K862">
            <v>8</v>
          </cell>
          <cell r="L862">
            <v>8</v>
          </cell>
          <cell r="M862">
            <v>8</v>
          </cell>
          <cell r="N862">
            <v>3</v>
          </cell>
          <cell r="O862">
            <v>3</v>
          </cell>
          <cell r="P862">
            <v>3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</row>
        <row r="863">
          <cell r="C863" t="str">
            <v>在庫実績(物流)</v>
          </cell>
          <cell r="D863">
            <v>55</v>
          </cell>
          <cell r="E863">
            <v>55</v>
          </cell>
          <cell r="F863">
            <v>55</v>
          </cell>
          <cell r="G863">
            <v>75</v>
          </cell>
          <cell r="H863">
            <v>90</v>
          </cell>
          <cell r="I863">
            <v>110</v>
          </cell>
          <cell r="J863">
            <v>90</v>
          </cell>
          <cell r="K863">
            <v>70</v>
          </cell>
          <cell r="L863">
            <v>70</v>
          </cell>
          <cell r="M863">
            <v>70</v>
          </cell>
          <cell r="N863">
            <v>90</v>
          </cell>
          <cell r="O863">
            <v>110</v>
          </cell>
          <cell r="P863">
            <v>130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</row>
        <row r="864">
          <cell r="C864" t="str">
            <v>差異</v>
          </cell>
          <cell r="D864">
            <v>0</v>
          </cell>
          <cell r="E864">
            <v>0</v>
          </cell>
          <cell r="F864">
            <v>0</v>
          </cell>
          <cell r="G864">
            <v>2.5</v>
          </cell>
          <cell r="H864">
            <v>2.5</v>
          </cell>
          <cell r="I864">
            <v>6.5</v>
          </cell>
          <cell r="J864">
            <v>1.5</v>
          </cell>
          <cell r="K864">
            <v>5.5</v>
          </cell>
          <cell r="L864">
            <v>5.5</v>
          </cell>
          <cell r="M864">
            <v>5.5</v>
          </cell>
          <cell r="N864">
            <v>0.5</v>
          </cell>
          <cell r="O864">
            <v>0.5</v>
          </cell>
          <cell r="P864">
            <v>0.5</v>
          </cell>
          <cell r="Q864">
            <v>-147.5</v>
          </cell>
          <cell r="R864">
            <v>-117.5</v>
          </cell>
          <cell r="S864">
            <v>-117.5</v>
          </cell>
          <cell r="T864">
            <v>-117.5</v>
          </cell>
          <cell r="U864">
            <v>-137.5</v>
          </cell>
          <cell r="V864">
            <v>-102.5</v>
          </cell>
          <cell r="W864">
            <v>-67.5</v>
          </cell>
          <cell r="X864">
            <v>-87.5</v>
          </cell>
          <cell r="Y864">
            <v>-52.5</v>
          </cell>
          <cell r="Z864">
            <v>-52.5</v>
          </cell>
          <cell r="AA864">
            <v>-52.5</v>
          </cell>
          <cell r="AB864">
            <v>-72.5</v>
          </cell>
          <cell r="AC864">
            <v>-92.5</v>
          </cell>
          <cell r="AD864">
            <v>-112.5</v>
          </cell>
          <cell r="AE864">
            <v>-82.5</v>
          </cell>
          <cell r="AF864">
            <v>-102.5</v>
          </cell>
          <cell r="AG864">
            <v>-52.5</v>
          </cell>
          <cell r="AH864">
            <v>-52.5</v>
          </cell>
          <cell r="AI864">
            <v>-52.5</v>
          </cell>
        </row>
        <row r="865">
          <cell r="C865" t="str">
            <v>ﾊﾞﾝﾆﾝｸﾞ計画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40</v>
          </cell>
          <cell r="K865">
            <v>40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5</v>
          </cell>
          <cell r="R865">
            <v>50</v>
          </cell>
          <cell r="S865">
            <v>0</v>
          </cell>
          <cell r="T865">
            <v>0</v>
          </cell>
          <cell r="U865">
            <v>0</v>
          </cell>
          <cell r="V865">
            <v>55</v>
          </cell>
          <cell r="W865">
            <v>55</v>
          </cell>
          <cell r="X865">
            <v>0</v>
          </cell>
          <cell r="Y865">
            <v>55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50</v>
          </cell>
          <cell r="AF865">
            <v>0</v>
          </cell>
          <cell r="AG865">
            <v>50</v>
          </cell>
          <cell r="AH865">
            <v>0</v>
          </cell>
          <cell r="AI865">
            <v>0</v>
          </cell>
        </row>
        <row r="866">
          <cell r="C866" t="str">
            <v>ｵｰﾀﾞｰ変更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I866">
            <v>40</v>
          </cell>
          <cell r="J866">
            <v>40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5</v>
          </cell>
          <cell r="Q866">
            <v>50</v>
          </cell>
          <cell r="S866">
            <v>0</v>
          </cell>
          <cell r="T866">
            <v>0</v>
          </cell>
          <cell r="U866">
            <v>55</v>
          </cell>
          <cell r="V866">
            <v>55</v>
          </cell>
          <cell r="W866">
            <v>0</v>
          </cell>
          <cell r="X866">
            <v>55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50</v>
          </cell>
          <cell r="AE866">
            <v>0</v>
          </cell>
          <cell r="AF866">
            <v>50</v>
          </cell>
          <cell r="AG866">
            <v>0</v>
          </cell>
          <cell r="AH866">
            <v>0</v>
          </cell>
          <cell r="AI866">
            <v>0</v>
          </cell>
        </row>
        <row r="867">
          <cell r="C867" t="str">
            <v>20日情報
(工場出荷)</v>
          </cell>
          <cell r="E867">
            <v>0</v>
          </cell>
          <cell r="F867">
            <v>0</v>
          </cell>
          <cell r="G867">
            <v>0</v>
          </cell>
          <cell r="H867">
            <v>40</v>
          </cell>
          <cell r="I867">
            <v>0</v>
          </cell>
          <cell r="J867">
            <v>40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55</v>
          </cell>
          <cell r="Q867">
            <v>0</v>
          </cell>
          <cell r="R867">
            <v>55</v>
          </cell>
          <cell r="S867">
            <v>0</v>
          </cell>
          <cell r="T867">
            <v>0</v>
          </cell>
          <cell r="U867">
            <v>0</v>
          </cell>
          <cell r="V867">
            <v>55</v>
          </cell>
          <cell r="W867">
            <v>0</v>
          </cell>
          <cell r="X867">
            <v>55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50</v>
          </cell>
          <cell r="AE867">
            <v>0</v>
          </cell>
          <cell r="AF867">
            <v>50</v>
          </cell>
          <cell r="AG867">
            <v>0</v>
          </cell>
          <cell r="AH867">
            <v>0</v>
          </cell>
          <cell r="AI867">
            <v>0</v>
          </cell>
        </row>
        <row r="868">
          <cell r="B868">
            <v>984423601</v>
          </cell>
          <cell r="C868" t="str">
            <v>梱包計画</v>
          </cell>
          <cell r="D868">
            <v>5</v>
          </cell>
          <cell r="E868">
            <v>0</v>
          </cell>
          <cell r="F868">
            <v>0</v>
          </cell>
          <cell r="G868">
            <v>15</v>
          </cell>
          <cell r="H868">
            <v>15</v>
          </cell>
          <cell r="I868">
            <v>15</v>
          </cell>
          <cell r="J868">
            <v>15</v>
          </cell>
          <cell r="K868">
            <v>15</v>
          </cell>
          <cell r="L868">
            <v>0</v>
          </cell>
          <cell r="M868">
            <v>0</v>
          </cell>
          <cell r="N868">
            <v>10</v>
          </cell>
          <cell r="O868">
            <v>10</v>
          </cell>
          <cell r="P868">
            <v>10</v>
          </cell>
          <cell r="Q868">
            <v>10</v>
          </cell>
          <cell r="R868">
            <v>10</v>
          </cell>
          <cell r="S868">
            <v>0</v>
          </cell>
          <cell r="T868">
            <v>0</v>
          </cell>
          <cell r="U868">
            <v>5</v>
          </cell>
          <cell r="V868">
            <v>5</v>
          </cell>
          <cell r="W868">
            <v>5</v>
          </cell>
          <cell r="X868">
            <v>5</v>
          </cell>
          <cell r="Y868">
            <v>5</v>
          </cell>
          <cell r="Z868">
            <v>0</v>
          </cell>
          <cell r="AA868">
            <v>0</v>
          </cell>
          <cell r="AB868">
            <v>5</v>
          </cell>
          <cell r="AC868">
            <v>5</v>
          </cell>
          <cell r="AD868">
            <v>5</v>
          </cell>
          <cell r="AE868">
            <v>5</v>
          </cell>
          <cell r="AF868">
            <v>5</v>
          </cell>
          <cell r="AG868">
            <v>0</v>
          </cell>
          <cell r="AH868">
            <v>0</v>
          </cell>
          <cell r="AI868">
            <v>0</v>
          </cell>
        </row>
        <row r="869">
          <cell r="C869" t="str">
            <v>(調整）</v>
          </cell>
          <cell r="G869">
            <v>5</v>
          </cell>
          <cell r="H869">
            <v>5</v>
          </cell>
          <cell r="I869">
            <v>5</v>
          </cell>
          <cell r="J869">
            <v>5</v>
          </cell>
          <cell r="K869">
            <v>5</v>
          </cell>
          <cell r="U869">
            <v>-5</v>
          </cell>
          <cell r="V869">
            <v>-5</v>
          </cell>
          <cell r="W869">
            <v>-5</v>
          </cell>
          <cell r="X869">
            <v>-5</v>
          </cell>
          <cell r="Y869">
            <v>-5</v>
          </cell>
          <cell r="AB869">
            <v>-5</v>
          </cell>
          <cell r="AC869">
            <v>-5</v>
          </cell>
          <cell r="AD869">
            <v>-5</v>
          </cell>
          <cell r="AE869">
            <v>-5</v>
          </cell>
          <cell r="AF869">
            <v>-5</v>
          </cell>
        </row>
        <row r="870"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</row>
        <row r="871">
          <cell r="D871">
            <v>30</v>
          </cell>
          <cell r="E871">
            <v>0</v>
          </cell>
          <cell r="F871">
            <v>0</v>
          </cell>
          <cell r="G871">
            <v>11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</row>
        <row r="872"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</row>
        <row r="873"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</row>
        <row r="874">
          <cell r="D874">
            <v>10</v>
          </cell>
          <cell r="E874">
            <v>0</v>
          </cell>
          <cell r="F874">
            <v>0</v>
          </cell>
          <cell r="G874">
            <v>4</v>
          </cell>
          <cell r="H874">
            <v>6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</row>
        <row r="875">
          <cell r="C875" t="str">
            <v>手直し等</v>
          </cell>
        </row>
        <row r="876">
          <cell r="C876" t="str">
            <v>出荷実績</v>
          </cell>
          <cell r="E876">
            <v>0</v>
          </cell>
          <cell r="F876">
            <v>0</v>
          </cell>
          <cell r="G876">
            <v>15</v>
          </cell>
          <cell r="H876">
            <v>20</v>
          </cell>
          <cell r="I876">
            <v>10</v>
          </cell>
          <cell r="J876">
            <v>20</v>
          </cell>
          <cell r="K876">
            <v>15</v>
          </cell>
          <cell r="L876">
            <v>0</v>
          </cell>
          <cell r="M876">
            <v>0</v>
          </cell>
          <cell r="N876">
            <v>10</v>
          </cell>
          <cell r="O876">
            <v>10</v>
          </cell>
          <cell r="P876">
            <v>10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</row>
        <row r="877">
          <cell r="C877" t="str">
            <v>停止時間（昼勤）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</row>
        <row r="878">
          <cell r="C878" t="str">
            <v>停止時間（夜勤）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</row>
        <row r="879">
          <cell r="B879">
            <v>984423601</v>
          </cell>
          <cell r="C879" t="str">
            <v>振替計画・実績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</row>
        <row r="880">
          <cell r="C880" t="str">
            <v>在庫計画</v>
          </cell>
          <cell r="D880">
            <v>19</v>
          </cell>
          <cell r="E880">
            <v>19</v>
          </cell>
          <cell r="F880">
            <v>19</v>
          </cell>
          <cell r="G880">
            <v>29</v>
          </cell>
          <cell r="H880">
            <v>44</v>
          </cell>
          <cell r="I880">
            <v>59</v>
          </cell>
          <cell r="J880">
            <v>44</v>
          </cell>
          <cell r="K880">
            <v>59</v>
          </cell>
          <cell r="L880">
            <v>49</v>
          </cell>
          <cell r="M880">
            <v>49</v>
          </cell>
          <cell r="N880">
            <v>61.5</v>
          </cell>
          <cell r="O880">
            <v>71.5</v>
          </cell>
          <cell r="P880">
            <v>81.5</v>
          </cell>
          <cell r="Q880">
            <v>91.5</v>
          </cell>
          <cell r="R880">
            <v>71.5</v>
          </cell>
          <cell r="S880">
            <v>71.5</v>
          </cell>
          <cell r="T880">
            <v>71.5</v>
          </cell>
          <cell r="U880">
            <v>79</v>
          </cell>
          <cell r="V880">
            <v>54</v>
          </cell>
          <cell r="W880">
            <v>49</v>
          </cell>
          <cell r="X880">
            <v>54</v>
          </cell>
          <cell r="Y880">
            <v>49</v>
          </cell>
          <cell r="Z880">
            <v>49</v>
          </cell>
          <cell r="AA880">
            <v>49</v>
          </cell>
          <cell r="AB880">
            <v>54</v>
          </cell>
          <cell r="AC880">
            <v>59</v>
          </cell>
          <cell r="AD880">
            <v>64</v>
          </cell>
          <cell r="AE880">
            <v>59</v>
          </cell>
          <cell r="AF880">
            <v>64</v>
          </cell>
          <cell r="AG880">
            <v>54</v>
          </cell>
          <cell r="AH880">
            <v>54</v>
          </cell>
          <cell r="AI880">
            <v>54</v>
          </cell>
        </row>
        <row r="881">
          <cell r="C881" t="str">
            <v>在庫実績(社内)</v>
          </cell>
          <cell r="D881">
            <v>4</v>
          </cell>
          <cell r="E881">
            <v>4</v>
          </cell>
          <cell r="F881">
            <v>4</v>
          </cell>
          <cell r="G881">
            <v>4</v>
          </cell>
          <cell r="H881">
            <v>0</v>
          </cell>
          <cell r="I881">
            <v>5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</row>
        <row r="882">
          <cell r="C882" t="str">
            <v>在庫実績(物流)</v>
          </cell>
          <cell r="D882">
            <v>15</v>
          </cell>
          <cell r="E882">
            <v>15</v>
          </cell>
          <cell r="F882">
            <v>15</v>
          </cell>
          <cell r="G882">
            <v>30</v>
          </cell>
          <cell r="H882">
            <v>50</v>
          </cell>
          <cell r="I882">
            <v>60</v>
          </cell>
          <cell r="J882">
            <v>50</v>
          </cell>
          <cell r="K882">
            <v>65</v>
          </cell>
          <cell r="L882">
            <v>55</v>
          </cell>
          <cell r="M882">
            <v>55</v>
          </cell>
          <cell r="N882">
            <v>65</v>
          </cell>
          <cell r="O882">
            <v>75</v>
          </cell>
          <cell r="P882">
            <v>85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</row>
        <row r="883">
          <cell r="C883" t="str">
            <v>差異</v>
          </cell>
          <cell r="D883">
            <v>-4</v>
          </cell>
          <cell r="E883">
            <v>0</v>
          </cell>
          <cell r="F883">
            <v>0</v>
          </cell>
          <cell r="G883">
            <v>5</v>
          </cell>
          <cell r="H883">
            <v>6</v>
          </cell>
          <cell r="I883">
            <v>6</v>
          </cell>
          <cell r="J883">
            <v>6</v>
          </cell>
          <cell r="K883">
            <v>6</v>
          </cell>
          <cell r="L883">
            <v>6</v>
          </cell>
          <cell r="M883">
            <v>6</v>
          </cell>
          <cell r="N883">
            <v>3.5</v>
          </cell>
          <cell r="O883">
            <v>3.5</v>
          </cell>
          <cell r="P883">
            <v>3.5</v>
          </cell>
          <cell r="Q883">
            <v>-91.5</v>
          </cell>
          <cell r="R883">
            <v>-71.5</v>
          </cell>
          <cell r="S883">
            <v>-71.5</v>
          </cell>
          <cell r="T883">
            <v>-71.5</v>
          </cell>
          <cell r="U883">
            <v>-79</v>
          </cell>
          <cell r="V883">
            <v>-54</v>
          </cell>
          <cell r="W883">
            <v>-49</v>
          </cell>
          <cell r="X883">
            <v>-54</v>
          </cell>
          <cell r="Y883">
            <v>-49</v>
          </cell>
          <cell r="Z883">
            <v>-49</v>
          </cell>
          <cell r="AA883">
            <v>-49</v>
          </cell>
          <cell r="AB883">
            <v>-54</v>
          </cell>
          <cell r="AC883">
            <v>-59</v>
          </cell>
          <cell r="AD883">
            <v>-64</v>
          </cell>
          <cell r="AE883">
            <v>-59</v>
          </cell>
          <cell r="AF883">
            <v>-64</v>
          </cell>
          <cell r="AG883">
            <v>-54</v>
          </cell>
          <cell r="AH883">
            <v>-54</v>
          </cell>
          <cell r="AI883">
            <v>-54</v>
          </cell>
        </row>
        <row r="884">
          <cell r="C884" t="str">
            <v>ﾊﾞﾝﾆﾝｸﾞ計画</v>
          </cell>
          <cell r="E884">
            <v>0</v>
          </cell>
          <cell r="F884">
            <v>0</v>
          </cell>
          <cell r="G884">
            <v>0</v>
          </cell>
          <cell r="H884">
            <v>0</v>
          </cell>
          <cell r="I884">
            <v>0</v>
          </cell>
          <cell r="J884">
            <v>30</v>
          </cell>
          <cell r="K884">
            <v>0</v>
          </cell>
          <cell r="L884">
            <v>10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30</v>
          </cell>
          <cell r="S884">
            <v>0</v>
          </cell>
          <cell r="T884">
            <v>0</v>
          </cell>
          <cell r="U884">
            <v>0</v>
          </cell>
          <cell r="V884">
            <v>30</v>
          </cell>
          <cell r="W884">
            <v>10</v>
          </cell>
          <cell r="X884">
            <v>0</v>
          </cell>
          <cell r="Y884">
            <v>10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10</v>
          </cell>
          <cell r="AF884">
            <v>0</v>
          </cell>
          <cell r="AG884">
            <v>10</v>
          </cell>
          <cell r="AH884">
            <v>0</v>
          </cell>
          <cell r="AI884">
            <v>0</v>
          </cell>
        </row>
        <row r="885">
          <cell r="C885" t="str">
            <v>ｵｰﾀﾞｰ変更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I885">
            <v>30</v>
          </cell>
          <cell r="K885">
            <v>10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Q885">
            <v>30</v>
          </cell>
          <cell r="S885">
            <v>0</v>
          </cell>
          <cell r="T885">
            <v>0</v>
          </cell>
          <cell r="U885">
            <v>30</v>
          </cell>
          <cell r="V885">
            <v>10</v>
          </cell>
          <cell r="W885">
            <v>0</v>
          </cell>
          <cell r="X885">
            <v>10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10</v>
          </cell>
          <cell r="AE885">
            <v>0</v>
          </cell>
          <cell r="AF885">
            <v>10</v>
          </cell>
          <cell r="AG885">
            <v>0</v>
          </cell>
          <cell r="AH885">
            <v>0</v>
          </cell>
          <cell r="AI885">
            <v>0</v>
          </cell>
        </row>
        <row r="886">
          <cell r="C886" t="str">
            <v>20日情報
(工場出荷)</v>
          </cell>
          <cell r="E886">
            <v>0</v>
          </cell>
          <cell r="F886">
            <v>0</v>
          </cell>
          <cell r="G886">
            <v>0</v>
          </cell>
          <cell r="H886">
            <v>30</v>
          </cell>
          <cell r="I886">
            <v>0</v>
          </cell>
          <cell r="J886">
            <v>30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30</v>
          </cell>
          <cell r="Q886">
            <v>0</v>
          </cell>
          <cell r="R886">
            <v>30</v>
          </cell>
          <cell r="S886">
            <v>0</v>
          </cell>
          <cell r="T886">
            <v>0</v>
          </cell>
          <cell r="U886">
            <v>0</v>
          </cell>
          <cell r="V886">
            <v>10</v>
          </cell>
          <cell r="W886">
            <v>0</v>
          </cell>
          <cell r="X886">
            <v>10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10</v>
          </cell>
          <cell r="AE886">
            <v>0</v>
          </cell>
          <cell r="AF886">
            <v>10</v>
          </cell>
          <cell r="AG886">
            <v>0</v>
          </cell>
          <cell r="AH886">
            <v>0</v>
          </cell>
          <cell r="AI886">
            <v>0</v>
          </cell>
        </row>
        <row r="887">
          <cell r="B887">
            <v>984423701</v>
          </cell>
          <cell r="C887" t="str">
            <v>梱包計画</v>
          </cell>
          <cell r="D887">
            <v>40</v>
          </cell>
          <cell r="E887">
            <v>0</v>
          </cell>
          <cell r="F887">
            <v>0</v>
          </cell>
          <cell r="G887">
            <v>30</v>
          </cell>
          <cell r="H887">
            <v>30</v>
          </cell>
          <cell r="I887">
            <v>30</v>
          </cell>
          <cell r="J887">
            <v>30</v>
          </cell>
          <cell r="K887">
            <v>30</v>
          </cell>
          <cell r="L887">
            <v>0</v>
          </cell>
          <cell r="M887">
            <v>0</v>
          </cell>
          <cell r="N887">
            <v>30</v>
          </cell>
          <cell r="O887">
            <v>30</v>
          </cell>
          <cell r="P887">
            <v>30</v>
          </cell>
          <cell r="Q887">
            <v>30</v>
          </cell>
          <cell r="R887">
            <v>30</v>
          </cell>
          <cell r="S887">
            <v>0</v>
          </cell>
          <cell r="T887">
            <v>0</v>
          </cell>
          <cell r="U887">
            <v>30</v>
          </cell>
          <cell r="V887">
            <v>30</v>
          </cell>
          <cell r="W887">
            <v>25</v>
          </cell>
          <cell r="X887">
            <v>25</v>
          </cell>
          <cell r="Y887">
            <v>25</v>
          </cell>
          <cell r="Z887">
            <v>0</v>
          </cell>
          <cell r="AA887">
            <v>0</v>
          </cell>
          <cell r="AB887">
            <v>25</v>
          </cell>
          <cell r="AC887">
            <v>25</v>
          </cell>
          <cell r="AD887">
            <v>25</v>
          </cell>
          <cell r="AE887">
            <v>25</v>
          </cell>
          <cell r="AF887">
            <v>25</v>
          </cell>
          <cell r="AG887">
            <v>0</v>
          </cell>
          <cell r="AH887">
            <v>0</v>
          </cell>
          <cell r="AI887">
            <v>0</v>
          </cell>
        </row>
        <row r="888">
          <cell r="C888" t="str">
            <v>(調整）</v>
          </cell>
          <cell r="W888">
            <v>-5</v>
          </cell>
          <cell r="X888">
            <v>-5</v>
          </cell>
          <cell r="Y888">
            <v>-5</v>
          </cell>
          <cell r="AB888">
            <v>-5</v>
          </cell>
          <cell r="AC888">
            <v>-5</v>
          </cell>
          <cell r="AD888">
            <v>-5</v>
          </cell>
          <cell r="AE888">
            <v>-5</v>
          </cell>
          <cell r="AF888">
            <v>-5</v>
          </cell>
        </row>
        <row r="889">
          <cell r="D889">
            <v>0</v>
          </cell>
          <cell r="E889">
            <v>0</v>
          </cell>
          <cell r="F889">
            <v>0</v>
          </cell>
          <cell r="G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</row>
        <row r="890">
          <cell r="D890">
            <v>0</v>
          </cell>
          <cell r="E890">
            <v>0</v>
          </cell>
          <cell r="F890">
            <v>0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</row>
        <row r="891"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</row>
        <row r="892"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</row>
        <row r="893">
          <cell r="D893">
            <v>105</v>
          </cell>
          <cell r="E893">
            <v>0</v>
          </cell>
          <cell r="F893">
            <v>0</v>
          </cell>
          <cell r="G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</row>
        <row r="894">
          <cell r="C894" t="str">
            <v>手直し等</v>
          </cell>
        </row>
        <row r="895">
          <cell r="C895" t="str">
            <v>出荷実績</v>
          </cell>
          <cell r="E895">
            <v>0</v>
          </cell>
          <cell r="F895">
            <v>0</v>
          </cell>
          <cell r="G895">
            <v>30</v>
          </cell>
          <cell r="H895">
            <v>30</v>
          </cell>
          <cell r="I895">
            <v>30</v>
          </cell>
          <cell r="J895">
            <v>30</v>
          </cell>
          <cell r="K895">
            <v>30</v>
          </cell>
          <cell r="L895">
            <v>0</v>
          </cell>
          <cell r="M895">
            <v>0</v>
          </cell>
          <cell r="N895">
            <v>30</v>
          </cell>
          <cell r="O895">
            <v>45</v>
          </cell>
          <cell r="P895">
            <v>30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</row>
        <row r="896">
          <cell r="C896" t="str">
            <v>停止時間（昼勤）</v>
          </cell>
          <cell r="E896">
            <v>0</v>
          </cell>
          <cell r="F896">
            <v>0</v>
          </cell>
          <cell r="G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</row>
        <row r="897">
          <cell r="C897" t="str">
            <v>停止時間（夜勤）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</row>
        <row r="898">
          <cell r="B898">
            <v>984423701</v>
          </cell>
          <cell r="C898" t="str">
            <v>振替計画・実績</v>
          </cell>
          <cell r="E898">
            <v>0</v>
          </cell>
          <cell r="F898">
            <v>0</v>
          </cell>
          <cell r="G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</row>
        <row r="899">
          <cell r="C899" t="str">
            <v>在庫計画</v>
          </cell>
          <cell r="D899">
            <v>160</v>
          </cell>
          <cell r="E899">
            <v>160</v>
          </cell>
          <cell r="F899">
            <v>160</v>
          </cell>
          <cell r="G899">
            <v>195</v>
          </cell>
          <cell r="H899">
            <v>225</v>
          </cell>
          <cell r="I899">
            <v>255</v>
          </cell>
          <cell r="J899">
            <v>185</v>
          </cell>
          <cell r="K899">
            <v>215</v>
          </cell>
          <cell r="L899">
            <v>115</v>
          </cell>
          <cell r="M899">
            <v>115</v>
          </cell>
          <cell r="N899">
            <v>145</v>
          </cell>
          <cell r="O899">
            <v>175</v>
          </cell>
          <cell r="P899">
            <v>205</v>
          </cell>
          <cell r="Q899">
            <v>175</v>
          </cell>
          <cell r="R899">
            <v>205</v>
          </cell>
          <cell r="S899">
            <v>145</v>
          </cell>
          <cell r="T899">
            <v>145</v>
          </cell>
          <cell r="U899">
            <v>175</v>
          </cell>
          <cell r="V899">
            <v>205</v>
          </cell>
          <cell r="W899">
            <v>172.5</v>
          </cell>
          <cell r="X899">
            <v>197.5</v>
          </cell>
          <cell r="Y899">
            <v>162.5</v>
          </cell>
          <cell r="Z899">
            <v>162.5</v>
          </cell>
          <cell r="AA899">
            <v>162.5</v>
          </cell>
          <cell r="AB899">
            <v>187.5</v>
          </cell>
          <cell r="AC899">
            <v>212.5</v>
          </cell>
          <cell r="AD899">
            <v>237.5</v>
          </cell>
          <cell r="AE899">
            <v>202.5</v>
          </cell>
          <cell r="AF899">
            <v>227.5</v>
          </cell>
          <cell r="AG899">
            <v>167.5</v>
          </cell>
          <cell r="AH899">
            <v>167.5</v>
          </cell>
          <cell r="AI899">
            <v>167.5</v>
          </cell>
        </row>
        <row r="900">
          <cell r="C900" t="str">
            <v>在庫実績(社内)</v>
          </cell>
          <cell r="D900">
            <v>0</v>
          </cell>
          <cell r="E900">
            <v>0</v>
          </cell>
          <cell r="F900">
            <v>0</v>
          </cell>
          <cell r="G900">
            <v>5</v>
          </cell>
          <cell r="H900">
            <v>5</v>
          </cell>
          <cell r="I900">
            <v>5</v>
          </cell>
          <cell r="J900">
            <v>5</v>
          </cell>
          <cell r="K900">
            <v>5</v>
          </cell>
          <cell r="L900">
            <v>5</v>
          </cell>
          <cell r="M900">
            <v>5</v>
          </cell>
          <cell r="N900">
            <v>10</v>
          </cell>
          <cell r="O900">
            <v>0</v>
          </cell>
          <cell r="P900">
            <v>5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</row>
        <row r="901">
          <cell r="C901" t="str">
            <v>在庫実績(物流)</v>
          </cell>
          <cell r="D901">
            <v>160</v>
          </cell>
          <cell r="E901">
            <v>160</v>
          </cell>
          <cell r="F901">
            <v>160</v>
          </cell>
          <cell r="G901">
            <v>190</v>
          </cell>
          <cell r="H901">
            <v>220</v>
          </cell>
          <cell r="I901">
            <v>250</v>
          </cell>
          <cell r="J901">
            <v>180</v>
          </cell>
          <cell r="K901">
            <v>210</v>
          </cell>
          <cell r="L901">
            <v>110</v>
          </cell>
          <cell r="M901">
            <v>110</v>
          </cell>
          <cell r="N901">
            <v>140</v>
          </cell>
          <cell r="O901">
            <v>185</v>
          </cell>
          <cell r="P901">
            <v>215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</row>
        <row r="902">
          <cell r="C902" t="str">
            <v>差異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5</v>
          </cell>
          <cell r="O902">
            <v>10</v>
          </cell>
          <cell r="P902">
            <v>15</v>
          </cell>
          <cell r="Q902">
            <v>-175</v>
          </cell>
          <cell r="R902">
            <v>-205</v>
          </cell>
          <cell r="S902">
            <v>-145</v>
          </cell>
          <cell r="T902">
            <v>-145</v>
          </cell>
          <cell r="U902">
            <v>-175</v>
          </cell>
          <cell r="V902">
            <v>-205</v>
          </cell>
          <cell r="W902">
            <v>-172.5</v>
          </cell>
          <cell r="X902">
            <v>-197.5</v>
          </cell>
          <cell r="Y902">
            <v>-162.5</v>
          </cell>
          <cell r="Z902">
            <v>-162.5</v>
          </cell>
          <cell r="AA902">
            <v>-162.5</v>
          </cell>
          <cell r="AB902">
            <v>-187.5</v>
          </cell>
          <cell r="AC902">
            <v>-212.5</v>
          </cell>
          <cell r="AD902">
            <v>-237.5</v>
          </cell>
          <cell r="AE902">
            <v>-202.5</v>
          </cell>
          <cell r="AF902">
            <v>-227.5</v>
          </cell>
          <cell r="AG902">
            <v>-167.5</v>
          </cell>
          <cell r="AH902">
            <v>-167.5</v>
          </cell>
          <cell r="AI902">
            <v>-167.5</v>
          </cell>
        </row>
        <row r="903">
          <cell r="C903" t="str">
            <v>ﾊﾞﾝﾆﾝｸﾞ計画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100</v>
          </cell>
          <cell r="K903">
            <v>0</v>
          </cell>
          <cell r="L903">
            <v>100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60</v>
          </cell>
          <cell r="R903">
            <v>0</v>
          </cell>
          <cell r="S903">
            <v>60</v>
          </cell>
          <cell r="T903">
            <v>0</v>
          </cell>
          <cell r="U903">
            <v>0</v>
          </cell>
          <cell r="V903">
            <v>0</v>
          </cell>
          <cell r="W903">
            <v>60</v>
          </cell>
          <cell r="X903">
            <v>0</v>
          </cell>
          <cell r="Y903">
            <v>60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60</v>
          </cell>
          <cell r="AF903">
            <v>0</v>
          </cell>
          <cell r="AG903">
            <v>60</v>
          </cell>
          <cell r="AH903">
            <v>0</v>
          </cell>
          <cell r="AI903">
            <v>0</v>
          </cell>
        </row>
        <row r="904">
          <cell r="C904" t="str">
            <v>ｵｰﾀﾞｰ変更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I904">
            <v>100</v>
          </cell>
          <cell r="K904">
            <v>100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60</v>
          </cell>
          <cell r="Q904">
            <v>0</v>
          </cell>
          <cell r="R904">
            <v>60</v>
          </cell>
          <cell r="S904">
            <v>0</v>
          </cell>
          <cell r="T904">
            <v>0</v>
          </cell>
          <cell r="U904">
            <v>0</v>
          </cell>
          <cell r="V904">
            <v>60</v>
          </cell>
          <cell r="W904">
            <v>0</v>
          </cell>
          <cell r="X904">
            <v>60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60</v>
          </cell>
          <cell r="AE904">
            <v>0</v>
          </cell>
          <cell r="AF904">
            <v>60</v>
          </cell>
          <cell r="AG904">
            <v>0</v>
          </cell>
          <cell r="AH904">
            <v>0</v>
          </cell>
          <cell r="AI904">
            <v>0</v>
          </cell>
        </row>
        <row r="905">
          <cell r="C905" t="str">
            <v>20日情報
(工場出荷)</v>
          </cell>
          <cell r="E905">
            <v>0</v>
          </cell>
          <cell r="F905">
            <v>0</v>
          </cell>
          <cell r="G905">
            <v>0</v>
          </cell>
          <cell r="H905">
            <v>100</v>
          </cell>
          <cell r="I905">
            <v>0</v>
          </cell>
          <cell r="J905">
            <v>100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60</v>
          </cell>
          <cell r="Q905">
            <v>0</v>
          </cell>
          <cell r="R905">
            <v>60</v>
          </cell>
          <cell r="S905">
            <v>0</v>
          </cell>
          <cell r="T905">
            <v>0</v>
          </cell>
          <cell r="U905">
            <v>0</v>
          </cell>
          <cell r="V905">
            <v>60</v>
          </cell>
          <cell r="W905">
            <v>0</v>
          </cell>
          <cell r="X905">
            <v>60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60</v>
          </cell>
          <cell r="AE905">
            <v>0</v>
          </cell>
          <cell r="AF905">
            <v>60</v>
          </cell>
          <cell r="AG905">
            <v>0</v>
          </cell>
          <cell r="AH905">
            <v>0</v>
          </cell>
          <cell r="AI905">
            <v>0</v>
          </cell>
        </row>
        <row r="906">
          <cell r="B906">
            <v>984423901</v>
          </cell>
          <cell r="C906" t="str">
            <v>梱包計画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</row>
        <row r="907">
          <cell r="C907" t="str">
            <v>(調整）</v>
          </cell>
        </row>
        <row r="908"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</row>
        <row r="909"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</row>
        <row r="910"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</row>
        <row r="911"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</row>
        <row r="912"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</row>
        <row r="913">
          <cell r="C913" t="str">
            <v>手直し等</v>
          </cell>
        </row>
        <row r="914">
          <cell r="C914" t="str">
            <v>出荷実績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</row>
        <row r="915">
          <cell r="C915" t="str">
            <v>停止時間（昼勤）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</row>
        <row r="916">
          <cell r="C916" t="str">
            <v>停止時間（夜勤）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</row>
        <row r="917">
          <cell r="B917">
            <v>984423901</v>
          </cell>
          <cell r="C917" t="str">
            <v>振替計画・実績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</row>
        <row r="918">
          <cell r="C918" t="str">
            <v>在庫計画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</row>
        <row r="919">
          <cell r="C919" t="str">
            <v>在庫実績(社内)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</row>
        <row r="920">
          <cell r="C920" t="str">
            <v>在庫実績(物流)</v>
          </cell>
          <cell r="D920">
            <v>0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</row>
        <row r="921">
          <cell r="C921" t="str">
            <v>差異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</row>
        <row r="922">
          <cell r="C922" t="str">
            <v>ﾊﾞﾝﾆﾝｸﾞ計画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</row>
        <row r="923">
          <cell r="C923" t="str">
            <v>ｵｰﾀﾞｰ変更</v>
          </cell>
          <cell r="D923">
            <v>0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</row>
        <row r="924">
          <cell r="C924" t="str">
            <v>20日情報
(工場出荷)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</row>
        <row r="925">
          <cell r="B925">
            <v>984424001</v>
          </cell>
          <cell r="C925" t="str">
            <v>梱包計画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</row>
        <row r="926">
          <cell r="C926" t="str">
            <v>(調整）</v>
          </cell>
        </row>
        <row r="927"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</row>
        <row r="928"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</row>
        <row r="929"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</row>
        <row r="930"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</row>
        <row r="931"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</row>
        <row r="932">
          <cell r="C932" t="str">
            <v>手直し等</v>
          </cell>
        </row>
        <row r="933">
          <cell r="C933" t="str">
            <v>出荷実績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</row>
        <row r="934">
          <cell r="C934" t="str">
            <v>停止時間（昼勤）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</row>
        <row r="935">
          <cell r="C935" t="str">
            <v>停止時間（夜勤）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</row>
        <row r="936">
          <cell r="B936">
            <v>984424001</v>
          </cell>
          <cell r="C936" t="str">
            <v>振替計画・実績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</row>
        <row r="937">
          <cell r="C937" t="str">
            <v>在庫計画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</row>
        <row r="938">
          <cell r="C938" t="str">
            <v>在庫実績(社内)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</row>
        <row r="939">
          <cell r="C939" t="str">
            <v>在庫実績(物流)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</row>
        <row r="940">
          <cell r="C940" t="str">
            <v>差異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</row>
        <row r="941">
          <cell r="C941" t="str">
            <v>ﾊﾞﾝﾆﾝｸﾞ計画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</row>
        <row r="942">
          <cell r="C942" t="str">
            <v>ｵｰﾀﾞｰ変更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</row>
        <row r="943">
          <cell r="C943" t="str">
            <v>20日情報
(工場出荷)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</row>
        <row r="944">
          <cell r="B944">
            <v>984424101</v>
          </cell>
          <cell r="C944" t="str">
            <v>梱包計画</v>
          </cell>
          <cell r="D944">
            <v>0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</row>
        <row r="945">
          <cell r="C945" t="str">
            <v>(調整）</v>
          </cell>
        </row>
        <row r="946"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</row>
        <row r="947">
          <cell r="D947">
            <v>0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</row>
        <row r="948"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</row>
        <row r="949"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</row>
        <row r="950">
          <cell r="D950">
            <v>0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</row>
        <row r="951">
          <cell r="C951" t="str">
            <v>手直し等</v>
          </cell>
        </row>
        <row r="952">
          <cell r="C952" t="str">
            <v>出荷実績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</row>
        <row r="953">
          <cell r="C953" t="str">
            <v>停止時間（昼勤）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</row>
        <row r="954">
          <cell r="C954" t="str">
            <v>停止時間（夜勤）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</row>
        <row r="955">
          <cell r="B955">
            <v>984424101</v>
          </cell>
          <cell r="C955" t="str">
            <v>振替計画・実績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</row>
        <row r="956">
          <cell r="C956" t="str">
            <v>在庫計画</v>
          </cell>
          <cell r="D956">
            <v>0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</row>
        <row r="957">
          <cell r="C957" t="str">
            <v>在庫実績(社内)</v>
          </cell>
          <cell r="D957">
            <v>0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</row>
        <row r="958">
          <cell r="C958" t="str">
            <v>在庫実績(物流)</v>
          </cell>
          <cell r="D958">
            <v>0</v>
          </cell>
          <cell r="E958">
            <v>0</v>
          </cell>
          <cell r="F958">
            <v>0</v>
          </cell>
          <cell r="G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</row>
        <row r="959">
          <cell r="C959" t="str">
            <v>差異</v>
          </cell>
          <cell r="D959">
            <v>0</v>
          </cell>
          <cell r="E959">
            <v>0</v>
          </cell>
          <cell r="F959">
            <v>0</v>
          </cell>
          <cell r="G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</row>
        <row r="960">
          <cell r="C960" t="str">
            <v>ﾊﾞﾝﾆﾝｸﾞ計画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</row>
        <row r="961">
          <cell r="C961" t="str">
            <v>ｵｰﾀﾞｰ変更</v>
          </cell>
          <cell r="D961">
            <v>0</v>
          </cell>
          <cell r="E961">
            <v>0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</row>
        <row r="962">
          <cell r="C962" t="str">
            <v>20日情報
(工場出荷)</v>
          </cell>
          <cell r="E962">
            <v>0</v>
          </cell>
          <cell r="F962">
            <v>0</v>
          </cell>
          <cell r="G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</row>
        <row r="963">
          <cell r="B963">
            <v>984424201</v>
          </cell>
          <cell r="C963" t="str">
            <v>梱包計画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</row>
        <row r="964">
          <cell r="C964" t="str">
            <v>(調整）</v>
          </cell>
        </row>
        <row r="965">
          <cell r="D965">
            <v>0</v>
          </cell>
          <cell r="E965">
            <v>0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</row>
        <row r="966"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</row>
        <row r="967">
          <cell r="D967">
            <v>0</v>
          </cell>
          <cell r="E967">
            <v>0</v>
          </cell>
          <cell r="F967">
            <v>0</v>
          </cell>
          <cell r="G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</row>
        <row r="968"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</row>
        <row r="969"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</row>
        <row r="970">
          <cell r="C970" t="str">
            <v>手直し等</v>
          </cell>
        </row>
        <row r="971">
          <cell r="C971" t="str">
            <v>出荷実績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</row>
        <row r="972">
          <cell r="C972" t="str">
            <v>停止時間（昼勤）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</row>
        <row r="973">
          <cell r="C973" t="str">
            <v>停止時間（夜勤）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</row>
        <row r="974">
          <cell r="B974">
            <v>984424201</v>
          </cell>
          <cell r="C974" t="str">
            <v>振替計画・実績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</row>
        <row r="975">
          <cell r="C975" t="str">
            <v>在庫計画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</row>
        <row r="976">
          <cell r="C976" t="str">
            <v>在庫実績(社内)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</row>
        <row r="977">
          <cell r="C977" t="str">
            <v>在庫実績(物流)</v>
          </cell>
          <cell r="D977">
            <v>0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</row>
        <row r="978">
          <cell r="C978" t="str">
            <v>差異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</row>
        <row r="979">
          <cell r="C979" t="str">
            <v>ﾊﾞﾝﾆﾝｸﾞ計画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</row>
        <row r="980">
          <cell r="C980" t="str">
            <v>ｵｰﾀﾞｰ変更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</row>
        <row r="981">
          <cell r="C981" t="str">
            <v>20日情報
(工場出荷)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</row>
        <row r="982">
          <cell r="B982">
            <v>984424301</v>
          </cell>
          <cell r="C982" t="str">
            <v>梱包計画</v>
          </cell>
          <cell r="D982">
            <v>0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</row>
        <row r="983">
          <cell r="C983" t="str">
            <v>(調整）</v>
          </cell>
        </row>
        <row r="984"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</row>
        <row r="985">
          <cell r="D985">
            <v>0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</row>
        <row r="986">
          <cell r="D986">
            <v>0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</row>
        <row r="987"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</row>
        <row r="988">
          <cell r="D988">
            <v>0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</row>
        <row r="989">
          <cell r="C989" t="str">
            <v>手直し等</v>
          </cell>
        </row>
        <row r="990">
          <cell r="C990" t="str">
            <v>出荷実績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V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F990">
            <v>0</v>
          </cell>
          <cell r="AG990">
            <v>0</v>
          </cell>
          <cell r="AH990">
            <v>0</v>
          </cell>
          <cell r="AI990">
            <v>0</v>
          </cell>
        </row>
        <row r="991">
          <cell r="C991" t="str">
            <v>停止時間（昼勤）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</row>
        <row r="992">
          <cell r="C992" t="str">
            <v>停止時間（夜勤）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</row>
        <row r="993">
          <cell r="B993">
            <v>984424301</v>
          </cell>
          <cell r="C993" t="str">
            <v>振替計画・実績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</row>
        <row r="994">
          <cell r="C994" t="str">
            <v>在庫計画</v>
          </cell>
          <cell r="D994">
            <v>0</v>
          </cell>
          <cell r="E994">
            <v>0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</row>
        <row r="995">
          <cell r="C995" t="str">
            <v>在庫実績(社内)</v>
          </cell>
          <cell r="D995">
            <v>0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9</v>
          </cell>
          <cell r="O995">
            <v>9</v>
          </cell>
          <cell r="P995">
            <v>9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</row>
        <row r="996">
          <cell r="C996" t="str">
            <v>在庫実績(物流)</v>
          </cell>
          <cell r="D996">
            <v>0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</row>
        <row r="997">
          <cell r="C997" t="str">
            <v>差異</v>
          </cell>
          <cell r="D997">
            <v>0</v>
          </cell>
          <cell r="E997">
            <v>0</v>
          </cell>
          <cell r="F997">
            <v>0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9</v>
          </cell>
          <cell r="O997">
            <v>9</v>
          </cell>
          <cell r="P997">
            <v>9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</row>
        <row r="998">
          <cell r="C998" t="str">
            <v>ﾊﾞﾝﾆﾝｸﾞ計画</v>
          </cell>
          <cell r="E998">
            <v>0</v>
          </cell>
          <cell r="F998">
            <v>0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</row>
        <row r="999">
          <cell r="C999" t="str">
            <v>ｵｰﾀﾞｰ変更</v>
          </cell>
          <cell r="D999">
            <v>0</v>
          </cell>
          <cell r="E999">
            <v>0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</row>
        <row r="1000">
          <cell r="C1000" t="str">
            <v>20日情報
(工場出荷)</v>
          </cell>
          <cell r="E1000">
            <v>0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</row>
        <row r="1001">
          <cell r="B1001">
            <v>984424701</v>
          </cell>
          <cell r="C1001" t="str">
            <v>梱包計画</v>
          </cell>
          <cell r="D1001">
            <v>50</v>
          </cell>
          <cell r="E1001">
            <v>0</v>
          </cell>
          <cell r="F1001">
            <v>0</v>
          </cell>
          <cell r="G1001">
            <v>50</v>
          </cell>
          <cell r="H1001">
            <v>50</v>
          </cell>
          <cell r="I1001">
            <v>50</v>
          </cell>
          <cell r="J1001">
            <v>50</v>
          </cell>
          <cell r="K1001">
            <v>50</v>
          </cell>
          <cell r="L1001">
            <v>0</v>
          </cell>
          <cell r="M1001">
            <v>0</v>
          </cell>
          <cell r="N1001">
            <v>50</v>
          </cell>
          <cell r="O1001">
            <v>50</v>
          </cell>
          <cell r="P1001">
            <v>50</v>
          </cell>
          <cell r="Q1001">
            <v>50</v>
          </cell>
          <cell r="R1001">
            <v>50</v>
          </cell>
          <cell r="S1001">
            <v>0</v>
          </cell>
          <cell r="T1001">
            <v>0</v>
          </cell>
          <cell r="U1001">
            <v>50</v>
          </cell>
          <cell r="V1001">
            <v>50</v>
          </cell>
          <cell r="W1001">
            <v>50</v>
          </cell>
          <cell r="X1001">
            <v>50</v>
          </cell>
          <cell r="Y1001">
            <v>50</v>
          </cell>
          <cell r="Z1001">
            <v>0</v>
          </cell>
          <cell r="AA1001">
            <v>0</v>
          </cell>
          <cell r="AB1001">
            <v>45</v>
          </cell>
          <cell r="AC1001">
            <v>50</v>
          </cell>
          <cell r="AD1001">
            <v>50</v>
          </cell>
          <cell r="AE1001">
            <v>50</v>
          </cell>
          <cell r="AF1001">
            <v>50</v>
          </cell>
          <cell r="AG1001">
            <v>0</v>
          </cell>
          <cell r="AH1001">
            <v>0</v>
          </cell>
          <cell r="AI1001">
            <v>0</v>
          </cell>
        </row>
        <row r="1002">
          <cell r="C1002" t="str">
            <v>(調整）</v>
          </cell>
          <cell r="AB1002">
            <v>-5</v>
          </cell>
        </row>
        <row r="1003">
          <cell r="D1003">
            <v>0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</row>
        <row r="1004">
          <cell r="D1004">
            <v>0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</row>
        <row r="1005"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</row>
        <row r="1006"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</row>
        <row r="1007">
          <cell r="D1007">
            <v>100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</row>
        <row r="1008">
          <cell r="C1008" t="str">
            <v>手直し等</v>
          </cell>
        </row>
        <row r="1009">
          <cell r="C1009" t="str">
            <v>出荷実績</v>
          </cell>
          <cell r="E1009">
            <v>0</v>
          </cell>
          <cell r="F1009">
            <v>0</v>
          </cell>
          <cell r="G1009">
            <v>45</v>
          </cell>
          <cell r="H1009">
            <v>50</v>
          </cell>
          <cell r="I1009">
            <v>50</v>
          </cell>
          <cell r="J1009">
            <v>45</v>
          </cell>
          <cell r="K1009">
            <v>50</v>
          </cell>
          <cell r="L1009">
            <v>0</v>
          </cell>
          <cell r="M1009">
            <v>0</v>
          </cell>
          <cell r="N1009">
            <v>55</v>
          </cell>
          <cell r="O1009">
            <v>45</v>
          </cell>
          <cell r="P1009">
            <v>55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</row>
        <row r="1010">
          <cell r="C1010" t="str">
            <v>停止時間（昼勤）</v>
          </cell>
          <cell r="E1010">
            <v>0</v>
          </cell>
          <cell r="F1010">
            <v>0</v>
          </cell>
          <cell r="G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</row>
        <row r="1011">
          <cell r="C1011" t="str">
            <v>停止時間（夜勤）</v>
          </cell>
          <cell r="E1011">
            <v>0</v>
          </cell>
          <cell r="F1011">
            <v>0</v>
          </cell>
          <cell r="G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</row>
        <row r="1012">
          <cell r="B1012">
            <v>984424701</v>
          </cell>
          <cell r="C1012" t="str">
            <v>振替計画・実績</v>
          </cell>
          <cell r="E1012">
            <v>0</v>
          </cell>
          <cell r="F1012">
            <v>0</v>
          </cell>
          <cell r="G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</row>
        <row r="1013">
          <cell r="C1013" t="str">
            <v>在庫計画</v>
          </cell>
          <cell r="D1013">
            <v>183</v>
          </cell>
          <cell r="E1013">
            <v>183</v>
          </cell>
          <cell r="F1013">
            <v>183</v>
          </cell>
          <cell r="G1013">
            <v>233</v>
          </cell>
          <cell r="H1013">
            <v>283</v>
          </cell>
          <cell r="I1013">
            <v>333</v>
          </cell>
          <cell r="J1013">
            <v>253</v>
          </cell>
          <cell r="K1013">
            <v>303</v>
          </cell>
          <cell r="L1013">
            <v>173</v>
          </cell>
          <cell r="M1013">
            <v>173</v>
          </cell>
          <cell r="N1013">
            <v>223</v>
          </cell>
          <cell r="O1013">
            <v>273</v>
          </cell>
          <cell r="P1013">
            <v>323</v>
          </cell>
          <cell r="Q1013">
            <v>248</v>
          </cell>
          <cell r="R1013">
            <v>298</v>
          </cell>
          <cell r="S1013">
            <v>173</v>
          </cell>
          <cell r="T1013">
            <v>173</v>
          </cell>
          <cell r="U1013">
            <v>223</v>
          </cell>
          <cell r="V1013">
            <v>273</v>
          </cell>
          <cell r="W1013">
            <v>198</v>
          </cell>
          <cell r="X1013">
            <v>248</v>
          </cell>
          <cell r="Y1013">
            <v>173</v>
          </cell>
          <cell r="Z1013">
            <v>173</v>
          </cell>
          <cell r="AA1013">
            <v>173</v>
          </cell>
          <cell r="AB1013">
            <v>220.5</v>
          </cell>
          <cell r="AC1013">
            <v>268</v>
          </cell>
          <cell r="AD1013">
            <v>318</v>
          </cell>
          <cell r="AE1013">
            <v>243</v>
          </cell>
          <cell r="AF1013">
            <v>293</v>
          </cell>
          <cell r="AG1013">
            <v>168</v>
          </cell>
          <cell r="AH1013">
            <v>168</v>
          </cell>
          <cell r="AI1013">
            <v>168</v>
          </cell>
        </row>
        <row r="1014">
          <cell r="C1014" t="str">
            <v>在庫実績(社内)</v>
          </cell>
          <cell r="D1014">
            <v>3</v>
          </cell>
          <cell r="E1014">
            <v>3</v>
          </cell>
          <cell r="F1014">
            <v>3</v>
          </cell>
          <cell r="G1014">
            <v>5</v>
          </cell>
          <cell r="H1014">
            <v>10</v>
          </cell>
          <cell r="I1014">
            <v>5</v>
          </cell>
          <cell r="J1014">
            <v>5</v>
          </cell>
          <cell r="K1014">
            <v>5</v>
          </cell>
          <cell r="L1014">
            <v>5</v>
          </cell>
          <cell r="M1014">
            <v>5</v>
          </cell>
          <cell r="N1014">
            <v>5</v>
          </cell>
          <cell r="O1014">
            <v>5</v>
          </cell>
          <cell r="P1014">
            <v>8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</row>
        <row r="1015">
          <cell r="C1015" t="str">
            <v>在庫実績(物流)</v>
          </cell>
          <cell r="D1015">
            <v>180</v>
          </cell>
          <cell r="E1015">
            <v>180</v>
          </cell>
          <cell r="F1015">
            <v>180</v>
          </cell>
          <cell r="G1015">
            <v>225</v>
          </cell>
          <cell r="H1015">
            <v>275</v>
          </cell>
          <cell r="I1015">
            <v>325</v>
          </cell>
          <cell r="J1015">
            <v>240</v>
          </cell>
          <cell r="K1015">
            <v>290</v>
          </cell>
          <cell r="L1015">
            <v>160</v>
          </cell>
          <cell r="M1015">
            <v>160</v>
          </cell>
          <cell r="N1015">
            <v>215</v>
          </cell>
          <cell r="O1015">
            <v>260</v>
          </cell>
          <cell r="P1015">
            <v>315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</row>
        <row r="1016">
          <cell r="C1016" t="str">
            <v>差異</v>
          </cell>
          <cell r="D1016">
            <v>-3</v>
          </cell>
          <cell r="E1016">
            <v>0</v>
          </cell>
          <cell r="F1016">
            <v>0</v>
          </cell>
          <cell r="G1016">
            <v>-3</v>
          </cell>
          <cell r="H1016">
            <v>2</v>
          </cell>
          <cell r="I1016">
            <v>-3</v>
          </cell>
          <cell r="J1016">
            <v>-8</v>
          </cell>
          <cell r="K1016">
            <v>-8</v>
          </cell>
          <cell r="L1016">
            <v>-8</v>
          </cell>
          <cell r="M1016">
            <v>-8</v>
          </cell>
          <cell r="N1016">
            <v>-3</v>
          </cell>
          <cell r="O1016">
            <v>-8</v>
          </cell>
          <cell r="P1016">
            <v>0</v>
          </cell>
          <cell r="Q1016">
            <v>-248</v>
          </cell>
          <cell r="R1016">
            <v>-298</v>
          </cell>
          <cell r="S1016">
            <v>-173</v>
          </cell>
          <cell r="T1016">
            <v>-173</v>
          </cell>
          <cell r="U1016">
            <v>-223</v>
          </cell>
          <cell r="V1016">
            <v>-273</v>
          </cell>
          <cell r="W1016">
            <v>-198</v>
          </cell>
          <cell r="X1016">
            <v>-248</v>
          </cell>
          <cell r="Y1016">
            <v>-173</v>
          </cell>
          <cell r="Z1016">
            <v>-173</v>
          </cell>
          <cell r="AA1016">
            <v>-173</v>
          </cell>
          <cell r="AB1016">
            <v>-220.5</v>
          </cell>
          <cell r="AC1016">
            <v>-268</v>
          </cell>
          <cell r="AD1016">
            <v>-318</v>
          </cell>
          <cell r="AE1016">
            <v>-243</v>
          </cell>
          <cell r="AF1016">
            <v>-293</v>
          </cell>
          <cell r="AG1016">
            <v>-168</v>
          </cell>
          <cell r="AH1016">
            <v>-168</v>
          </cell>
          <cell r="AI1016">
            <v>-168</v>
          </cell>
        </row>
        <row r="1017">
          <cell r="C1017" t="str">
            <v>ﾊﾞﾝﾆﾝｸﾞ計画</v>
          </cell>
          <cell r="E1017">
            <v>0</v>
          </cell>
          <cell r="F1017">
            <v>0</v>
          </cell>
          <cell r="G1017">
            <v>0</v>
          </cell>
          <cell r="H1017">
            <v>0</v>
          </cell>
          <cell r="I1017">
            <v>0</v>
          </cell>
          <cell r="J1017">
            <v>130</v>
          </cell>
          <cell r="K1017">
            <v>0</v>
          </cell>
          <cell r="L1017">
            <v>130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125</v>
          </cell>
          <cell r="R1017">
            <v>0</v>
          </cell>
          <cell r="S1017">
            <v>125</v>
          </cell>
          <cell r="T1017">
            <v>0</v>
          </cell>
          <cell r="U1017">
            <v>0</v>
          </cell>
          <cell r="V1017">
            <v>0</v>
          </cell>
          <cell r="W1017">
            <v>125</v>
          </cell>
          <cell r="X1017">
            <v>0</v>
          </cell>
          <cell r="Y1017">
            <v>125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125</v>
          </cell>
          <cell r="AF1017">
            <v>0</v>
          </cell>
          <cell r="AG1017">
            <v>125</v>
          </cell>
          <cell r="AH1017">
            <v>0</v>
          </cell>
          <cell r="AI1017">
            <v>0</v>
          </cell>
        </row>
        <row r="1018">
          <cell r="C1018" t="str">
            <v>ｵｰﾀﾞｰ変更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I1018">
            <v>130</v>
          </cell>
          <cell r="K1018">
            <v>130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125</v>
          </cell>
          <cell r="Q1018">
            <v>0</v>
          </cell>
          <cell r="R1018">
            <v>125</v>
          </cell>
          <cell r="S1018">
            <v>0</v>
          </cell>
          <cell r="T1018">
            <v>0</v>
          </cell>
          <cell r="U1018">
            <v>0</v>
          </cell>
          <cell r="V1018">
            <v>125</v>
          </cell>
          <cell r="W1018">
            <v>0</v>
          </cell>
          <cell r="X1018">
            <v>125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125</v>
          </cell>
          <cell r="AE1018">
            <v>0</v>
          </cell>
          <cell r="AF1018">
            <v>125</v>
          </cell>
          <cell r="AG1018">
            <v>0</v>
          </cell>
          <cell r="AH1018">
            <v>0</v>
          </cell>
          <cell r="AI1018">
            <v>0</v>
          </cell>
        </row>
        <row r="1019">
          <cell r="C1019" t="str">
            <v>20日情報
(工場出荷)</v>
          </cell>
          <cell r="E1019">
            <v>0</v>
          </cell>
          <cell r="F1019">
            <v>0</v>
          </cell>
          <cell r="G1019">
            <v>0</v>
          </cell>
          <cell r="H1019">
            <v>130</v>
          </cell>
          <cell r="I1019">
            <v>0</v>
          </cell>
          <cell r="J1019">
            <v>130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125</v>
          </cell>
          <cell r="Q1019">
            <v>0</v>
          </cell>
          <cell r="R1019">
            <v>125</v>
          </cell>
          <cell r="S1019">
            <v>0</v>
          </cell>
          <cell r="T1019">
            <v>0</v>
          </cell>
          <cell r="U1019">
            <v>0</v>
          </cell>
          <cell r="V1019">
            <v>125</v>
          </cell>
          <cell r="W1019">
            <v>0</v>
          </cell>
          <cell r="X1019">
            <v>125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125</v>
          </cell>
          <cell r="AE1019">
            <v>0</v>
          </cell>
          <cell r="AF1019">
            <v>125</v>
          </cell>
          <cell r="AG1019">
            <v>0</v>
          </cell>
          <cell r="AH1019">
            <v>0</v>
          </cell>
          <cell r="AI1019">
            <v>0</v>
          </cell>
        </row>
        <row r="1020">
          <cell r="B1020">
            <v>984431701</v>
          </cell>
          <cell r="C1020" t="str">
            <v>梱包計画</v>
          </cell>
          <cell r="D1020">
            <v>45</v>
          </cell>
          <cell r="E1020">
            <v>0</v>
          </cell>
          <cell r="F1020">
            <v>0</v>
          </cell>
          <cell r="G1020">
            <v>55</v>
          </cell>
          <cell r="H1020">
            <v>55</v>
          </cell>
          <cell r="I1020">
            <v>55</v>
          </cell>
          <cell r="J1020">
            <v>60</v>
          </cell>
          <cell r="K1020">
            <v>60</v>
          </cell>
          <cell r="L1020">
            <v>0</v>
          </cell>
          <cell r="M1020">
            <v>0</v>
          </cell>
          <cell r="N1020">
            <v>55</v>
          </cell>
          <cell r="O1020">
            <v>55</v>
          </cell>
          <cell r="P1020">
            <v>55</v>
          </cell>
          <cell r="Q1020">
            <v>60</v>
          </cell>
          <cell r="R1020">
            <v>60</v>
          </cell>
          <cell r="S1020">
            <v>0</v>
          </cell>
          <cell r="T1020">
            <v>0</v>
          </cell>
          <cell r="U1020">
            <v>55</v>
          </cell>
          <cell r="V1020">
            <v>55</v>
          </cell>
          <cell r="W1020">
            <v>55</v>
          </cell>
          <cell r="X1020">
            <v>60</v>
          </cell>
          <cell r="Y1020">
            <v>60</v>
          </cell>
          <cell r="Z1020">
            <v>0</v>
          </cell>
          <cell r="AA1020">
            <v>0</v>
          </cell>
          <cell r="AB1020">
            <v>55</v>
          </cell>
          <cell r="AC1020">
            <v>55</v>
          </cell>
          <cell r="AD1020">
            <v>55</v>
          </cell>
          <cell r="AE1020">
            <v>60</v>
          </cell>
          <cell r="AF1020">
            <v>60</v>
          </cell>
          <cell r="AG1020">
            <v>0</v>
          </cell>
          <cell r="AH1020">
            <v>0</v>
          </cell>
          <cell r="AI1020">
            <v>0</v>
          </cell>
        </row>
        <row r="1021">
          <cell r="C1021" t="str">
            <v>(調整）</v>
          </cell>
        </row>
        <row r="1022">
          <cell r="D1022">
            <v>0</v>
          </cell>
          <cell r="E1022">
            <v>0</v>
          </cell>
          <cell r="F1022">
            <v>0</v>
          </cell>
          <cell r="G1022">
            <v>0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</row>
        <row r="1023">
          <cell r="D1023">
            <v>140</v>
          </cell>
          <cell r="E1023">
            <v>0</v>
          </cell>
          <cell r="F1023">
            <v>0</v>
          </cell>
          <cell r="G1023">
            <v>0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</row>
        <row r="1024"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</row>
        <row r="1025">
          <cell r="D1025">
            <v>0</v>
          </cell>
          <cell r="E1025">
            <v>0</v>
          </cell>
          <cell r="F1025">
            <v>0</v>
          </cell>
          <cell r="G1025">
            <v>0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</row>
        <row r="1026">
          <cell r="D1026">
            <v>115</v>
          </cell>
          <cell r="E1026">
            <v>0</v>
          </cell>
          <cell r="F1026">
            <v>0</v>
          </cell>
          <cell r="G1026">
            <v>55</v>
          </cell>
          <cell r="H1026">
            <v>20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</row>
        <row r="1027">
          <cell r="C1027" t="str">
            <v>手直し等</v>
          </cell>
        </row>
        <row r="1028">
          <cell r="C1028" t="str">
            <v>出荷実績</v>
          </cell>
          <cell r="E1028">
            <v>0</v>
          </cell>
          <cell r="F1028">
            <v>0</v>
          </cell>
          <cell r="G1028">
            <v>55</v>
          </cell>
          <cell r="H1028">
            <v>50</v>
          </cell>
          <cell r="I1028">
            <v>60</v>
          </cell>
          <cell r="J1028">
            <v>60</v>
          </cell>
          <cell r="K1028">
            <v>60</v>
          </cell>
          <cell r="L1028">
            <v>0</v>
          </cell>
          <cell r="M1028">
            <v>0</v>
          </cell>
          <cell r="N1028">
            <v>55</v>
          </cell>
          <cell r="O1028">
            <v>60</v>
          </cell>
          <cell r="P1028">
            <v>55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</row>
        <row r="1029">
          <cell r="C1029" t="str">
            <v>停止時間（昼勤）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</row>
        <row r="1030">
          <cell r="C1030" t="str">
            <v>停止時間（夜勤）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</row>
        <row r="1031">
          <cell r="B1031">
            <v>984431701</v>
          </cell>
          <cell r="C1031" t="str">
            <v>振替計画・実績</v>
          </cell>
          <cell r="E1031">
            <v>0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0</v>
          </cell>
        </row>
        <row r="1032">
          <cell r="C1032" t="str">
            <v>在庫計画</v>
          </cell>
          <cell r="D1032">
            <v>180</v>
          </cell>
          <cell r="E1032">
            <v>180</v>
          </cell>
          <cell r="F1032">
            <v>180</v>
          </cell>
          <cell r="G1032">
            <v>230</v>
          </cell>
          <cell r="H1032">
            <v>285</v>
          </cell>
          <cell r="I1032">
            <v>205</v>
          </cell>
          <cell r="J1032">
            <v>262.5</v>
          </cell>
          <cell r="K1032">
            <v>302.5</v>
          </cell>
          <cell r="L1032">
            <v>187.5</v>
          </cell>
          <cell r="M1032">
            <v>187.5</v>
          </cell>
          <cell r="N1032">
            <v>245</v>
          </cell>
          <cell r="O1032">
            <v>300</v>
          </cell>
          <cell r="P1032">
            <v>355</v>
          </cell>
          <cell r="Q1032">
            <v>267.5</v>
          </cell>
          <cell r="R1032">
            <v>327.5</v>
          </cell>
          <cell r="S1032">
            <v>322.5</v>
          </cell>
          <cell r="T1032">
            <v>322.5</v>
          </cell>
          <cell r="U1032">
            <v>380</v>
          </cell>
          <cell r="V1032">
            <v>295</v>
          </cell>
          <cell r="W1032">
            <v>205</v>
          </cell>
          <cell r="X1032">
            <v>262.5</v>
          </cell>
          <cell r="Y1032">
            <v>177.5</v>
          </cell>
          <cell r="Z1032">
            <v>177.5</v>
          </cell>
          <cell r="AA1032">
            <v>177.5</v>
          </cell>
          <cell r="AB1032">
            <v>235</v>
          </cell>
          <cell r="AC1032">
            <v>290</v>
          </cell>
          <cell r="AD1032">
            <v>345</v>
          </cell>
          <cell r="AE1032">
            <v>267.5</v>
          </cell>
          <cell r="AF1032">
            <v>327.5</v>
          </cell>
          <cell r="AG1032">
            <v>192.5</v>
          </cell>
          <cell r="AH1032">
            <v>192.5</v>
          </cell>
          <cell r="AI1032">
            <v>192.5</v>
          </cell>
        </row>
        <row r="1033">
          <cell r="C1033" t="str">
            <v>在庫実績(社内)</v>
          </cell>
          <cell r="D1033">
            <v>0</v>
          </cell>
          <cell r="E1033">
            <v>0</v>
          </cell>
          <cell r="F1033">
            <v>0</v>
          </cell>
          <cell r="G1033">
            <v>10</v>
          </cell>
          <cell r="H1033">
            <v>15</v>
          </cell>
          <cell r="I1033">
            <v>5</v>
          </cell>
          <cell r="J1033">
            <v>5</v>
          </cell>
          <cell r="K1033">
            <v>10</v>
          </cell>
          <cell r="L1033">
            <v>10</v>
          </cell>
          <cell r="M1033">
            <v>10</v>
          </cell>
          <cell r="N1033">
            <v>0</v>
          </cell>
          <cell r="O1033">
            <v>0</v>
          </cell>
          <cell r="P1033">
            <v>5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</row>
        <row r="1034">
          <cell r="C1034" t="str">
            <v>在庫実績(物流)</v>
          </cell>
          <cell r="D1034">
            <v>180</v>
          </cell>
          <cell r="E1034">
            <v>180</v>
          </cell>
          <cell r="F1034">
            <v>180</v>
          </cell>
          <cell r="G1034">
            <v>235</v>
          </cell>
          <cell r="H1034">
            <v>285</v>
          </cell>
          <cell r="I1034">
            <v>210</v>
          </cell>
          <cell r="J1034">
            <v>270</v>
          </cell>
          <cell r="K1034">
            <v>310</v>
          </cell>
          <cell r="L1034">
            <v>195</v>
          </cell>
          <cell r="M1034">
            <v>195</v>
          </cell>
          <cell r="N1034">
            <v>250</v>
          </cell>
          <cell r="O1034">
            <v>310</v>
          </cell>
          <cell r="P1034">
            <v>365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</row>
        <row r="1035">
          <cell r="C1035" t="str">
            <v>差異</v>
          </cell>
          <cell r="D1035">
            <v>0</v>
          </cell>
          <cell r="E1035">
            <v>0</v>
          </cell>
          <cell r="F1035">
            <v>0</v>
          </cell>
          <cell r="G1035">
            <v>15</v>
          </cell>
          <cell r="H1035">
            <v>15</v>
          </cell>
          <cell r="I1035">
            <v>10</v>
          </cell>
          <cell r="J1035">
            <v>12.5</v>
          </cell>
          <cell r="K1035">
            <v>17.5</v>
          </cell>
          <cell r="L1035">
            <v>17.5</v>
          </cell>
          <cell r="M1035">
            <v>17.5</v>
          </cell>
          <cell r="N1035">
            <v>5</v>
          </cell>
          <cell r="O1035">
            <v>10</v>
          </cell>
          <cell r="P1035">
            <v>15</v>
          </cell>
          <cell r="Q1035">
            <v>-267.5</v>
          </cell>
          <cell r="R1035">
            <v>-327.5</v>
          </cell>
          <cell r="S1035">
            <v>-322.5</v>
          </cell>
          <cell r="T1035">
            <v>-322.5</v>
          </cell>
          <cell r="U1035">
            <v>-380</v>
          </cell>
          <cell r="V1035">
            <v>-295</v>
          </cell>
          <cell r="W1035">
            <v>-205</v>
          </cell>
          <cell r="X1035">
            <v>-262.5</v>
          </cell>
          <cell r="Y1035">
            <v>-177.5</v>
          </cell>
          <cell r="Z1035">
            <v>-177.5</v>
          </cell>
          <cell r="AA1035">
            <v>-177.5</v>
          </cell>
          <cell r="AB1035">
            <v>-235</v>
          </cell>
          <cell r="AC1035">
            <v>-290</v>
          </cell>
          <cell r="AD1035">
            <v>-345</v>
          </cell>
          <cell r="AE1035">
            <v>-267.5</v>
          </cell>
          <cell r="AF1035">
            <v>-327.5</v>
          </cell>
          <cell r="AG1035">
            <v>-192.5</v>
          </cell>
          <cell r="AH1035">
            <v>-192.5</v>
          </cell>
          <cell r="AI1035">
            <v>-192.5</v>
          </cell>
        </row>
        <row r="1036">
          <cell r="C1036" t="str">
            <v>ﾊﾞﾝﾆﾝｸﾞ計画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135</v>
          </cell>
          <cell r="J1036">
            <v>0</v>
          </cell>
          <cell r="K1036">
            <v>20</v>
          </cell>
          <cell r="L1036">
            <v>115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145</v>
          </cell>
          <cell r="R1036">
            <v>0</v>
          </cell>
          <cell r="S1036">
            <v>5</v>
          </cell>
          <cell r="T1036">
            <v>0</v>
          </cell>
          <cell r="U1036">
            <v>0</v>
          </cell>
          <cell r="V1036">
            <v>140</v>
          </cell>
          <cell r="W1036">
            <v>145</v>
          </cell>
          <cell r="X1036">
            <v>0</v>
          </cell>
          <cell r="Y1036">
            <v>145</v>
          </cell>
          <cell r="Z1036">
            <v>0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135</v>
          </cell>
          <cell r="AF1036">
            <v>0</v>
          </cell>
          <cell r="AG1036">
            <v>135</v>
          </cell>
          <cell r="AH1036">
            <v>0</v>
          </cell>
          <cell r="AI1036">
            <v>0</v>
          </cell>
        </row>
        <row r="1037">
          <cell r="C1037" t="str">
            <v>ｵｰﾀﾞｰ変更</v>
          </cell>
          <cell r="D1037">
            <v>0</v>
          </cell>
          <cell r="E1037">
            <v>0</v>
          </cell>
          <cell r="F1037">
            <v>0</v>
          </cell>
          <cell r="G1037">
            <v>0</v>
          </cell>
          <cell r="H1037">
            <v>135</v>
          </cell>
          <cell r="I1037">
            <v>0</v>
          </cell>
          <cell r="J1037">
            <v>20</v>
          </cell>
          <cell r="K1037">
            <v>115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145</v>
          </cell>
          <cell r="Q1037">
            <v>0</v>
          </cell>
          <cell r="R1037">
            <v>5</v>
          </cell>
          <cell r="S1037">
            <v>0</v>
          </cell>
          <cell r="T1037">
            <v>0</v>
          </cell>
          <cell r="U1037">
            <v>140</v>
          </cell>
          <cell r="V1037">
            <v>145</v>
          </cell>
          <cell r="W1037">
            <v>0</v>
          </cell>
          <cell r="X1037">
            <v>145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135</v>
          </cell>
          <cell r="AE1037">
            <v>0</v>
          </cell>
          <cell r="AF1037">
            <v>135</v>
          </cell>
          <cell r="AG1037">
            <v>0</v>
          </cell>
          <cell r="AH1037">
            <v>0</v>
          </cell>
          <cell r="AI1037">
            <v>0</v>
          </cell>
        </row>
        <row r="1038">
          <cell r="C1038" t="str">
            <v>20日情報
(工場出荷)</v>
          </cell>
          <cell r="E1038">
            <v>0</v>
          </cell>
          <cell r="F1038">
            <v>0</v>
          </cell>
          <cell r="G1038">
            <v>0</v>
          </cell>
          <cell r="H1038">
            <v>135</v>
          </cell>
          <cell r="I1038">
            <v>0</v>
          </cell>
          <cell r="J1038">
            <v>135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145</v>
          </cell>
          <cell r="Q1038">
            <v>0</v>
          </cell>
          <cell r="R1038">
            <v>145</v>
          </cell>
          <cell r="S1038">
            <v>0</v>
          </cell>
          <cell r="T1038">
            <v>0</v>
          </cell>
          <cell r="U1038">
            <v>0</v>
          </cell>
          <cell r="V1038">
            <v>145</v>
          </cell>
          <cell r="W1038">
            <v>0</v>
          </cell>
          <cell r="X1038">
            <v>145</v>
          </cell>
          <cell r="Y1038">
            <v>0</v>
          </cell>
          <cell r="Z1038">
            <v>0</v>
          </cell>
          <cell r="AA1038">
            <v>0</v>
          </cell>
          <cell r="AB1038">
            <v>0</v>
          </cell>
          <cell r="AC1038">
            <v>0</v>
          </cell>
          <cell r="AD1038">
            <v>135</v>
          </cell>
          <cell r="AE1038">
            <v>0</v>
          </cell>
          <cell r="AF1038">
            <v>135</v>
          </cell>
          <cell r="AG1038">
            <v>0</v>
          </cell>
          <cell r="AH1038">
            <v>0</v>
          </cell>
          <cell r="AI1038">
            <v>0</v>
          </cell>
        </row>
        <row r="1039">
          <cell r="B1039">
            <v>984433301</v>
          </cell>
          <cell r="C1039" t="str">
            <v>梱包計画</v>
          </cell>
          <cell r="D1039">
            <v>85</v>
          </cell>
          <cell r="E1039">
            <v>0</v>
          </cell>
          <cell r="F1039">
            <v>0</v>
          </cell>
          <cell r="G1039">
            <v>80</v>
          </cell>
          <cell r="H1039">
            <v>80</v>
          </cell>
          <cell r="I1039">
            <v>80</v>
          </cell>
          <cell r="J1039">
            <v>85</v>
          </cell>
          <cell r="K1039">
            <v>85</v>
          </cell>
          <cell r="L1039">
            <v>0</v>
          </cell>
          <cell r="M1039">
            <v>0</v>
          </cell>
          <cell r="N1039">
            <v>80</v>
          </cell>
          <cell r="O1039">
            <v>80</v>
          </cell>
          <cell r="P1039">
            <v>80</v>
          </cell>
          <cell r="Q1039">
            <v>85</v>
          </cell>
          <cell r="R1039">
            <v>85</v>
          </cell>
          <cell r="S1039">
            <v>0</v>
          </cell>
          <cell r="T1039">
            <v>0</v>
          </cell>
          <cell r="U1039">
            <v>75</v>
          </cell>
          <cell r="V1039">
            <v>75</v>
          </cell>
          <cell r="W1039">
            <v>75</v>
          </cell>
          <cell r="X1039">
            <v>80</v>
          </cell>
          <cell r="Y1039">
            <v>80</v>
          </cell>
          <cell r="Z1039">
            <v>0</v>
          </cell>
          <cell r="AA1039">
            <v>0</v>
          </cell>
          <cell r="AB1039">
            <v>80</v>
          </cell>
          <cell r="AC1039">
            <v>80</v>
          </cell>
          <cell r="AD1039">
            <v>80</v>
          </cell>
          <cell r="AE1039">
            <v>85</v>
          </cell>
          <cell r="AF1039">
            <v>85</v>
          </cell>
          <cell r="AG1039">
            <v>0</v>
          </cell>
          <cell r="AH1039">
            <v>0</v>
          </cell>
          <cell r="AI1039">
            <v>0</v>
          </cell>
        </row>
        <row r="1040">
          <cell r="C1040" t="str">
            <v>(調整）</v>
          </cell>
          <cell r="G1040">
            <v>-5</v>
          </cell>
          <cell r="H1040">
            <v>-5</v>
          </cell>
          <cell r="I1040">
            <v>-5</v>
          </cell>
          <cell r="J1040">
            <v>-5</v>
          </cell>
          <cell r="K1040">
            <v>-5</v>
          </cell>
          <cell r="N1040">
            <v>-5</v>
          </cell>
          <cell r="O1040">
            <v>-5</v>
          </cell>
          <cell r="P1040">
            <v>-5</v>
          </cell>
          <cell r="Q1040">
            <v>-5</v>
          </cell>
          <cell r="R1040">
            <v>-5</v>
          </cell>
          <cell r="U1040">
            <v>-10</v>
          </cell>
          <cell r="V1040">
            <v>-10</v>
          </cell>
          <cell r="W1040">
            <v>-10</v>
          </cell>
          <cell r="X1040">
            <v>-10</v>
          </cell>
          <cell r="Y1040">
            <v>-10</v>
          </cell>
          <cell r="AB1040">
            <v>-5</v>
          </cell>
          <cell r="AC1040">
            <v>-5</v>
          </cell>
          <cell r="AD1040">
            <v>-5</v>
          </cell>
          <cell r="AE1040">
            <v>-5</v>
          </cell>
          <cell r="AF1040">
            <v>-5</v>
          </cell>
        </row>
        <row r="1041">
          <cell r="D1041">
            <v>0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0</v>
          </cell>
        </row>
        <row r="1042"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0</v>
          </cell>
        </row>
        <row r="1043"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</row>
        <row r="1044">
          <cell r="D1044">
            <v>0</v>
          </cell>
          <cell r="E1044">
            <v>0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</row>
        <row r="1045">
          <cell r="D1045">
            <v>235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</row>
        <row r="1046">
          <cell r="C1046" t="str">
            <v>手直し等</v>
          </cell>
        </row>
        <row r="1047">
          <cell r="C1047" t="str">
            <v>出荷実績</v>
          </cell>
          <cell r="E1047">
            <v>0</v>
          </cell>
          <cell r="F1047">
            <v>0</v>
          </cell>
          <cell r="G1047">
            <v>75</v>
          </cell>
          <cell r="H1047">
            <v>85</v>
          </cell>
          <cell r="I1047">
            <v>80</v>
          </cell>
          <cell r="J1047">
            <v>85</v>
          </cell>
          <cell r="K1047">
            <v>85</v>
          </cell>
          <cell r="L1047">
            <v>0</v>
          </cell>
          <cell r="M1047">
            <v>0</v>
          </cell>
          <cell r="N1047">
            <v>85</v>
          </cell>
          <cell r="O1047">
            <v>85</v>
          </cell>
          <cell r="P1047">
            <v>90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</row>
        <row r="1048">
          <cell r="C1048" t="str">
            <v>停止時間（昼勤）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</row>
        <row r="1049">
          <cell r="C1049" t="str">
            <v>停止時間（夜勤）</v>
          </cell>
          <cell r="E1049">
            <v>0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</row>
        <row r="1050">
          <cell r="B1050">
            <v>984433301</v>
          </cell>
          <cell r="C1050" t="str">
            <v>振替計画・実績</v>
          </cell>
          <cell r="E1050">
            <v>0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0</v>
          </cell>
        </row>
        <row r="1051">
          <cell r="C1051" t="str">
            <v>在庫計画</v>
          </cell>
          <cell r="D1051">
            <v>330</v>
          </cell>
          <cell r="E1051">
            <v>330</v>
          </cell>
          <cell r="F1051">
            <v>330</v>
          </cell>
          <cell r="G1051">
            <v>412.5</v>
          </cell>
          <cell r="H1051">
            <v>492.5</v>
          </cell>
          <cell r="I1051">
            <v>432.5</v>
          </cell>
          <cell r="J1051">
            <v>415</v>
          </cell>
          <cell r="K1051">
            <v>265</v>
          </cell>
          <cell r="L1051">
            <v>265</v>
          </cell>
          <cell r="M1051">
            <v>265</v>
          </cell>
          <cell r="N1051">
            <v>347.5</v>
          </cell>
          <cell r="O1051">
            <v>427.5</v>
          </cell>
          <cell r="P1051">
            <v>507.5</v>
          </cell>
          <cell r="Q1051">
            <v>390</v>
          </cell>
          <cell r="R1051">
            <v>475</v>
          </cell>
          <cell r="S1051">
            <v>275</v>
          </cell>
          <cell r="T1051">
            <v>275</v>
          </cell>
          <cell r="U1051">
            <v>355</v>
          </cell>
          <cell r="V1051">
            <v>430</v>
          </cell>
          <cell r="W1051">
            <v>305</v>
          </cell>
          <cell r="X1051">
            <v>382.5</v>
          </cell>
          <cell r="Y1051">
            <v>262.5</v>
          </cell>
          <cell r="Z1051">
            <v>262.5</v>
          </cell>
          <cell r="AA1051">
            <v>262.5</v>
          </cell>
          <cell r="AB1051">
            <v>342.5</v>
          </cell>
          <cell r="AC1051">
            <v>422.5</v>
          </cell>
          <cell r="AD1051">
            <v>502.5</v>
          </cell>
          <cell r="AE1051">
            <v>385</v>
          </cell>
          <cell r="AF1051">
            <v>470</v>
          </cell>
          <cell r="AG1051">
            <v>270</v>
          </cell>
          <cell r="AH1051">
            <v>270</v>
          </cell>
          <cell r="AI1051">
            <v>270</v>
          </cell>
        </row>
        <row r="1052">
          <cell r="C1052" t="str">
            <v>在庫実績(社内)</v>
          </cell>
          <cell r="D1052">
            <v>0</v>
          </cell>
          <cell r="E1052">
            <v>0</v>
          </cell>
          <cell r="F1052">
            <v>0</v>
          </cell>
          <cell r="G1052">
            <v>10</v>
          </cell>
          <cell r="H1052">
            <v>10</v>
          </cell>
          <cell r="I1052">
            <v>10</v>
          </cell>
          <cell r="J1052">
            <v>5</v>
          </cell>
          <cell r="K1052">
            <v>17</v>
          </cell>
          <cell r="L1052">
            <v>17</v>
          </cell>
          <cell r="M1052">
            <v>17</v>
          </cell>
          <cell r="N1052">
            <v>15</v>
          </cell>
          <cell r="O1052">
            <v>10</v>
          </cell>
          <cell r="P1052">
            <v>10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</row>
        <row r="1053">
          <cell r="C1053" t="str">
            <v>在庫実績(物流)</v>
          </cell>
          <cell r="D1053">
            <v>330</v>
          </cell>
          <cell r="E1053">
            <v>330</v>
          </cell>
          <cell r="F1053">
            <v>330</v>
          </cell>
          <cell r="G1053">
            <v>405</v>
          </cell>
          <cell r="H1053">
            <v>490</v>
          </cell>
          <cell r="I1053">
            <v>430</v>
          </cell>
          <cell r="J1053">
            <v>415</v>
          </cell>
          <cell r="K1053">
            <v>265</v>
          </cell>
          <cell r="L1053">
            <v>265</v>
          </cell>
          <cell r="M1053">
            <v>265</v>
          </cell>
          <cell r="N1053">
            <v>350</v>
          </cell>
          <cell r="O1053">
            <v>435</v>
          </cell>
          <cell r="P1053">
            <v>525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0</v>
          </cell>
          <cell r="AB1053">
            <v>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</row>
        <row r="1054">
          <cell r="C1054" t="str">
            <v>差異</v>
          </cell>
          <cell r="D1054">
            <v>0</v>
          </cell>
          <cell r="E1054">
            <v>0</v>
          </cell>
          <cell r="F1054">
            <v>0</v>
          </cell>
          <cell r="G1054">
            <v>2.5</v>
          </cell>
          <cell r="H1054">
            <v>7.5</v>
          </cell>
          <cell r="I1054">
            <v>7.5</v>
          </cell>
          <cell r="J1054">
            <v>5</v>
          </cell>
          <cell r="K1054">
            <v>17</v>
          </cell>
          <cell r="L1054">
            <v>17</v>
          </cell>
          <cell r="M1054">
            <v>17</v>
          </cell>
          <cell r="N1054">
            <v>17.5</v>
          </cell>
          <cell r="O1054">
            <v>17.5</v>
          </cell>
          <cell r="P1054">
            <v>27.5</v>
          </cell>
          <cell r="Q1054">
            <v>-390</v>
          </cell>
          <cell r="R1054">
            <v>-475</v>
          </cell>
          <cell r="S1054">
            <v>-275</v>
          </cell>
          <cell r="T1054">
            <v>-275</v>
          </cell>
          <cell r="U1054">
            <v>-355</v>
          </cell>
          <cell r="V1054">
            <v>-430</v>
          </cell>
          <cell r="W1054">
            <v>-305</v>
          </cell>
          <cell r="X1054">
            <v>-382.5</v>
          </cell>
          <cell r="Y1054">
            <v>-262.5</v>
          </cell>
          <cell r="Z1054">
            <v>-262.5</v>
          </cell>
          <cell r="AA1054">
            <v>-262.5</v>
          </cell>
          <cell r="AB1054">
            <v>-342.5</v>
          </cell>
          <cell r="AC1054">
            <v>-422.5</v>
          </cell>
          <cell r="AD1054">
            <v>-502.5</v>
          </cell>
          <cell r="AE1054">
            <v>-385</v>
          </cell>
          <cell r="AF1054">
            <v>-470</v>
          </cell>
          <cell r="AG1054">
            <v>-270</v>
          </cell>
          <cell r="AH1054">
            <v>-270</v>
          </cell>
          <cell r="AI1054">
            <v>-270</v>
          </cell>
        </row>
        <row r="1055">
          <cell r="C1055" t="str">
            <v>ﾊﾞﾝﾆﾝｸﾞ計画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140</v>
          </cell>
          <cell r="J1055">
            <v>100</v>
          </cell>
          <cell r="K1055">
            <v>235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200</v>
          </cell>
          <cell r="R1055">
            <v>0</v>
          </cell>
          <cell r="S1055">
            <v>200</v>
          </cell>
          <cell r="T1055">
            <v>0</v>
          </cell>
          <cell r="U1055">
            <v>0</v>
          </cell>
          <cell r="V1055">
            <v>0</v>
          </cell>
          <cell r="W1055">
            <v>200</v>
          </cell>
          <cell r="X1055">
            <v>0</v>
          </cell>
          <cell r="Y1055">
            <v>200</v>
          </cell>
          <cell r="Z1055">
            <v>0</v>
          </cell>
          <cell r="AA1055">
            <v>0</v>
          </cell>
          <cell r="AB1055">
            <v>0</v>
          </cell>
          <cell r="AC1055">
            <v>0</v>
          </cell>
          <cell r="AD1055">
            <v>0</v>
          </cell>
          <cell r="AE1055">
            <v>200</v>
          </cell>
          <cell r="AF1055">
            <v>0</v>
          </cell>
          <cell r="AG1055">
            <v>200</v>
          </cell>
          <cell r="AH1055">
            <v>0</v>
          </cell>
          <cell r="AI1055">
            <v>0</v>
          </cell>
        </row>
        <row r="1056">
          <cell r="C1056" t="str">
            <v>ｵｰﾀﾞｰ変更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  <cell r="H1056">
            <v>140</v>
          </cell>
          <cell r="I1056">
            <v>100</v>
          </cell>
          <cell r="J1056">
            <v>235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200</v>
          </cell>
          <cell r="Q1056">
            <v>0</v>
          </cell>
          <cell r="R1056">
            <v>200</v>
          </cell>
          <cell r="S1056">
            <v>0</v>
          </cell>
          <cell r="T1056">
            <v>0</v>
          </cell>
          <cell r="U1056">
            <v>0</v>
          </cell>
          <cell r="V1056">
            <v>200</v>
          </cell>
          <cell r="W1056">
            <v>0</v>
          </cell>
          <cell r="X1056">
            <v>200</v>
          </cell>
          <cell r="Y1056">
            <v>0</v>
          </cell>
          <cell r="Z1056">
            <v>0</v>
          </cell>
          <cell r="AA1056">
            <v>0</v>
          </cell>
          <cell r="AB1056">
            <v>0</v>
          </cell>
          <cell r="AC1056">
            <v>0</v>
          </cell>
          <cell r="AD1056">
            <v>200</v>
          </cell>
          <cell r="AE1056">
            <v>0</v>
          </cell>
          <cell r="AF1056">
            <v>200</v>
          </cell>
          <cell r="AG1056">
            <v>0</v>
          </cell>
          <cell r="AH1056">
            <v>0</v>
          </cell>
          <cell r="AI1056">
            <v>0</v>
          </cell>
        </row>
        <row r="1057">
          <cell r="C1057" t="str">
            <v>20日情報
(工場出荷)</v>
          </cell>
          <cell r="E1057">
            <v>0</v>
          </cell>
          <cell r="F1057">
            <v>0</v>
          </cell>
          <cell r="G1057">
            <v>0</v>
          </cell>
          <cell r="H1057">
            <v>240</v>
          </cell>
          <cell r="I1057">
            <v>0</v>
          </cell>
          <cell r="J1057">
            <v>235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200</v>
          </cell>
          <cell r="Q1057">
            <v>0</v>
          </cell>
          <cell r="R1057">
            <v>200</v>
          </cell>
          <cell r="S1057">
            <v>0</v>
          </cell>
          <cell r="T1057">
            <v>0</v>
          </cell>
          <cell r="U1057">
            <v>0</v>
          </cell>
          <cell r="V1057">
            <v>200</v>
          </cell>
          <cell r="W1057">
            <v>0</v>
          </cell>
          <cell r="X1057">
            <v>200</v>
          </cell>
          <cell r="Y1057">
            <v>0</v>
          </cell>
          <cell r="Z1057">
            <v>0</v>
          </cell>
          <cell r="AA1057">
            <v>0</v>
          </cell>
          <cell r="AB1057">
            <v>0</v>
          </cell>
          <cell r="AC1057">
            <v>0</v>
          </cell>
          <cell r="AD1057">
            <v>200</v>
          </cell>
          <cell r="AE1057">
            <v>0</v>
          </cell>
          <cell r="AF1057">
            <v>200</v>
          </cell>
          <cell r="AG1057">
            <v>0</v>
          </cell>
          <cell r="AH1057">
            <v>0</v>
          </cell>
          <cell r="AI1057">
            <v>0</v>
          </cell>
        </row>
        <row r="1058">
          <cell r="B1058">
            <v>984434701</v>
          </cell>
          <cell r="C1058" t="str">
            <v>梱包計画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0</v>
          </cell>
          <cell r="AB1058">
            <v>0</v>
          </cell>
          <cell r="AC1058">
            <v>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0</v>
          </cell>
        </row>
        <row r="1059">
          <cell r="C1059" t="str">
            <v>(調整）</v>
          </cell>
        </row>
        <row r="1060">
          <cell r="D1060">
            <v>0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</row>
        <row r="1061">
          <cell r="D1061">
            <v>0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</row>
        <row r="1062">
          <cell r="D1062">
            <v>0</v>
          </cell>
          <cell r="E1062">
            <v>0</v>
          </cell>
          <cell r="F1062">
            <v>0</v>
          </cell>
          <cell r="G1062">
            <v>0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0</v>
          </cell>
        </row>
        <row r="1063">
          <cell r="D1063">
            <v>0</v>
          </cell>
          <cell r="E1063">
            <v>0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0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</row>
        <row r="1064">
          <cell r="D1064">
            <v>0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0</v>
          </cell>
          <cell r="AB1064">
            <v>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</row>
        <row r="1065">
          <cell r="C1065" t="str">
            <v>手直し等</v>
          </cell>
        </row>
        <row r="1066">
          <cell r="C1066" t="str">
            <v>出荷実績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0</v>
          </cell>
        </row>
        <row r="1067">
          <cell r="C1067" t="str">
            <v>停止時間（昼勤）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</row>
        <row r="1068">
          <cell r="C1068" t="str">
            <v>停止時間（夜勤）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</row>
        <row r="1069">
          <cell r="B1069">
            <v>984434701</v>
          </cell>
          <cell r="C1069" t="str">
            <v>振替計画・実績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</row>
        <row r="1070">
          <cell r="C1070" t="str">
            <v>在庫計画</v>
          </cell>
          <cell r="D1070">
            <v>0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</row>
        <row r="1071">
          <cell r="C1071" t="str">
            <v>在庫実績(社内)</v>
          </cell>
          <cell r="D1071">
            <v>0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</row>
        <row r="1072">
          <cell r="C1072" t="str">
            <v>在庫実績(物流)</v>
          </cell>
          <cell r="D1072">
            <v>0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</row>
        <row r="1073">
          <cell r="C1073" t="str">
            <v>差異</v>
          </cell>
          <cell r="D1073">
            <v>0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</row>
        <row r="1074">
          <cell r="C1074" t="str">
            <v>ﾊﾞﾝﾆﾝｸﾞ計画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</row>
        <row r="1075">
          <cell r="C1075" t="str">
            <v>ｵｰﾀﾞｰ変更</v>
          </cell>
          <cell r="D1075">
            <v>0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</row>
        <row r="1076">
          <cell r="C1076" t="str">
            <v>20日情報
(工場出荷)</v>
          </cell>
          <cell r="E1076">
            <v>0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</row>
        <row r="1077">
          <cell r="B1077">
            <v>945504501</v>
          </cell>
          <cell r="C1077" t="str">
            <v>梱包計画</v>
          </cell>
          <cell r="D1077">
            <v>0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</row>
        <row r="1078">
          <cell r="C1078" t="str">
            <v>(調整）</v>
          </cell>
        </row>
        <row r="1079">
          <cell r="D1079">
            <v>0</v>
          </cell>
          <cell r="E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</row>
        <row r="1080">
          <cell r="D1080">
            <v>0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0</v>
          </cell>
          <cell r="AA1080">
            <v>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</row>
        <row r="1081">
          <cell r="D1081">
            <v>0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0</v>
          </cell>
        </row>
        <row r="1082"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</row>
        <row r="1083">
          <cell r="D1083">
            <v>0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0</v>
          </cell>
          <cell r="Y1083">
            <v>0</v>
          </cell>
          <cell r="Z1083">
            <v>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</row>
        <row r="1084">
          <cell r="C1084" t="str">
            <v>手直し等</v>
          </cell>
        </row>
        <row r="1085">
          <cell r="C1085" t="str">
            <v>出荷実績</v>
          </cell>
          <cell r="E1085">
            <v>0</v>
          </cell>
          <cell r="F1085">
            <v>0</v>
          </cell>
          <cell r="G1085">
            <v>0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0</v>
          </cell>
          <cell r="AA1085">
            <v>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</row>
        <row r="1086">
          <cell r="C1086" t="str">
            <v>停止時間（昼勤）</v>
          </cell>
          <cell r="E1086">
            <v>0</v>
          </cell>
          <cell r="F1086">
            <v>0</v>
          </cell>
          <cell r="G1086">
            <v>0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</row>
        <row r="1087">
          <cell r="C1087" t="str">
            <v>停止時間（夜勤）</v>
          </cell>
          <cell r="E1087">
            <v>0</v>
          </cell>
          <cell r="F1087">
            <v>0</v>
          </cell>
          <cell r="G1087">
            <v>0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</row>
        <row r="1088">
          <cell r="B1088">
            <v>945504501</v>
          </cell>
          <cell r="C1088" t="str">
            <v>振替計画・実績</v>
          </cell>
          <cell r="E1088">
            <v>0</v>
          </cell>
          <cell r="F1088">
            <v>0</v>
          </cell>
          <cell r="G1088">
            <v>0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</row>
        <row r="1089">
          <cell r="C1089" t="str">
            <v>在庫計画</v>
          </cell>
          <cell r="D1089">
            <v>0</v>
          </cell>
          <cell r="E1089">
            <v>0</v>
          </cell>
          <cell r="F1089">
            <v>0</v>
          </cell>
          <cell r="G1089">
            <v>0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0</v>
          </cell>
          <cell r="Z1089">
            <v>0</v>
          </cell>
          <cell r="AA1089">
            <v>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0</v>
          </cell>
        </row>
        <row r="1090">
          <cell r="C1090" t="str">
            <v>在庫実績(社内)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</row>
        <row r="1091">
          <cell r="C1091" t="str">
            <v>在庫実績(物流)</v>
          </cell>
          <cell r="D1091">
            <v>0</v>
          </cell>
          <cell r="E1091">
            <v>0</v>
          </cell>
          <cell r="F1091">
            <v>0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0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</row>
        <row r="1092">
          <cell r="C1092" t="str">
            <v>差異</v>
          </cell>
          <cell r="D1092">
            <v>0</v>
          </cell>
          <cell r="E1092">
            <v>0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0</v>
          </cell>
          <cell r="Z1092">
            <v>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</row>
        <row r="1093">
          <cell r="C1093" t="str">
            <v>ﾊﾞﾝﾆﾝｸﾞ計画</v>
          </cell>
          <cell r="E1093">
            <v>0</v>
          </cell>
          <cell r="F1093">
            <v>0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</row>
        <row r="1094">
          <cell r="C1094" t="str">
            <v>ｵｰﾀﾞｰ変更</v>
          </cell>
          <cell r="D1094">
            <v>0</v>
          </cell>
          <cell r="E1094">
            <v>0</v>
          </cell>
          <cell r="F1094">
            <v>0</v>
          </cell>
          <cell r="G1094">
            <v>0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</row>
        <row r="1095">
          <cell r="B1095" t="str">
            <v>BMW中国</v>
          </cell>
          <cell r="C1095" t="str">
            <v>20日情報
(工場出荷)</v>
          </cell>
          <cell r="E1095">
            <v>0</v>
          </cell>
          <cell r="F1095">
            <v>0</v>
          </cell>
          <cell r="G1095">
            <v>0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0</v>
          </cell>
        </row>
        <row r="1096">
          <cell r="B1096">
            <v>989484501</v>
          </cell>
          <cell r="C1096" t="str">
            <v>梱包計画</v>
          </cell>
          <cell r="D1096">
            <v>0</v>
          </cell>
          <cell r="E1096">
            <v>0</v>
          </cell>
          <cell r="F1096">
            <v>0</v>
          </cell>
          <cell r="G1096">
            <v>0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</row>
        <row r="1097">
          <cell r="C1097" t="str">
            <v>(調整）</v>
          </cell>
        </row>
        <row r="1098"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0</v>
          </cell>
        </row>
        <row r="1099"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0</v>
          </cell>
        </row>
        <row r="1100">
          <cell r="D1100">
            <v>0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0</v>
          </cell>
          <cell r="AA1100">
            <v>0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</row>
        <row r="1101">
          <cell r="D1101">
            <v>0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0</v>
          </cell>
        </row>
        <row r="1102"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0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0</v>
          </cell>
        </row>
        <row r="1103">
          <cell r="C1103" t="str">
            <v>手直し等</v>
          </cell>
        </row>
        <row r="1104">
          <cell r="C1104" t="str">
            <v>出荷実績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0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</row>
        <row r="1105">
          <cell r="C1105" t="str">
            <v>停止時間（昼勤）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0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0</v>
          </cell>
        </row>
        <row r="1106">
          <cell r="C1106" t="str">
            <v>停止時間（夜勤）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0</v>
          </cell>
          <cell r="AA1106">
            <v>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  <cell r="AI1106">
            <v>0</v>
          </cell>
        </row>
        <row r="1107">
          <cell r="B1107">
            <v>989484501</v>
          </cell>
          <cell r="C1107" t="str">
            <v>振替計画・実績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</row>
        <row r="1108">
          <cell r="C1108" t="str">
            <v>在庫計画</v>
          </cell>
          <cell r="D1108">
            <v>11</v>
          </cell>
          <cell r="E1108">
            <v>11</v>
          </cell>
          <cell r="F1108">
            <v>11</v>
          </cell>
          <cell r="G1108">
            <v>11</v>
          </cell>
          <cell r="H1108">
            <v>11</v>
          </cell>
          <cell r="I1108">
            <v>11</v>
          </cell>
          <cell r="J1108">
            <v>11</v>
          </cell>
          <cell r="K1108">
            <v>11</v>
          </cell>
          <cell r="L1108">
            <v>11</v>
          </cell>
          <cell r="M1108">
            <v>11</v>
          </cell>
          <cell r="N1108">
            <v>11</v>
          </cell>
          <cell r="O1108">
            <v>11</v>
          </cell>
          <cell r="P1108">
            <v>11</v>
          </cell>
          <cell r="Q1108">
            <v>11</v>
          </cell>
          <cell r="R1108">
            <v>11</v>
          </cell>
          <cell r="S1108">
            <v>11</v>
          </cell>
          <cell r="T1108">
            <v>11</v>
          </cell>
          <cell r="U1108">
            <v>11</v>
          </cell>
          <cell r="V1108">
            <v>11</v>
          </cell>
          <cell r="W1108">
            <v>11</v>
          </cell>
          <cell r="X1108">
            <v>11</v>
          </cell>
          <cell r="Y1108">
            <v>11</v>
          </cell>
          <cell r="Z1108">
            <v>11</v>
          </cell>
          <cell r="AA1108">
            <v>11</v>
          </cell>
          <cell r="AB1108">
            <v>11</v>
          </cell>
          <cell r="AC1108">
            <v>11</v>
          </cell>
          <cell r="AD1108">
            <v>11</v>
          </cell>
          <cell r="AE1108">
            <v>11</v>
          </cell>
          <cell r="AF1108">
            <v>11</v>
          </cell>
          <cell r="AG1108">
            <v>11</v>
          </cell>
          <cell r="AH1108">
            <v>11</v>
          </cell>
          <cell r="AI1108">
            <v>11</v>
          </cell>
        </row>
        <row r="1109">
          <cell r="C1109" t="str">
            <v>在庫実績(社内)</v>
          </cell>
          <cell r="D1109">
            <v>1</v>
          </cell>
          <cell r="E1109">
            <v>1</v>
          </cell>
          <cell r="F1109">
            <v>1</v>
          </cell>
          <cell r="G1109">
            <v>1</v>
          </cell>
          <cell r="H1109">
            <v>1</v>
          </cell>
          <cell r="I1109">
            <v>1</v>
          </cell>
          <cell r="J1109">
            <v>1</v>
          </cell>
          <cell r="K1109">
            <v>1</v>
          </cell>
          <cell r="L1109">
            <v>1</v>
          </cell>
          <cell r="M1109">
            <v>1</v>
          </cell>
          <cell r="N1109">
            <v>1</v>
          </cell>
          <cell r="O1109">
            <v>1</v>
          </cell>
          <cell r="P1109">
            <v>1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0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</row>
        <row r="1110">
          <cell r="C1110" t="str">
            <v>在庫実績(物流)</v>
          </cell>
          <cell r="D1110">
            <v>10</v>
          </cell>
          <cell r="E1110">
            <v>10</v>
          </cell>
          <cell r="F1110">
            <v>10</v>
          </cell>
          <cell r="G1110">
            <v>10</v>
          </cell>
          <cell r="H1110">
            <v>10</v>
          </cell>
          <cell r="I1110">
            <v>10</v>
          </cell>
          <cell r="J1110">
            <v>10</v>
          </cell>
          <cell r="K1110">
            <v>10</v>
          </cell>
          <cell r="L1110">
            <v>10</v>
          </cell>
          <cell r="M1110">
            <v>10</v>
          </cell>
          <cell r="N1110">
            <v>10</v>
          </cell>
          <cell r="O1110">
            <v>10</v>
          </cell>
          <cell r="P1110">
            <v>10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  <cell r="AI1110">
            <v>0</v>
          </cell>
        </row>
        <row r="1111">
          <cell r="C1111" t="str">
            <v>差異</v>
          </cell>
          <cell r="D1111">
            <v>-1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-11</v>
          </cell>
          <cell r="R1111">
            <v>-11</v>
          </cell>
          <cell r="S1111">
            <v>-11</v>
          </cell>
          <cell r="T1111">
            <v>-11</v>
          </cell>
          <cell r="U1111">
            <v>-11</v>
          </cell>
          <cell r="V1111">
            <v>-11</v>
          </cell>
          <cell r="W1111">
            <v>-11</v>
          </cell>
          <cell r="X1111">
            <v>-11</v>
          </cell>
          <cell r="Y1111">
            <v>-11</v>
          </cell>
          <cell r="Z1111">
            <v>-11</v>
          </cell>
          <cell r="AA1111">
            <v>-11</v>
          </cell>
          <cell r="AB1111">
            <v>-11</v>
          </cell>
          <cell r="AC1111">
            <v>-11</v>
          </cell>
          <cell r="AD1111">
            <v>-11</v>
          </cell>
          <cell r="AE1111">
            <v>-11</v>
          </cell>
          <cell r="AF1111">
            <v>-11</v>
          </cell>
          <cell r="AG1111">
            <v>-11</v>
          </cell>
          <cell r="AH1111">
            <v>-11</v>
          </cell>
          <cell r="AI1111">
            <v>-11</v>
          </cell>
        </row>
        <row r="1112">
          <cell r="C1112" t="str">
            <v>ﾊﾞﾝﾆﾝｸﾞ計画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</row>
        <row r="1113">
          <cell r="C1113" t="str">
            <v>ｵｰﾀﾞｰ変更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  <cell r="AI1113">
            <v>0</v>
          </cell>
        </row>
        <row r="1114">
          <cell r="B1114" t="str">
            <v>BMW中国</v>
          </cell>
          <cell r="C1114" t="str">
            <v>20日情報
(工場出荷)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0</v>
          </cell>
          <cell r="Y1114">
            <v>0</v>
          </cell>
          <cell r="Z1114">
            <v>0</v>
          </cell>
          <cell r="AA1114">
            <v>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</row>
        <row r="1115">
          <cell r="B1115">
            <v>945501901</v>
          </cell>
          <cell r="C1115" t="str">
            <v>梱包計画</v>
          </cell>
          <cell r="D1115">
            <v>0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</row>
        <row r="1116">
          <cell r="C1116" t="str">
            <v>(調整）</v>
          </cell>
        </row>
        <row r="1117">
          <cell r="D1117">
            <v>0</v>
          </cell>
          <cell r="E1117">
            <v>0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0</v>
          </cell>
        </row>
        <row r="1118">
          <cell r="D1118">
            <v>0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</row>
        <row r="1119">
          <cell r="D1119">
            <v>0</v>
          </cell>
          <cell r="E1119">
            <v>0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0</v>
          </cell>
        </row>
        <row r="1120">
          <cell r="D1120">
            <v>0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0</v>
          </cell>
          <cell r="AB1120">
            <v>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0</v>
          </cell>
        </row>
        <row r="1121">
          <cell r="D1121">
            <v>0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0</v>
          </cell>
          <cell r="Y1121">
            <v>0</v>
          </cell>
          <cell r="Z1121">
            <v>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</row>
        <row r="1122">
          <cell r="C1122" t="str">
            <v>手直し等</v>
          </cell>
        </row>
        <row r="1123">
          <cell r="C1123" t="str">
            <v>出荷実績</v>
          </cell>
          <cell r="E1123">
            <v>0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</row>
        <row r="1124">
          <cell r="C1124" t="str">
            <v>停止時間（昼勤）</v>
          </cell>
          <cell r="E1124">
            <v>0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</row>
        <row r="1125">
          <cell r="C1125" t="str">
            <v>停止時間（夜勤）</v>
          </cell>
          <cell r="E1125">
            <v>0</v>
          </cell>
          <cell r="F1125">
            <v>0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0</v>
          </cell>
          <cell r="AA1125">
            <v>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</row>
        <row r="1126">
          <cell r="B1126">
            <v>945501901</v>
          </cell>
          <cell r="C1126" t="str">
            <v>振替計画・実績</v>
          </cell>
          <cell r="E1126">
            <v>0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</row>
        <row r="1127">
          <cell r="C1127" t="str">
            <v>在庫計画</v>
          </cell>
          <cell r="D1127">
            <v>4</v>
          </cell>
          <cell r="E1127">
            <v>4</v>
          </cell>
          <cell r="F1127">
            <v>4</v>
          </cell>
          <cell r="G1127">
            <v>4</v>
          </cell>
          <cell r="H1127">
            <v>4</v>
          </cell>
          <cell r="I1127">
            <v>4</v>
          </cell>
          <cell r="J1127">
            <v>4</v>
          </cell>
          <cell r="K1127">
            <v>4</v>
          </cell>
          <cell r="L1127">
            <v>4</v>
          </cell>
          <cell r="M1127">
            <v>4</v>
          </cell>
          <cell r="N1127">
            <v>4</v>
          </cell>
          <cell r="O1127">
            <v>4</v>
          </cell>
          <cell r="P1127">
            <v>4</v>
          </cell>
          <cell r="Q1127">
            <v>4</v>
          </cell>
          <cell r="R1127">
            <v>4</v>
          </cell>
          <cell r="S1127">
            <v>4</v>
          </cell>
          <cell r="T1127">
            <v>4</v>
          </cell>
          <cell r="U1127">
            <v>4</v>
          </cell>
          <cell r="V1127">
            <v>4</v>
          </cell>
          <cell r="W1127">
            <v>4</v>
          </cell>
          <cell r="X1127">
            <v>4</v>
          </cell>
          <cell r="Y1127">
            <v>4</v>
          </cell>
          <cell r="Z1127">
            <v>4</v>
          </cell>
          <cell r="AA1127">
            <v>4</v>
          </cell>
          <cell r="AB1127">
            <v>4</v>
          </cell>
          <cell r="AC1127">
            <v>4</v>
          </cell>
          <cell r="AD1127">
            <v>4</v>
          </cell>
          <cell r="AE1127">
            <v>4</v>
          </cell>
          <cell r="AF1127">
            <v>4</v>
          </cell>
          <cell r="AG1127">
            <v>4</v>
          </cell>
          <cell r="AH1127">
            <v>4</v>
          </cell>
          <cell r="AI1127">
            <v>4</v>
          </cell>
        </row>
        <row r="1128">
          <cell r="C1128" t="str">
            <v>在庫実績(社内)</v>
          </cell>
          <cell r="D1128">
            <v>0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</row>
        <row r="1129">
          <cell r="C1129" t="str">
            <v>在庫実績(物流)</v>
          </cell>
          <cell r="D1129">
            <v>4</v>
          </cell>
          <cell r="E1129">
            <v>4</v>
          </cell>
          <cell r="F1129">
            <v>4</v>
          </cell>
          <cell r="G1129">
            <v>4</v>
          </cell>
          <cell r="H1129">
            <v>4</v>
          </cell>
          <cell r="I1129">
            <v>4</v>
          </cell>
          <cell r="J1129">
            <v>4</v>
          </cell>
          <cell r="K1129">
            <v>4</v>
          </cell>
          <cell r="L1129">
            <v>4</v>
          </cell>
          <cell r="M1129">
            <v>4</v>
          </cell>
          <cell r="N1129">
            <v>4</v>
          </cell>
          <cell r="O1129">
            <v>4</v>
          </cell>
          <cell r="P1129">
            <v>4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0</v>
          </cell>
        </row>
        <row r="1130">
          <cell r="C1130" t="str">
            <v>差異</v>
          </cell>
          <cell r="D1130">
            <v>0</v>
          </cell>
          <cell r="E1130">
            <v>0</v>
          </cell>
          <cell r="F1130">
            <v>0</v>
          </cell>
          <cell r="G1130">
            <v>0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-4</v>
          </cell>
          <cell r="R1130">
            <v>-4</v>
          </cell>
          <cell r="S1130">
            <v>-4</v>
          </cell>
          <cell r="T1130">
            <v>-4</v>
          </cell>
          <cell r="U1130">
            <v>-4</v>
          </cell>
          <cell r="V1130">
            <v>-4</v>
          </cell>
          <cell r="W1130">
            <v>-4</v>
          </cell>
          <cell r="X1130">
            <v>-4</v>
          </cell>
          <cell r="Y1130">
            <v>-4</v>
          </cell>
          <cell r="Z1130">
            <v>-4</v>
          </cell>
          <cell r="AA1130">
            <v>-4</v>
          </cell>
          <cell r="AB1130">
            <v>-4</v>
          </cell>
          <cell r="AC1130">
            <v>-4</v>
          </cell>
          <cell r="AD1130">
            <v>-4</v>
          </cell>
          <cell r="AE1130">
            <v>-4</v>
          </cell>
          <cell r="AF1130">
            <v>-4</v>
          </cell>
          <cell r="AG1130">
            <v>-4</v>
          </cell>
          <cell r="AH1130">
            <v>-4</v>
          </cell>
          <cell r="AI1130">
            <v>-4</v>
          </cell>
        </row>
        <row r="1131">
          <cell r="C1131" t="str">
            <v>ﾊﾞﾝﾆﾝｸﾞ計画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0</v>
          </cell>
          <cell r="Z1131">
            <v>0</v>
          </cell>
          <cell r="AA1131">
            <v>0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0</v>
          </cell>
        </row>
        <row r="1132">
          <cell r="C1132" t="str">
            <v>ｵｰﾀﾞｰ変更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</row>
        <row r="1133">
          <cell r="B1133" t="str">
            <v>BMWｲﾝﾄﾞ</v>
          </cell>
          <cell r="C1133" t="str">
            <v>20日情報
(工場出荷)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</row>
        <row r="1134">
          <cell r="B1134">
            <v>984421901</v>
          </cell>
          <cell r="C1134" t="str">
            <v>梱包計画</v>
          </cell>
          <cell r="D1134">
            <v>10</v>
          </cell>
          <cell r="E1134">
            <v>0</v>
          </cell>
          <cell r="F1134">
            <v>0</v>
          </cell>
          <cell r="G1134">
            <v>5</v>
          </cell>
          <cell r="H1134">
            <v>5</v>
          </cell>
          <cell r="I1134">
            <v>5</v>
          </cell>
          <cell r="J1134">
            <v>5</v>
          </cell>
          <cell r="K1134">
            <v>5</v>
          </cell>
          <cell r="L1134">
            <v>0</v>
          </cell>
          <cell r="M1134">
            <v>0</v>
          </cell>
          <cell r="N1134">
            <v>5</v>
          </cell>
          <cell r="O1134">
            <v>5</v>
          </cell>
          <cell r="P1134">
            <v>5</v>
          </cell>
          <cell r="Q1134">
            <v>5</v>
          </cell>
          <cell r="R1134">
            <v>5</v>
          </cell>
          <cell r="S1134">
            <v>0</v>
          </cell>
          <cell r="T1134">
            <v>0</v>
          </cell>
          <cell r="U1134">
            <v>20</v>
          </cell>
          <cell r="V1134">
            <v>20</v>
          </cell>
          <cell r="W1134">
            <v>20</v>
          </cell>
          <cell r="X1134">
            <v>20</v>
          </cell>
          <cell r="Y1134">
            <v>20</v>
          </cell>
          <cell r="Z1134">
            <v>0</v>
          </cell>
          <cell r="AA1134">
            <v>0</v>
          </cell>
          <cell r="AB1134">
            <v>25</v>
          </cell>
          <cell r="AC1134">
            <v>25</v>
          </cell>
          <cell r="AD1134">
            <v>25</v>
          </cell>
          <cell r="AE1134">
            <v>25</v>
          </cell>
          <cell r="AF1134">
            <v>25</v>
          </cell>
          <cell r="AG1134">
            <v>0</v>
          </cell>
          <cell r="AH1134">
            <v>0</v>
          </cell>
          <cell r="AI1134">
            <v>0</v>
          </cell>
        </row>
        <row r="1135">
          <cell r="C1135" t="str">
            <v>(調整）</v>
          </cell>
          <cell r="G1135">
            <v>-5</v>
          </cell>
          <cell r="H1135">
            <v>-5</v>
          </cell>
          <cell r="I1135">
            <v>-5</v>
          </cell>
          <cell r="J1135">
            <v>-5</v>
          </cell>
          <cell r="K1135">
            <v>-5</v>
          </cell>
          <cell r="N1135">
            <v>-5</v>
          </cell>
          <cell r="O1135">
            <v>-5</v>
          </cell>
          <cell r="P1135">
            <v>-5</v>
          </cell>
          <cell r="Q1135">
            <v>-5</v>
          </cell>
          <cell r="R1135">
            <v>-5</v>
          </cell>
          <cell r="U1135">
            <v>10</v>
          </cell>
          <cell r="V1135">
            <v>10</v>
          </cell>
          <cell r="W1135">
            <v>10</v>
          </cell>
          <cell r="X1135">
            <v>10</v>
          </cell>
          <cell r="Y1135">
            <v>10</v>
          </cell>
          <cell r="AB1135">
            <v>15</v>
          </cell>
          <cell r="AC1135">
            <v>15</v>
          </cell>
          <cell r="AD1135">
            <v>15</v>
          </cell>
          <cell r="AE1135">
            <v>15</v>
          </cell>
          <cell r="AF1135">
            <v>15</v>
          </cell>
        </row>
        <row r="1136">
          <cell r="D1136">
            <v>0</v>
          </cell>
          <cell r="E1136">
            <v>0</v>
          </cell>
          <cell r="F1136">
            <v>0</v>
          </cell>
          <cell r="G1136">
            <v>0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0</v>
          </cell>
          <cell r="AB1136">
            <v>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</row>
        <row r="1137">
          <cell r="D1137">
            <v>0</v>
          </cell>
          <cell r="E1137">
            <v>0</v>
          </cell>
          <cell r="F1137">
            <v>0</v>
          </cell>
          <cell r="G1137">
            <v>0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</row>
        <row r="1138">
          <cell r="D1138">
            <v>0</v>
          </cell>
          <cell r="E1138">
            <v>0</v>
          </cell>
          <cell r="F1138">
            <v>0</v>
          </cell>
          <cell r="G1138">
            <v>0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0</v>
          </cell>
          <cell r="AB1138">
            <v>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</row>
        <row r="1139">
          <cell r="D1139">
            <v>0</v>
          </cell>
          <cell r="E1139">
            <v>0</v>
          </cell>
          <cell r="F1139">
            <v>0</v>
          </cell>
          <cell r="G1139">
            <v>0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</row>
        <row r="1140">
          <cell r="D1140">
            <v>0</v>
          </cell>
          <cell r="E1140">
            <v>0</v>
          </cell>
          <cell r="F1140">
            <v>0</v>
          </cell>
          <cell r="G1140">
            <v>0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</row>
        <row r="1141">
          <cell r="C1141" t="str">
            <v>手直し等</v>
          </cell>
        </row>
        <row r="1142">
          <cell r="C1142" t="str">
            <v>出荷実績</v>
          </cell>
          <cell r="E1142">
            <v>0</v>
          </cell>
          <cell r="F1142">
            <v>0</v>
          </cell>
          <cell r="G1142">
            <v>5</v>
          </cell>
          <cell r="H1142">
            <v>5</v>
          </cell>
          <cell r="I1142">
            <v>5</v>
          </cell>
          <cell r="J1142">
            <v>5</v>
          </cell>
          <cell r="K1142">
            <v>5</v>
          </cell>
          <cell r="L1142">
            <v>0</v>
          </cell>
          <cell r="M1142">
            <v>0</v>
          </cell>
          <cell r="N1142">
            <v>5</v>
          </cell>
          <cell r="O1142">
            <v>5</v>
          </cell>
          <cell r="P1142">
            <v>5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</row>
        <row r="1143">
          <cell r="C1143" t="str">
            <v>停止時間（昼勤）</v>
          </cell>
          <cell r="E1143">
            <v>0</v>
          </cell>
          <cell r="F1143">
            <v>0</v>
          </cell>
          <cell r="G1143">
            <v>0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</row>
        <row r="1144">
          <cell r="C1144" t="str">
            <v>停止時間（夜勤）</v>
          </cell>
          <cell r="E1144">
            <v>0</v>
          </cell>
          <cell r="F1144">
            <v>0</v>
          </cell>
          <cell r="G1144">
            <v>0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</row>
        <row r="1145">
          <cell r="B1145">
            <v>984421901</v>
          </cell>
          <cell r="C1145" t="str">
            <v>振替計画・実績</v>
          </cell>
          <cell r="E1145">
            <v>0</v>
          </cell>
          <cell r="F1145">
            <v>0</v>
          </cell>
          <cell r="G1145">
            <v>0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0</v>
          </cell>
        </row>
        <row r="1146">
          <cell r="C1146" t="str">
            <v>在庫計画</v>
          </cell>
          <cell r="D1146">
            <v>101</v>
          </cell>
          <cell r="E1146">
            <v>101</v>
          </cell>
          <cell r="F1146">
            <v>101</v>
          </cell>
          <cell r="G1146">
            <v>108.5</v>
          </cell>
          <cell r="H1146">
            <v>113.5</v>
          </cell>
          <cell r="I1146">
            <v>118.5</v>
          </cell>
          <cell r="J1146">
            <v>118.5</v>
          </cell>
          <cell r="K1146">
            <v>118.5</v>
          </cell>
          <cell r="L1146">
            <v>118.5</v>
          </cell>
          <cell r="M1146">
            <v>118.5</v>
          </cell>
          <cell r="N1146">
            <v>123.5</v>
          </cell>
          <cell r="O1146">
            <v>128.5</v>
          </cell>
          <cell r="P1146">
            <v>133.5</v>
          </cell>
          <cell r="Q1146">
            <v>138.5</v>
          </cell>
          <cell r="R1146">
            <v>143.5</v>
          </cell>
          <cell r="S1146">
            <v>47.5</v>
          </cell>
          <cell r="T1146">
            <v>47.5</v>
          </cell>
          <cell r="U1146">
            <v>60</v>
          </cell>
          <cell r="V1146">
            <v>80</v>
          </cell>
          <cell r="W1146">
            <v>55</v>
          </cell>
          <cell r="X1146">
            <v>75</v>
          </cell>
          <cell r="Y1146">
            <v>50</v>
          </cell>
          <cell r="Z1146">
            <v>50</v>
          </cell>
          <cell r="AA1146">
            <v>50</v>
          </cell>
          <cell r="AB1146">
            <v>72.5</v>
          </cell>
          <cell r="AC1146">
            <v>97.5</v>
          </cell>
          <cell r="AD1146">
            <v>122.5</v>
          </cell>
          <cell r="AE1146">
            <v>112.5</v>
          </cell>
          <cell r="AF1146">
            <v>137.5</v>
          </cell>
          <cell r="AG1146">
            <v>102.5</v>
          </cell>
          <cell r="AH1146">
            <v>102.5</v>
          </cell>
          <cell r="AI1146">
            <v>102.5</v>
          </cell>
        </row>
        <row r="1147">
          <cell r="C1147" t="str">
            <v>在庫実績(社内)</v>
          </cell>
          <cell r="D1147">
            <v>0</v>
          </cell>
          <cell r="E1147">
            <v>0</v>
          </cell>
          <cell r="F1147">
            <v>0</v>
          </cell>
          <cell r="G1147">
            <v>0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0</v>
          </cell>
          <cell r="AA1147">
            <v>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</row>
        <row r="1148">
          <cell r="C1148" t="str">
            <v>在庫実績(物流)</v>
          </cell>
          <cell r="D1148">
            <v>101</v>
          </cell>
          <cell r="E1148">
            <v>101</v>
          </cell>
          <cell r="F1148">
            <v>101</v>
          </cell>
          <cell r="G1148">
            <v>106</v>
          </cell>
          <cell r="H1148">
            <v>111</v>
          </cell>
          <cell r="I1148">
            <v>116</v>
          </cell>
          <cell r="J1148">
            <v>116</v>
          </cell>
          <cell r="K1148">
            <v>116</v>
          </cell>
          <cell r="L1148">
            <v>116</v>
          </cell>
          <cell r="M1148">
            <v>116</v>
          </cell>
          <cell r="N1148">
            <v>121</v>
          </cell>
          <cell r="O1148">
            <v>126</v>
          </cell>
          <cell r="P1148">
            <v>131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</row>
        <row r="1149">
          <cell r="C1149" t="str">
            <v>差異</v>
          </cell>
          <cell r="D1149">
            <v>0</v>
          </cell>
          <cell r="E1149">
            <v>0</v>
          </cell>
          <cell r="F1149">
            <v>0</v>
          </cell>
          <cell r="G1149">
            <v>-2.5</v>
          </cell>
          <cell r="H1149">
            <v>-2.5</v>
          </cell>
          <cell r="I1149">
            <v>-2.5</v>
          </cell>
          <cell r="J1149">
            <v>-2.5</v>
          </cell>
          <cell r="K1149">
            <v>-2.5</v>
          </cell>
          <cell r="L1149">
            <v>-2.5</v>
          </cell>
          <cell r="M1149">
            <v>-2.5</v>
          </cell>
          <cell r="N1149">
            <v>-2.5</v>
          </cell>
          <cell r="O1149">
            <v>-2.5</v>
          </cell>
          <cell r="P1149">
            <v>-2.5</v>
          </cell>
          <cell r="Q1149">
            <v>-138.5</v>
          </cell>
          <cell r="R1149">
            <v>-143.5</v>
          </cell>
          <cell r="S1149">
            <v>-47.5</v>
          </cell>
          <cell r="T1149">
            <v>-47.5</v>
          </cell>
          <cell r="U1149">
            <v>-60</v>
          </cell>
          <cell r="V1149">
            <v>-80</v>
          </cell>
          <cell r="W1149">
            <v>-55</v>
          </cell>
          <cell r="X1149">
            <v>-75</v>
          </cell>
          <cell r="Y1149">
            <v>-50</v>
          </cell>
          <cell r="Z1149">
            <v>-50</v>
          </cell>
          <cell r="AA1149">
            <v>-50</v>
          </cell>
          <cell r="AB1149">
            <v>-72.5</v>
          </cell>
          <cell r="AC1149">
            <v>-97.5</v>
          </cell>
          <cell r="AD1149">
            <v>-122.5</v>
          </cell>
          <cell r="AE1149">
            <v>-112.5</v>
          </cell>
          <cell r="AF1149">
            <v>-137.5</v>
          </cell>
          <cell r="AG1149">
            <v>-102.5</v>
          </cell>
          <cell r="AH1149">
            <v>-102.5</v>
          </cell>
          <cell r="AI1149">
            <v>-102.5</v>
          </cell>
        </row>
        <row r="1150">
          <cell r="C1150" t="str">
            <v>ﾊﾞﾝﾆﾝｸﾞ計画</v>
          </cell>
          <cell r="E1150">
            <v>0</v>
          </cell>
          <cell r="F1150">
            <v>0</v>
          </cell>
          <cell r="G1150">
            <v>0</v>
          </cell>
          <cell r="H1150">
            <v>0</v>
          </cell>
          <cell r="I1150">
            <v>0</v>
          </cell>
          <cell r="J1150">
            <v>5</v>
          </cell>
          <cell r="K1150">
            <v>5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45</v>
          </cell>
          <cell r="X1150">
            <v>0</v>
          </cell>
          <cell r="Y1150">
            <v>45</v>
          </cell>
          <cell r="Z1150">
            <v>0</v>
          </cell>
          <cell r="AA1150">
            <v>0</v>
          </cell>
          <cell r="AB1150">
            <v>0</v>
          </cell>
          <cell r="AC1150">
            <v>0</v>
          </cell>
          <cell r="AD1150">
            <v>0</v>
          </cell>
          <cell r="AE1150">
            <v>35</v>
          </cell>
          <cell r="AF1150">
            <v>0</v>
          </cell>
          <cell r="AG1150">
            <v>35</v>
          </cell>
          <cell r="AH1150">
            <v>0</v>
          </cell>
          <cell r="AI1150">
            <v>0</v>
          </cell>
        </row>
        <row r="1151">
          <cell r="C1151" t="str">
            <v>ｵｰﾀﾞｰ変更</v>
          </cell>
          <cell r="D1151">
            <v>0</v>
          </cell>
          <cell r="E1151">
            <v>0</v>
          </cell>
          <cell r="F1151">
            <v>0</v>
          </cell>
          <cell r="G1151">
            <v>0</v>
          </cell>
          <cell r="I1151">
            <v>5</v>
          </cell>
          <cell r="J1151">
            <v>5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V1151">
            <v>45</v>
          </cell>
          <cell r="W1151">
            <v>0</v>
          </cell>
          <cell r="X1151">
            <v>45</v>
          </cell>
          <cell r="Y1151">
            <v>0</v>
          </cell>
          <cell r="Z1151">
            <v>0</v>
          </cell>
          <cell r="AA1151">
            <v>0</v>
          </cell>
          <cell r="AB1151">
            <v>0</v>
          </cell>
          <cell r="AC1151">
            <v>0</v>
          </cell>
          <cell r="AD1151">
            <v>35</v>
          </cell>
          <cell r="AE1151">
            <v>0</v>
          </cell>
          <cell r="AF1151">
            <v>35</v>
          </cell>
          <cell r="AG1151">
            <v>0</v>
          </cell>
          <cell r="AH1151">
            <v>0</v>
          </cell>
          <cell r="AI1151">
            <v>0</v>
          </cell>
        </row>
        <row r="1152">
          <cell r="B1152" t="str">
            <v>BMWﾓﾝｽ</v>
          </cell>
          <cell r="C1152" t="str">
            <v>20日情報
(工場出荷)</v>
          </cell>
          <cell r="E1152">
            <v>0</v>
          </cell>
          <cell r="F1152">
            <v>0</v>
          </cell>
          <cell r="G1152">
            <v>0</v>
          </cell>
          <cell r="H1152">
            <v>5</v>
          </cell>
          <cell r="I1152">
            <v>0</v>
          </cell>
          <cell r="J1152">
            <v>5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</row>
        <row r="1153">
          <cell r="C1153" t="str">
            <v>ﾊﾞﾝﾆﾝｸﾞ計画</v>
          </cell>
          <cell r="E1153">
            <v>0</v>
          </cell>
          <cell r="F1153">
            <v>0</v>
          </cell>
          <cell r="G1153">
            <v>0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96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</row>
        <row r="1154">
          <cell r="C1154" t="str">
            <v>ｵｰﾀﾞｰ変更</v>
          </cell>
          <cell r="D1154">
            <v>0</v>
          </cell>
          <cell r="E1154">
            <v>0</v>
          </cell>
          <cell r="F1154">
            <v>0</v>
          </cell>
          <cell r="G1154">
            <v>0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96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</row>
        <row r="1155">
          <cell r="B1155" t="str">
            <v>BMWｲﾝﾄﾞ</v>
          </cell>
          <cell r="C1155" t="str">
            <v>20日情報
(工場出荷)</v>
          </cell>
          <cell r="E1155">
            <v>0</v>
          </cell>
          <cell r="F1155">
            <v>0</v>
          </cell>
          <cell r="G1155">
            <v>0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96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</row>
        <row r="1156">
          <cell r="B1156">
            <v>947031901</v>
          </cell>
          <cell r="C1156" t="str">
            <v>梱包計画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</row>
        <row r="1157">
          <cell r="C1157" t="str">
            <v>(調整）</v>
          </cell>
        </row>
        <row r="1158"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</row>
        <row r="1159"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0</v>
          </cell>
          <cell r="AB1159">
            <v>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</row>
        <row r="1160"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0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</row>
        <row r="1161"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</row>
        <row r="1162"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</row>
        <row r="1163">
          <cell r="C1163" t="str">
            <v>手直し等</v>
          </cell>
        </row>
        <row r="1164">
          <cell r="C1164" t="str">
            <v>出荷実績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</row>
        <row r="1165">
          <cell r="C1165" t="str">
            <v>停止時間（昼勤）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</row>
        <row r="1166">
          <cell r="C1166" t="str">
            <v>停止時間（夜勤）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</row>
        <row r="1167">
          <cell r="B1167">
            <v>947031901</v>
          </cell>
          <cell r="C1167" t="str">
            <v>振替計画・実績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</row>
        <row r="1168">
          <cell r="C1168" t="str">
            <v>在庫計画</v>
          </cell>
          <cell r="D1168">
            <v>0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</row>
        <row r="1169">
          <cell r="C1169" t="str">
            <v>在庫実績(社内)</v>
          </cell>
          <cell r="D1169">
            <v>0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</row>
        <row r="1170">
          <cell r="C1170" t="str">
            <v>在庫実績(物流)</v>
          </cell>
          <cell r="D1170">
            <v>0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</row>
        <row r="1171">
          <cell r="C1171" t="str">
            <v>差異</v>
          </cell>
          <cell r="D1171">
            <v>0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</row>
        <row r="1172">
          <cell r="C1172" t="str">
            <v>ﾊﾞﾝﾆﾝｸﾞ計画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</row>
        <row r="1173">
          <cell r="C1173" t="str">
            <v>ｵｰﾀﾞｰ変更</v>
          </cell>
          <cell r="D1173">
            <v>0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0</v>
          </cell>
        </row>
        <row r="1174">
          <cell r="B1174" t="str">
            <v>BMWｲﾝﾄﾞ</v>
          </cell>
          <cell r="C1174" t="str">
            <v>20日情報
(工場出荷)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I1174">
            <v>0</v>
          </cell>
        </row>
        <row r="1175">
          <cell r="B1175">
            <v>984424501</v>
          </cell>
          <cell r="C1175" t="str">
            <v>梱包計画</v>
          </cell>
          <cell r="D1175">
            <v>110</v>
          </cell>
          <cell r="E1175">
            <v>0</v>
          </cell>
          <cell r="F1175">
            <v>0</v>
          </cell>
          <cell r="G1175">
            <v>85</v>
          </cell>
          <cell r="H1175">
            <v>85</v>
          </cell>
          <cell r="I1175">
            <v>85</v>
          </cell>
          <cell r="J1175">
            <v>90</v>
          </cell>
          <cell r="K1175">
            <v>90</v>
          </cell>
          <cell r="L1175">
            <v>0</v>
          </cell>
          <cell r="M1175">
            <v>0</v>
          </cell>
          <cell r="N1175">
            <v>80</v>
          </cell>
          <cell r="O1175">
            <v>85</v>
          </cell>
          <cell r="P1175">
            <v>85</v>
          </cell>
          <cell r="Q1175">
            <v>90</v>
          </cell>
          <cell r="R1175">
            <v>90</v>
          </cell>
          <cell r="S1175">
            <v>0</v>
          </cell>
          <cell r="T1175">
            <v>0</v>
          </cell>
          <cell r="U1175">
            <v>80</v>
          </cell>
          <cell r="V1175">
            <v>80</v>
          </cell>
          <cell r="W1175">
            <v>85</v>
          </cell>
          <cell r="X1175">
            <v>85</v>
          </cell>
          <cell r="Y1175">
            <v>90</v>
          </cell>
          <cell r="Z1175">
            <v>0</v>
          </cell>
          <cell r="AA1175">
            <v>0</v>
          </cell>
          <cell r="AB1175">
            <v>90</v>
          </cell>
          <cell r="AC1175">
            <v>90</v>
          </cell>
          <cell r="AD1175">
            <v>90</v>
          </cell>
          <cell r="AE1175">
            <v>95</v>
          </cell>
          <cell r="AF1175">
            <v>90</v>
          </cell>
          <cell r="AG1175">
            <v>0</v>
          </cell>
          <cell r="AH1175">
            <v>0</v>
          </cell>
          <cell r="AI1175">
            <v>0</v>
          </cell>
        </row>
        <row r="1176">
          <cell r="C1176" t="str">
            <v>(調整）</v>
          </cell>
          <cell r="U1176">
            <v>-5</v>
          </cell>
          <cell r="V1176">
            <v>-5</v>
          </cell>
          <cell r="AB1176">
            <v>5</v>
          </cell>
          <cell r="AC1176">
            <v>5</v>
          </cell>
          <cell r="AD1176">
            <v>5</v>
          </cell>
          <cell r="AE1176">
            <v>5</v>
          </cell>
          <cell r="AF1176">
            <v>5</v>
          </cell>
        </row>
        <row r="1177">
          <cell r="D1177">
            <v>0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</row>
        <row r="1178">
          <cell r="D1178">
            <v>0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</row>
        <row r="1179">
          <cell r="D1179">
            <v>0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0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  <cell r="W1179">
            <v>0</v>
          </cell>
          <cell r="X1179">
            <v>0</v>
          </cell>
          <cell r="Y1179">
            <v>0</v>
          </cell>
          <cell r="Z1179">
            <v>0</v>
          </cell>
          <cell r="AA1179">
            <v>0</v>
          </cell>
          <cell r="AB1179">
            <v>0</v>
          </cell>
          <cell r="AC1179">
            <v>0</v>
          </cell>
          <cell r="AD1179">
            <v>0</v>
          </cell>
          <cell r="AE1179">
            <v>0</v>
          </cell>
          <cell r="AF1179">
            <v>0</v>
          </cell>
          <cell r="AG1179">
            <v>0</v>
          </cell>
          <cell r="AH1179">
            <v>0</v>
          </cell>
          <cell r="AI1179">
            <v>0</v>
          </cell>
        </row>
        <row r="1180"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I1180">
            <v>0</v>
          </cell>
        </row>
        <row r="1181">
          <cell r="D1181">
            <v>320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0</v>
          </cell>
          <cell r="AB1181">
            <v>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0</v>
          </cell>
        </row>
        <row r="1182">
          <cell r="C1182" t="str">
            <v>手直し等</v>
          </cell>
        </row>
        <row r="1183">
          <cell r="C1183" t="str">
            <v>出荷実績</v>
          </cell>
          <cell r="E1183">
            <v>0</v>
          </cell>
          <cell r="F1183">
            <v>0</v>
          </cell>
          <cell r="G1183">
            <v>80</v>
          </cell>
          <cell r="H1183">
            <v>90</v>
          </cell>
          <cell r="I1183">
            <v>85</v>
          </cell>
          <cell r="J1183">
            <v>90</v>
          </cell>
          <cell r="K1183">
            <v>90</v>
          </cell>
          <cell r="L1183">
            <v>0</v>
          </cell>
          <cell r="M1183">
            <v>0</v>
          </cell>
          <cell r="N1183">
            <v>90</v>
          </cell>
          <cell r="O1183">
            <v>85</v>
          </cell>
          <cell r="P1183">
            <v>85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</row>
        <row r="1184">
          <cell r="C1184" t="str">
            <v>停止時間（昼勤）</v>
          </cell>
          <cell r="E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0</v>
          </cell>
          <cell r="Z1184">
            <v>0</v>
          </cell>
          <cell r="AA1184">
            <v>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</row>
        <row r="1185">
          <cell r="C1185" t="str">
            <v>停止時間（夜勤）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0</v>
          </cell>
          <cell r="AA1185">
            <v>0</v>
          </cell>
          <cell r="AB1185">
            <v>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</row>
        <row r="1186">
          <cell r="B1186">
            <v>984424501</v>
          </cell>
          <cell r="C1186" t="str">
            <v>振替計画・実績</v>
          </cell>
          <cell r="E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</row>
        <row r="1187">
          <cell r="C1187" t="str">
            <v>在庫計画</v>
          </cell>
          <cell r="D1187">
            <v>645</v>
          </cell>
          <cell r="E1187">
            <v>265</v>
          </cell>
          <cell r="F1187">
            <v>265</v>
          </cell>
          <cell r="G1187">
            <v>362.5</v>
          </cell>
          <cell r="H1187">
            <v>447.5</v>
          </cell>
          <cell r="I1187">
            <v>532.5</v>
          </cell>
          <cell r="J1187">
            <v>620</v>
          </cell>
          <cell r="K1187">
            <v>370</v>
          </cell>
          <cell r="L1187">
            <v>370</v>
          </cell>
          <cell r="M1187">
            <v>370</v>
          </cell>
          <cell r="N1187">
            <v>455</v>
          </cell>
          <cell r="O1187">
            <v>537.5</v>
          </cell>
          <cell r="P1187">
            <v>622.5</v>
          </cell>
          <cell r="Q1187">
            <v>710</v>
          </cell>
          <cell r="R1187">
            <v>800</v>
          </cell>
          <cell r="S1187">
            <v>460</v>
          </cell>
          <cell r="T1187">
            <v>460</v>
          </cell>
          <cell r="U1187">
            <v>545</v>
          </cell>
          <cell r="V1187">
            <v>625</v>
          </cell>
          <cell r="W1187">
            <v>707.5</v>
          </cell>
          <cell r="X1187">
            <v>792.5</v>
          </cell>
          <cell r="Y1187">
            <v>540</v>
          </cell>
          <cell r="Z1187">
            <v>540</v>
          </cell>
          <cell r="AA1187">
            <v>540</v>
          </cell>
          <cell r="AB1187">
            <v>630</v>
          </cell>
          <cell r="AC1187">
            <v>720</v>
          </cell>
          <cell r="AD1187">
            <v>810</v>
          </cell>
          <cell r="AE1187">
            <v>902.5</v>
          </cell>
          <cell r="AF1187">
            <v>995</v>
          </cell>
          <cell r="AG1187">
            <v>655</v>
          </cell>
          <cell r="AH1187">
            <v>655</v>
          </cell>
          <cell r="AI1187">
            <v>655</v>
          </cell>
        </row>
        <row r="1188">
          <cell r="C1188" t="str">
            <v>在庫実績(社内)</v>
          </cell>
          <cell r="D1188">
            <v>25</v>
          </cell>
          <cell r="E1188">
            <v>25</v>
          </cell>
          <cell r="F1188">
            <v>25</v>
          </cell>
          <cell r="G1188">
            <v>35</v>
          </cell>
          <cell r="H1188">
            <v>30</v>
          </cell>
          <cell r="I1188">
            <v>30</v>
          </cell>
          <cell r="J1188">
            <v>30</v>
          </cell>
          <cell r="K1188">
            <v>35</v>
          </cell>
          <cell r="L1188">
            <v>35</v>
          </cell>
          <cell r="M1188">
            <v>35</v>
          </cell>
          <cell r="N1188">
            <v>30</v>
          </cell>
          <cell r="O1188">
            <v>25</v>
          </cell>
          <cell r="P1188">
            <v>35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0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</row>
        <row r="1189">
          <cell r="C1189" t="str">
            <v>在庫実績(物流)</v>
          </cell>
          <cell r="D1189">
            <v>620</v>
          </cell>
          <cell r="E1189">
            <v>240</v>
          </cell>
          <cell r="F1189">
            <v>240</v>
          </cell>
          <cell r="G1189">
            <v>320</v>
          </cell>
          <cell r="H1189">
            <v>410</v>
          </cell>
          <cell r="I1189">
            <v>495</v>
          </cell>
          <cell r="J1189">
            <v>585</v>
          </cell>
          <cell r="K1189">
            <v>335</v>
          </cell>
          <cell r="L1189">
            <v>335</v>
          </cell>
          <cell r="M1189">
            <v>335</v>
          </cell>
          <cell r="N1189">
            <v>425</v>
          </cell>
          <cell r="O1189">
            <v>510</v>
          </cell>
          <cell r="P1189">
            <v>595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</row>
        <row r="1190">
          <cell r="C1190" t="str">
            <v>差異</v>
          </cell>
          <cell r="D1190">
            <v>-25</v>
          </cell>
          <cell r="E1190">
            <v>0</v>
          </cell>
          <cell r="F1190">
            <v>0</v>
          </cell>
          <cell r="G1190">
            <v>-7.5</v>
          </cell>
          <cell r="H1190">
            <v>-7.5</v>
          </cell>
          <cell r="I1190">
            <v>-7.5</v>
          </cell>
          <cell r="J1190">
            <v>-5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-2.5</v>
          </cell>
          <cell r="P1190">
            <v>7.5</v>
          </cell>
          <cell r="Q1190">
            <v>-710</v>
          </cell>
          <cell r="R1190">
            <v>-800</v>
          </cell>
          <cell r="S1190">
            <v>-460</v>
          </cell>
          <cell r="T1190">
            <v>-460</v>
          </cell>
          <cell r="U1190">
            <v>-545</v>
          </cell>
          <cell r="V1190">
            <v>-625</v>
          </cell>
          <cell r="W1190">
            <v>-707.5</v>
          </cell>
          <cell r="X1190">
            <v>-792.5</v>
          </cell>
          <cell r="Y1190">
            <v>-540</v>
          </cell>
          <cell r="Z1190">
            <v>-540</v>
          </cell>
          <cell r="AA1190">
            <v>-540</v>
          </cell>
          <cell r="AB1190">
            <v>-630</v>
          </cell>
          <cell r="AC1190">
            <v>-720</v>
          </cell>
          <cell r="AD1190">
            <v>-810</v>
          </cell>
          <cell r="AE1190">
            <v>-902.5</v>
          </cell>
          <cell r="AF1190">
            <v>-995</v>
          </cell>
          <cell r="AG1190">
            <v>-655</v>
          </cell>
          <cell r="AH1190">
            <v>-655</v>
          </cell>
          <cell r="AI1190">
            <v>-655</v>
          </cell>
        </row>
        <row r="1191">
          <cell r="C1191" t="str">
            <v>ﾊﾞﾝﾆﾝｸﾞ計画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0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</row>
        <row r="1192">
          <cell r="C1192" t="str">
            <v>ｵｰﾀﾞｰ変更</v>
          </cell>
          <cell r="D1192">
            <v>0</v>
          </cell>
          <cell r="E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</row>
        <row r="1193">
          <cell r="B1193" t="str">
            <v>BMWﾓﾝｽ</v>
          </cell>
          <cell r="C1193" t="str">
            <v>20日情報
(工場出荷)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0</v>
          </cell>
          <cell r="Y1193">
            <v>0</v>
          </cell>
          <cell r="Z1193">
            <v>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</row>
        <row r="1194">
          <cell r="C1194" t="str">
            <v>ﾊﾞﾝﾆﾝｸﾞ計画</v>
          </cell>
          <cell r="E1194">
            <v>380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0</v>
          </cell>
          <cell r="K1194">
            <v>340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340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340</v>
          </cell>
          <cell r="Z1194">
            <v>0</v>
          </cell>
          <cell r="AA1194">
            <v>0</v>
          </cell>
          <cell r="AB1194">
            <v>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340</v>
          </cell>
          <cell r="AH1194">
            <v>0</v>
          </cell>
          <cell r="AI1194">
            <v>0</v>
          </cell>
        </row>
        <row r="1195">
          <cell r="C1195" t="str">
            <v>ｵｰﾀﾞｰ変更</v>
          </cell>
          <cell r="D1195">
            <v>380</v>
          </cell>
          <cell r="E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340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340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340</v>
          </cell>
          <cell r="Y1195">
            <v>0</v>
          </cell>
          <cell r="Z1195">
            <v>0</v>
          </cell>
          <cell r="AA1195">
            <v>0</v>
          </cell>
          <cell r="AB1195">
            <v>0</v>
          </cell>
          <cell r="AC1195">
            <v>0</v>
          </cell>
          <cell r="AD1195">
            <v>0</v>
          </cell>
          <cell r="AE1195">
            <v>0</v>
          </cell>
          <cell r="AF1195">
            <v>340</v>
          </cell>
          <cell r="AG1195">
            <v>0</v>
          </cell>
          <cell r="AH1195">
            <v>0</v>
          </cell>
          <cell r="AI1195">
            <v>0</v>
          </cell>
        </row>
        <row r="1196">
          <cell r="B1196" t="str">
            <v>BMW中国</v>
          </cell>
          <cell r="C1196" t="str">
            <v>20日情報
(工場出荷)</v>
          </cell>
          <cell r="E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</v>
          </cell>
          <cell r="J1196">
            <v>340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340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340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340</v>
          </cell>
          <cell r="AG1196">
            <v>0</v>
          </cell>
          <cell r="AH1196">
            <v>0</v>
          </cell>
          <cell r="AI1196">
            <v>0</v>
          </cell>
        </row>
        <row r="1209">
          <cell r="E1209">
            <v>0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0</v>
          </cell>
        </row>
      </sheetData>
      <sheetData sheetId="8">
        <row r="9">
          <cell r="B9">
            <v>9828299780</v>
          </cell>
          <cell r="C9" t="str">
            <v>梱包計画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</row>
        <row r="10">
          <cell r="C10" t="str">
            <v>(調整）</v>
          </cell>
        </row>
        <row r="11"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 t="e">
            <v>#N/A</v>
          </cell>
          <cell r="I11" t="e">
            <v>#N/A</v>
          </cell>
          <cell r="J11" t="e">
            <v>#N/A</v>
          </cell>
          <cell r="K11" t="e">
            <v>#N/A</v>
          </cell>
          <cell r="L11" t="e">
            <v>#N/A</v>
          </cell>
          <cell r="M11" t="e">
            <v>#N/A</v>
          </cell>
          <cell r="N11" t="e">
            <v>#N/A</v>
          </cell>
          <cell r="O11" t="e">
            <v>#N/A</v>
          </cell>
          <cell r="P11" t="e">
            <v>#N/A</v>
          </cell>
          <cell r="Q11" t="e">
            <v>#N/A</v>
          </cell>
          <cell r="R11" t="e">
            <v>#N/A</v>
          </cell>
          <cell r="S11" t="e">
            <v>#N/A</v>
          </cell>
          <cell r="U11" t="e">
            <v>#N/A</v>
          </cell>
          <cell r="V11" t="e">
            <v>#N/A</v>
          </cell>
          <cell r="W11" t="e">
            <v>#N/A</v>
          </cell>
          <cell r="X11" t="e">
            <v>#N/A</v>
          </cell>
          <cell r="Y11" t="e">
            <v>#N/A</v>
          </cell>
          <cell r="Z11" t="e">
            <v>#N/A</v>
          </cell>
          <cell r="AA11" t="e">
            <v>#N/A</v>
          </cell>
          <cell r="AB11" t="e">
            <v>#N/A</v>
          </cell>
          <cell r="AC11" t="e">
            <v>#N/A</v>
          </cell>
          <cell r="AD11" t="e">
            <v>#N/A</v>
          </cell>
          <cell r="AE11" t="e">
            <v>#N/A</v>
          </cell>
          <cell r="AF11" t="e">
            <v>#N/A</v>
          </cell>
          <cell r="AG11" t="e">
            <v>#N/A</v>
          </cell>
          <cell r="AH11" t="e">
            <v>#N/A</v>
          </cell>
          <cell r="AI11" t="e">
            <v>#N/A</v>
          </cell>
        </row>
        <row r="12">
          <cell r="E12" t="e">
            <v>#N/A</v>
          </cell>
          <cell r="F12" t="e">
            <v>#N/A</v>
          </cell>
          <cell r="G12" t="e">
            <v>#N/A</v>
          </cell>
          <cell r="H12" t="e">
            <v>#N/A</v>
          </cell>
          <cell r="I12" t="e">
            <v>#N/A</v>
          </cell>
          <cell r="J12" t="e">
            <v>#N/A</v>
          </cell>
          <cell r="K12" t="e">
            <v>#N/A</v>
          </cell>
          <cell r="L12" t="e">
            <v>#N/A</v>
          </cell>
          <cell r="M12" t="e">
            <v>#N/A</v>
          </cell>
          <cell r="N12" t="e">
            <v>#N/A</v>
          </cell>
          <cell r="O12" t="e">
            <v>#N/A</v>
          </cell>
          <cell r="P12" t="e">
            <v>#N/A</v>
          </cell>
          <cell r="Q12" t="e">
            <v>#N/A</v>
          </cell>
          <cell r="R12" t="e">
            <v>#N/A</v>
          </cell>
          <cell r="S12" t="e">
            <v>#N/A</v>
          </cell>
          <cell r="T12" t="e">
            <v>#N/A</v>
          </cell>
          <cell r="U12" t="e">
            <v>#N/A</v>
          </cell>
          <cell r="V12" t="e">
            <v>#N/A</v>
          </cell>
          <cell r="W12" t="e">
            <v>#N/A</v>
          </cell>
          <cell r="X12" t="e">
            <v>#N/A</v>
          </cell>
          <cell r="Y12" t="e">
            <v>#N/A</v>
          </cell>
          <cell r="Z12" t="e">
            <v>#N/A</v>
          </cell>
          <cell r="AA12" t="e">
            <v>#N/A</v>
          </cell>
          <cell r="AB12" t="e">
            <v>#N/A</v>
          </cell>
          <cell r="AC12" t="e">
            <v>#N/A</v>
          </cell>
          <cell r="AD12" t="e">
            <v>#N/A</v>
          </cell>
          <cell r="AE12" t="e">
            <v>#N/A</v>
          </cell>
          <cell r="AF12" t="e">
            <v>#N/A</v>
          </cell>
          <cell r="AG12" t="e">
            <v>#N/A</v>
          </cell>
          <cell r="AH12" t="e">
            <v>#N/A</v>
          </cell>
          <cell r="AI12" t="e">
            <v>#N/A</v>
          </cell>
        </row>
        <row r="13">
          <cell r="E13" t="e">
            <v>#N/A</v>
          </cell>
          <cell r="F13" t="e">
            <v>#N/A</v>
          </cell>
          <cell r="G13" t="e">
            <v>#N/A</v>
          </cell>
          <cell r="H13" t="e">
            <v>#N/A</v>
          </cell>
          <cell r="I13" t="e">
            <v>#N/A</v>
          </cell>
          <cell r="J13" t="e">
            <v>#N/A</v>
          </cell>
          <cell r="K13" t="e">
            <v>#N/A</v>
          </cell>
          <cell r="L13" t="e">
            <v>#N/A</v>
          </cell>
          <cell r="M13" t="e">
            <v>#N/A</v>
          </cell>
          <cell r="N13" t="e">
            <v>#N/A</v>
          </cell>
          <cell r="O13" t="e">
            <v>#N/A</v>
          </cell>
          <cell r="P13" t="e">
            <v>#N/A</v>
          </cell>
          <cell r="Q13" t="e">
            <v>#N/A</v>
          </cell>
          <cell r="R13" t="e">
            <v>#N/A</v>
          </cell>
          <cell r="S13" t="e">
            <v>#N/A</v>
          </cell>
          <cell r="T13" t="e">
            <v>#N/A</v>
          </cell>
          <cell r="U13" t="e">
            <v>#N/A</v>
          </cell>
          <cell r="V13" t="e">
            <v>#N/A</v>
          </cell>
          <cell r="W13" t="e">
            <v>#N/A</v>
          </cell>
          <cell r="X13" t="e">
            <v>#N/A</v>
          </cell>
          <cell r="Y13" t="e">
            <v>#N/A</v>
          </cell>
          <cell r="Z13" t="e">
            <v>#N/A</v>
          </cell>
          <cell r="AA13" t="e">
            <v>#N/A</v>
          </cell>
          <cell r="AB13" t="e">
            <v>#N/A</v>
          </cell>
          <cell r="AC13" t="e">
            <v>#N/A</v>
          </cell>
          <cell r="AD13" t="e">
            <v>#N/A</v>
          </cell>
          <cell r="AE13" t="e">
            <v>#N/A</v>
          </cell>
          <cell r="AF13" t="e">
            <v>#N/A</v>
          </cell>
          <cell r="AG13" t="e">
            <v>#N/A</v>
          </cell>
          <cell r="AH13" t="e">
            <v>#N/A</v>
          </cell>
          <cell r="AI13" t="e">
            <v>#N/A</v>
          </cell>
        </row>
        <row r="14">
          <cell r="E14" t="e">
            <v>#N/A</v>
          </cell>
          <cell r="F14" t="e">
            <v>#N/A</v>
          </cell>
          <cell r="G14" t="e">
            <v>#N/A</v>
          </cell>
          <cell r="H14" t="e">
            <v>#N/A</v>
          </cell>
          <cell r="I14" t="e">
            <v>#N/A</v>
          </cell>
          <cell r="J14" t="e">
            <v>#N/A</v>
          </cell>
          <cell r="K14" t="e">
            <v>#N/A</v>
          </cell>
          <cell r="L14" t="e">
            <v>#N/A</v>
          </cell>
          <cell r="M14" t="e">
            <v>#N/A</v>
          </cell>
          <cell r="N14" t="e">
            <v>#N/A</v>
          </cell>
          <cell r="O14" t="e">
            <v>#N/A</v>
          </cell>
          <cell r="P14" t="e">
            <v>#N/A</v>
          </cell>
          <cell r="Q14" t="e">
            <v>#N/A</v>
          </cell>
          <cell r="R14" t="e">
            <v>#N/A</v>
          </cell>
          <cell r="S14" t="e">
            <v>#N/A</v>
          </cell>
          <cell r="T14" t="e">
            <v>#N/A</v>
          </cell>
          <cell r="U14" t="e">
            <v>#N/A</v>
          </cell>
          <cell r="V14" t="e">
            <v>#N/A</v>
          </cell>
          <cell r="W14" t="e">
            <v>#N/A</v>
          </cell>
          <cell r="X14" t="e">
            <v>#N/A</v>
          </cell>
          <cell r="Y14" t="e">
            <v>#N/A</v>
          </cell>
          <cell r="Z14" t="e">
            <v>#N/A</v>
          </cell>
          <cell r="AA14" t="e">
            <v>#N/A</v>
          </cell>
          <cell r="AB14" t="e">
            <v>#N/A</v>
          </cell>
          <cell r="AC14" t="e">
            <v>#N/A</v>
          </cell>
          <cell r="AD14" t="e">
            <v>#N/A</v>
          </cell>
          <cell r="AE14" t="e">
            <v>#N/A</v>
          </cell>
          <cell r="AF14" t="e">
            <v>#N/A</v>
          </cell>
          <cell r="AG14" t="e">
            <v>#N/A</v>
          </cell>
          <cell r="AH14" t="e">
            <v>#N/A</v>
          </cell>
          <cell r="AI14" t="e">
            <v>#N/A</v>
          </cell>
        </row>
        <row r="15">
          <cell r="D15" t="e">
            <v>#N/A</v>
          </cell>
          <cell r="E15" t="e">
            <v>#N/A</v>
          </cell>
          <cell r="F15" t="e">
            <v>#N/A</v>
          </cell>
          <cell r="G15" t="e">
            <v>#N/A</v>
          </cell>
          <cell r="H15" t="e">
            <v>#N/A</v>
          </cell>
          <cell r="I15" t="e">
            <v>#N/A</v>
          </cell>
          <cell r="J15" t="e">
            <v>#N/A</v>
          </cell>
          <cell r="K15" t="e">
            <v>#N/A</v>
          </cell>
          <cell r="L15" t="e">
            <v>#N/A</v>
          </cell>
          <cell r="M15" t="e">
            <v>#N/A</v>
          </cell>
          <cell r="N15" t="e">
            <v>#N/A</v>
          </cell>
          <cell r="O15" t="e">
            <v>#N/A</v>
          </cell>
          <cell r="P15" t="e">
            <v>#N/A</v>
          </cell>
          <cell r="Q15" t="e">
            <v>#N/A</v>
          </cell>
          <cell r="R15" t="e">
            <v>#N/A</v>
          </cell>
          <cell r="S15" t="e">
            <v>#N/A</v>
          </cell>
          <cell r="T15" t="e">
            <v>#N/A</v>
          </cell>
          <cell r="U15" t="e">
            <v>#N/A</v>
          </cell>
          <cell r="V15" t="e">
            <v>#N/A</v>
          </cell>
          <cell r="W15" t="e">
            <v>#N/A</v>
          </cell>
          <cell r="X15" t="e">
            <v>#N/A</v>
          </cell>
          <cell r="Y15" t="e">
            <v>#N/A</v>
          </cell>
          <cell r="Z15" t="e">
            <v>#N/A</v>
          </cell>
          <cell r="AA15" t="e">
            <v>#N/A</v>
          </cell>
          <cell r="AB15" t="e">
            <v>#N/A</v>
          </cell>
          <cell r="AC15" t="e">
            <v>#N/A</v>
          </cell>
          <cell r="AD15" t="e">
            <v>#N/A</v>
          </cell>
          <cell r="AE15" t="e">
            <v>#N/A</v>
          </cell>
          <cell r="AF15" t="e">
            <v>#N/A</v>
          </cell>
          <cell r="AG15" t="e">
            <v>#N/A</v>
          </cell>
          <cell r="AH15" t="e">
            <v>#N/A</v>
          </cell>
          <cell r="AI15" t="e">
            <v>#N/A</v>
          </cell>
        </row>
        <row r="16">
          <cell r="C16" t="str">
            <v>手直し等</v>
          </cell>
        </row>
        <row r="17">
          <cell r="C17" t="str">
            <v>出荷実績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</row>
        <row r="18">
          <cell r="C18" t="str">
            <v>停止時間（昼勤）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</row>
        <row r="19">
          <cell r="C19" t="str">
            <v>停止時間（夜勤）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</row>
        <row r="20">
          <cell r="B20">
            <v>9828299780</v>
          </cell>
          <cell r="C20" t="str">
            <v>振替計画・実績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</row>
        <row r="21">
          <cell r="C21" t="str">
            <v>在庫計画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</row>
        <row r="22">
          <cell r="C22" t="str">
            <v>在庫実績(社内)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</row>
        <row r="23">
          <cell r="C23" t="str">
            <v>在庫実績(物流)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</row>
        <row r="24">
          <cell r="C24" t="str">
            <v>差異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</row>
        <row r="25">
          <cell r="C25" t="str">
            <v>ﾊﾞﾝﾆﾝｸﾞ計画</v>
          </cell>
        </row>
        <row r="26">
          <cell r="C26" t="str">
            <v>ｵｰﾀﾞｰ変更</v>
          </cell>
        </row>
        <row r="27">
          <cell r="C27" t="str">
            <v>20日情報
(工場出荷)</v>
          </cell>
        </row>
        <row r="28">
          <cell r="C28" t="str">
            <v>ﾊﾞﾝﾆﾝｸﾞ計画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</row>
        <row r="29">
          <cell r="B29" t="str">
            <v>PSAﾓﾝｽ</v>
          </cell>
          <cell r="C29" t="str">
            <v>ｵｰﾀﾞｰ変更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C30" t="str">
            <v>20日情報
(工場出荷)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</row>
        <row r="31">
          <cell r="B31">
            <v>9828330480</v>
          </cell>
          <cell r="C31" t="str">
            <v>梱包計画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</row>
        <row r="32">
          <cell r="C32" t="str">
            <v>(調整）</v>
          </cell>
        </row>
        <row r="33">
          <cell r="D33" t="e">
            <v>#N/A</v>
          </cell>
          <cell r="E33" t="e">
            <v>#N/A</v>
          </cell>
          <cell r="F33" t="e">
            <v>#N/A</v>
          </cell>
          <cell r="G33" t="e">
            <v>#N/A</v>
          </cell>
          <cell r="H33" t="e">
            <v>#N/A</v>
          </cell>
          <cell r="I33" t="e">
            <v>#N/A</v>
          </cell>
          <cell r="J33" t="e">
            <v>#N/A</v>
          </cell>
          <cell r="K33" t="e">
            <v>#N/A</v>
          </cell>
          <cell r="L33" t="e">
            <v>#N/A</v>
          </cell>
          <cell r="M33" t="e">
            <v>#N/A</v>
          </cell>
          <cell r="N33" t="e">
            <v>#N/A</v>
          </cell>
          <cell r="O33" t="e">
            <v>#N/A</v>
          </cell>
          <cell r="P33" t="e">
            <v>#N/A</v>
          </cell>
          <cell r="Q33" t="e">
            <v>#N/A</v>
          </cell>
          <cell r="R33" t="e">
            <v>#N/A</v>
          </cell>
          <cell r="S33" t="e">
            <v>#N/A</v>
          </cell>
          <cell r="U33" t="e">
            <v>#N/A</v>
          </cell>
          <cell r="V33" t="e">
            <v>#N/A</v>
          </cell>
          <cell r="W33" t="e">
            <v>#N/A</v>
          </cell>
          <cell r="X33" t="e">
            <v>#N/A</v>
          </cell>
          <cell r="Y33" t="e">
            <v>#N/A</v>
          </cell>
          <cell r="Z33" t="e">
            <v>#N/A</v>
          </cell>
          <cell r="AA33" t="e">
            <v>#N/A</v>
          </cell>
          <cell r="AB33" t="e">
            <v>#N/A</v>
          </cell>
          <cell r="AH33" t="e">
            <v>#N/A</v>
          </cell>
          <cell r="AI33" t="e">
            <v>#N/A</v>
          </cell>
        </row>
        <row r="34">
          <cell r="E34" t="e">
            <v>#N/A</v>
          </cell>
          <cell r="F34" t="e">
            <v>#N/A</v>
          </cell>
          <cell r="G34" t="e">
            <v>#N/A</v>
          </cell>
          <cell r="H34" t="e">
            <v>#N/A</v>
          </cell>
          <cell r="I34" t="e">
            <v>#N/A</v>
          </cell>
          <cell r="J34" t="e">
            <v>#N/A</v>
          </cell>
          <cell r="K34" t="e">
            <v>#N/A</v>
          </cell>
          <cell r="L34" t="e">
            <v>#N/A</v>
          </cell>
          <cell r="M34" t="e">
            <v>#N/A</v>
          </cell>
          <cell r="N34" t="e">
            <v>#N/A</v>
          </cell>
          <cell r="O34" t="e">
            <v>#N/A</v>
          </cell>
          <cell r="P34" t="e">
            <v>#N/A</v>
          </cell>
          <cell r="Q34" t="e">
            <v>#N/A</v>
          </cell>
          <cell r="R34" t="e">
            <v>#N/A</v>
          </cell>
          <cell r="S34" t="e">
            <v>#N/A</v>
          </cell>
          <cell r="T34" t="e">
            <v>#N/A</v>
          </cell>
          <cell r="U34" t="e">
            <v>#N/A</v>
          </cell>
          <cell r="V34" t="e">
            <v>#N/A</v>
          </cell>
          <cell r="W34" t="e">
            <v>#N/A</v>
          </cell>
          <cell r="X34" t="e">
            <v>#N/A</v>
          </cell>
          <cell r="Y34" t="e">
            <v>#N/A</v>
          </cell>
          <cell r="Z34" t="e">
            <v>#N/A</v>
          </cell>
          <cell r="AA34" t="e">
            <v>#N/A</v>
          </cell>
          <cell r="AB34" t="e">
            <v>#N/A</v>
          </cell>
          <cell r="AH34" t="e">
            <v>#N/A</v>
          </cell>
          <cell r="AI34" t="e">
            <v>#N/A</v>
          </cell>
        </row>
        <row r="35">
          <cell r="E35" t="e">
            <v>#N/A</v>
          </cell>
          <cell r="F35" t="e">
            <v>#N/A</v>
          </cell>
          <cell r="G35" t="e">
            <v>#N/A</v>
          </cell>
          <cell r="H35" t="e">
            <v>#N/A</v>
          </cell>
          <cell r="I35" t="e">
            <v>#N/A</v>
          </cell>
          <cell r="J35" t="e">
            <v>#N/A</v>
          </cell>
          <cell r="K35" t="e">
            <v>#N/A</v>
          </cell>
          <cell r="L35" t="e">
            <v>#N/A</v>
          </cell>
          <cell r="M35" t="e">
            <v>#N/A</v>
          </cell>
          <cell r="N35" t="e">
            <v>#N/A</v>
          </cell>
          <cell r="O35" t="e">
            <v>#N/A</v>
          </cell>
          <cell r="P35" t="e">
            <v>#N/A</v>
          </cell>
          <cell r="Q35" t="e">
            <v>#N/A</v>
          </cell>
          <cell r="R35" t="e">
            <v>#N/A</v>
          </cell>
          <cell r="S35" t="e">
            <v>#N/A</v>
          </cell>
          <cell r="T35" t="e">
            <v>#N/A</v>
          </cell>
          <cell r="U35" t="e">
            <v>#N/A</v>
          </cell>
          <cell r="V35" t="e">
            <v>#N/A</v>
          </cell>
          <cell r="W35" t="e">
            <v>#N/A</v>
          </cell>
          <cell r="X35" t="e">
            <v>#N/A</v>
          </cell>
          <cell r="Y35" t="e">
            <v>#N/A</v>
          </cell>
          <cell r="Z35" t="e">
            <v>#N/A</v>
          </cell>
          <cell r="AA35" t="e">
            <v>#N/A</v>
          </cell>
          <cell r="AB35" t="e">
            <v>#N/A</v>
          </cell>
          <cell r="AH35" t="e">
            <v>#N/A</v>
          </cell>
          <cell r="AI35" t="e">
            <v>#N/A</v>
          </cell>
        </row>
        <row r="36">
          <cell r="E36" t="e">
            <v>#N/A</v>
          </cell>
          <cell r="F36" t="e">
            <v>#N/A</v>
          </cell>
          <cell r="G36" t="e">
            <v>#N/A</v>
          </cell>
          <cell r="H36" t="e">
            <v>#N/A</v>
          </cell>
          <cell r="I36" t="e">
            <v>#N/A</v>
          </cell>
          <cell r="J36" t="e">
            <v>#N/A</v>
          </cell>
          <cell r="K36" t="e">
            <v>#N/A</v>
          </cell>
          <cell r="L36" t="e">
            <v>#N/A</v>
          </cell>
          <cell r="M36" t="e">
            <v>#N/A</v>
          </cell>
          <cell r="N36" t="e">
            <v>#N/A</v>
          </cell>
          <cell r="O36" t="e">
            <v>#N/A</v>
          </cell>
          <cell r="P36" t="e">
            <v>#N/A</v>
          </cell>
          <cell r="Q36" t="e">
            <v>#N/A</v>
          </cell>
          <cell r="R36" t="e">
            <v>#N/A</v>
          </cell>
          <cell r="S36" t="e">
            <v>#N/A</v>
          </cell>
          <cell r="T36" t="e">
            <v>#N/A</v>
          </cell>
          <cell r="U36" t="e">
            <v>#N/A</v>
          </cell>
          <cell r="V36" t="e">
            <v>#N/A</v>
          </cell>
          <cell r="W36" t="e">
            <v>#N/A</v>
          </cell>
          <cell r="X36" t="e">
            <v>#N/A</v>
          </cell>
          <cell r="Y36" t="e">
            <v>#N/A</v>
          </cell>
          <cell r="Z36" t="e">
            <v>#N/A</v>
          </cell>
          <cell r="AA36" t="e">
            <v>#N/A</v>
          </cell>
          <cell r="AB36" t="e">
            <v>#N/A</v>
          </cell>
          <cell r="AH36" t="e">
            <v>#N/A</v>
          </cell>
          <cell r="AI36" t="e">
            <v>#N/A</v>
          </cell>
        </row>
        <row r="37">
          <cell r="D37" t="e">
            <v>#N/A</v>
          </cell>
          <cell r="E37" t="e">
            <v>#N/A</v>
          </cell>
          <cell r="F37" t="e">
            <v>#N/A</v>
          </cell>
          <cell r="G37" t="e">
            <v>#N/A</v>
          </cell>
          <cell r="H37" t="e">
            <v>#N/A</v>
          </cell>
          <cell r="I37" t="e">
            <v>#N/A</v>
          </cell>
          <cell r="J37" t="e">
            <v>#N/A</v>
          </cell>
          <cell r="K37" t="e">
            <v>#N/A</v>
          </cell>
          <cell r="L37" t="e">
            <v>#N/A</v>
          </cell>
          <cell r="M37" t="e">
            <v>#N/A</v>
          </cell>
          <cell r="N37" t="e">
            <v>#N/A</v>
          </cell>
          <cell r="O37" t="e">
            <v>#N/A</v>
          </cell>
          <cell r="P37" t="e">
            <v>#N/A</v>
          </cell>
          <cell r="Q37" t="e">
            <v>#N/A</v>
          </cell>
          <cell r="R37" t="e">
            <v>#N/A</v>
          </cell>
          <cell r="S37" t="e">
            <v>#N/A</v>
          </cell>
          <cell r="T37" t="e">
            <v>#N/A</v>
          </cell>
          <cell r="U37" t="e">
            <v>#N/A</v>
          </cell>
          <cell r="V37" t="e">
            <v>#N/A</v>
          </cell>
          <cell r="W37" t="e">
            <v>#N/A</v>
          </cell>
          <cell r="X37" t="e">
            <v>#N/A</v>
          </cell>
          <cell r="Y37" t="e">
            <v>#N/A</v>
          </cell>
          <cell r="Z37" t="e">
            <v>#N/A</v>
          </cell>
          <cell r="AA37" t="e">
            <v>#N/A</v>
          </cell>
          <cell r="AB37" t="e">
            <v>#N/A</v>
          </cell>
          <cell r="AH37" t="e">
            <v>#N/A</v>
          </cell>
          <cell r="AI37" t="e">
            <v>#N/A</v>
          </cell>
        </row>
        <row r="38">
          <cell r="C38" t="str">
            <v>手直し等</v>
          </cell>
        </row>
        <row r="39">
          <cell r="C39" t="str">
            <v>出荷実績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</row>
        <row r="40">
          <cell r="C40" t="str">
            <v>停止時間（昼勤）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</row>
        <row r="41">
          <cell r="C41" t="str">
            <v>停止時間（夜勤）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</row>
        <row r="42">
          <cell r="B42">
            <v>9828330480</v>
          </cell>
          <cell r="C42" t="str">
            <v>振替計画・実績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</row>
        <row r="43">
          <cell r="C43" t="str">
            <v>在庫計画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</row>
        <row r="44">
          <cell r="C44" t="str">
            <v>在庫実績(社内)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</row>
        <row r="45">
          <cell r="C45" t="str">
            <v>在庫実績(物流)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</row>
        <row r="46">
          <cell r="C46" t="str">
            <v>差異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</row>
        <row r="47">
          <cell r="C47" t="str">
            <v>ﾊﾞﾝﾆﾝｸﾞ計画</v>
          </cell>
        </row>
        <row r="48">
          <cell r="C48" t="str">
            <v>ｵｰﾀﾞｰ変更</v>
          </cell>
        </row>
        <row r="49">
          <cell r="C49" t="str">
            <v>20日情報
(工場出荷)</v>
          </cell>
        </row>
        <row r="50">
          <cell r="C50" t="str">
            <v>ﾊﾞﾝﾆﾝｸﾞ計画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B51" t="str">
            <v>PSAﾓﾝｽ</v>
          </cell>
          <cell r="C51" t="str">
            <v>ｵｰﾀﾞｰ変更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</row>
        <row r="52">
          <cell r="C52" t="str">
            <v>20日情報
(工場出荷)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</row>
        <row r="53">
          <cell r="B53">
            <v>9830763580</v>
          </cell>
          <cell r="C53" t="str">
            <v>梱包計画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</row>
        <row r="54">
          <cell r="C54" t="str">
            <v>(調整）</v>
          </cell>
        </row>
        <row r="55">
          <cell r="D55" t="e">
            <v>#REF!</v>
          </cell>
          <cell r="AH55" t="e">
            <v>#REF!</v>
          </cell>
          <cell r="AI55" t="e">
            <v>#REF!</v>
          </cell>
        </row>
        <row r="56">
          <cell r="E56" t="e">
            <v>#REF!</v>
          </cell>
          <cell r="F56" t="e">
            <v>#REF!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K56" t="e">
            <v>#REF!</v>
          </cell>
          <cell r="L56" t="e">
            <v>#REF!</v>
          </cell>
          <cell r="M56" t="e">
            <v>#REF!</v>
          </cell>
          <cell r="N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V56" t="e">
            <v>#REF!</v>
          </cell>
          <cell r="W56" t="e">
            <v>#REF!</v>
          </cell>
          <cell r="X56" t="e">
            <v>#REF!</v>
          </cell>
          <cell r="Y56" t="e">
            <v>#REF!</v>
          </cell>
          <cell r="Z56" t="e">
            <v>#REF!</v>
          </cell>
          <cell r="AA56" t="e">
            <v>#REF!</v>
          </cell>
          <cell r="AB56" t="e">
            <v>#REF!</v>
          </cell>
          <cell r="AC56" t="e">
            <v>#REF!</v>
          </cell>
          <cell r="AD56" t="e">
            <v>#REF!</v>
          </cell>
          <cell r="AE56" t="e">
            <v>#REF!</v>
          </cell>
          <cell r="AF56" t="e">
            <v>#REF!</v>
          </cell>
          <cell r="AG56" t="e">
            <v>#REF!</v>
          </cell>
          <cell r="AH56" t="e">
            <v>#REF!</v>
          </cell>
          <cell r="AI56" t="e">
            <v>#REF!</v>
          </cell>
        </row>
        <row r="57">
          <cell r="E57" t="e">
            <v>#REF!</v>
          </cell>
          <cell r="F57" t="e">
            <v>#REF!</v>
          </cell>
          <cell r="G57" t="e">
            <v>#REF!</v>
          </cell>
          <cell r="H57" t="e">
            <v>#REF!</v>
          </cell>
          <cell r="I57" t="e">
            <v>#REF!</v>
          </cell>
          <cell r="J57" t="e">
            <v>#REF!</v>
          </cell>
          <cell r="K57" t="e">
            <v>#REF!</v>
          </cell>
          <cell r="L57" t="e">
            <v>#REF!</v>
          </cell>
          <cell r="M57" t="e">
            <v>#REF!</v>
          </cell>
          <cell r="N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V57" t="e">
            <v>#REF!</v>
          </cell>
          <cell r="W57" t="e">
            <v>#REF!</v>
          </cell>
          <cell r="X57" t="e">
            <v>#REF!</v>
          </cell>
          <cell r="Y57" t="e">
            <v>#REF!</v>
          </cell>
          <cell r="Z57" t="e">
            <v>#REF!</v>
          </cell>
          <cell r="AA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 t="e">
            <v>#REF!</v>
          </cell>
          <cell r="AF57" t="e">
            <v>#REF!</v>
          </cell>
          <cell r="AG57" t="e">
            <v>#REF!</v>
          </cell>
          <cell r="AH57" t="e">
            <v>#REF!</v>
          </cell>
          <cell r="AI57" t="e">
            <v>#REF!</v>
          </cell>
        </row>
        <row r="58"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  <cell r="N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 t="e">
            <v>#REF!</v>
          </cell>
          <cell r="W58" t="e">
            <v>#REF!</v>
          </cell>
          <cell r="X58" t="e">
            <v>#REF!</v>
          </cell>
          <cell r="Y58" t="e">
            <v>#REF!</v>
          </cell>
          <cell r="Z58" t="e">
            <v>#REF!</v>
          </cell>
          <cell r="AA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 t="e">
            <v>#REF!</v>
          </cell>
          <cell r="AF58" t="e">
            <v>#REF!</v>
          </cell>
          <cell r="AG58" t="e">
            <v>#REF!</v>
          </cell>
          <cell r="AH58" t="e">
            <v>#REF!</v>
          </cell>
          <cell r="AI58" t="e">
            <v>#REF!</v>
          </cell>
        </row>
        <row r="59"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  <cell r="H59" t="e">
            <v>#REF!</v>
          </cell>
          <cell r="I59" t="e">
            <v>#REF!</v>
          </cell>
          <cell r="J59" t="e">
            <v>#REF!</v>
          </cell>
          <cell r="K59" t="e">
            <v>#REF!</v>
          </cell>
          <cell r="L59" t="e">
            <v>#REF!</v>
          </cell>
          <cell r="M59" t="e">
            <v>#REF!</v>
          </cell>
          <cell r="N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V59" t="e">
            <v>#REF!</v>
          </cell>
          <cell r="W59" t="e">
            <v>#REF!</v>
          </cell>
          <cell r="X59" t="e">
            <v>#REF!</v>
          </cell>
          <cell r="Y59" t="e">
            <v>#REF!</v>
          </cell>
          <cell r="Z59" t="e">
            <v>#REF!</v>
          </cell>
          <cell r="AA59" t="e">
            <v>#REF!</v>
          </cell>
          <cell r="AB59" t="e">
            <v>#REF!</v>
          </cell>
          <cell r="AC59" t="e">
            <v>#REF!</v>
          </cell>
          <cell r="AD59" t="e">
            <v>#REF!</v>
          </cell>
          <cell r="AE59" t="e">
            <v>#REF!</v>
          </cell>
          <cell r="AF59" t="e">
            <v>#REF!</v>
          </cell>
          <cell r="AG59" t="e">
            <v>#REF!</v>
          </cell>
          <cell r="AH59" t="e">
            <v>#REF!</v>
          </cell>
          <cell r="AI59" t="e">
            <v>#REF!</v>
          </cell>
        </row>
        <row r="60">
          <cell r="C60" t="str">
            <v>手直し等</v>
          </cell>
        </row>
        <row r="61">
          <cell r="C61" t="str">
            <v>出荷実績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</row>
        <row r="62">
          <cell r="C62" t="str">
            <v>停止時間（昼勤）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</row>
        <row r="63">
          <cell r="C63" t="str">
            <v>停止時間（夜勤）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</row>
        <row r="64">
          <cell r="B64">
            <v>9830763580</v>
          </cell>
          <cell r="C64" t="str">
            <v>振替計画・実績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</row>
        <row r="65">
          <cell r="C65" t="str">
            <v>在庫計画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</row>
        <row r="66">
          <cell r="C66" t="str">
            <v>在庫実績(社内)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</row>
        <row r="67">
          <cell r="C67" t="str">
            <v>在庫実績(物流)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</row>
        <row r="68">
          <cell r="C68" t="str">
            <v>差異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</row>
        <row r="69">
          <cell r="C69" t="str">
            <v>ﾊﾞﾝﾆﾝｸﾞ計画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</row>
        <row r="70">
          <cell r="C70" t="str">
            <v>ｵｰﾀﾞｰ変更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</row>
        <row r="71">
          <cell r="C71" t="str">
            <v>20日情報
(工場出荷)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</row>
        <row r="72">
          <cell r="B72">
            <v>9830763780</v>
          </cell>
          <cell r="C72" t="str">
            <v>梱包計画</v>
          </cell>
          <cell r="D72">
            <v>210</v>
          </cell>
          <cell r="E72">
            <v>0</v>
          </cell>
          <cell r="F72">
            <v>0</v>
          </cell>
          <cell r="G72">
            <v>234</v>
          </cell>
          <cell r="H72">
            <v>232</v>
          </cell>
          <cell r="I72">
            <v>233</v>
          </cell>
          <cell r="J72">
            <v>252</v>
          </cell>
          <cell r="K72">
            <v>264</v>
          </cell>
          <cell r="L72">
            <v>0</v>
          </cell>
          <cell r="M72">
            <v>0</v>
          </cell>
          <cell r="N72">
            <v>216</v>
          </cell>
          <cell r="O72">
            <v>237</v>
          </cell>
          <cell r="P72">
            <v>234</v>
          </cell>
          <cell r="Q72">
            <v>276</v>
          </cell>
          <cell r="R72">
            <v>276</v>
          </cell>
          <cell r="S72">
            <v>0</v>
          </cell>
          <cell r="T72">
            <v>0</v>
          </cell>
          <cell r="U72">
            <v>230</v>
          </cell>
          <cell r="V72">
            <v>230</v>
          </cell>
          <cell r="W72">
            <v>238</v>
          </cell>
          <cell r="X72">
            <v>256</v>
          </cell>
          <cell r="Y72">
            <v>278</v>
          </cell>
          <cell r="Z72">
            <v>0</v>
          </cell>
          <cell r="AA72">
            <v>0</v>
          </cell>
          <cell r="AB72">
            <v>213</v>
          </cell>
          <cell r="AC72">
            <v>212</v>
          </cell>
          <cell r="AD72">
            <v>207</v>
          </cell>
          <cell r="AE72">
            <v>242</v>
          </cell>
          <cell r="AF72">
            <v>220</v>
          </cell>
          <cell r="AG72">
            <v>0</v>
          </cell>
          <cell r="AH72">
            <v>0</v>
          </cell>
          <cell r="AI72">
            <v>0</v>
          </cell>
        </row>
        <row r="73">
          <cell r="C73" t="str">
            <v>(調整）</v>
          </cell>
          <cell r="E73">
            <v>0</v>
          </cell>
          <cell r="F73">
            <v>0</v>
          </cell>
          <cell r="G73">
            <v>18</v>
          </cell>
          <cell r="H73">
            <v>16</v>
          </cell>
          <cell r="I73">
            <v>17</v>
          </cell>
          <cell r="J73">
            <v>20</v>
          </cell>
          <cell r="K73">
            <v>32</v>
          </cell>
          <cell r="L73">
            <v>0</v>
          </cell>
          <cell r="M73">
            <v>0</v>
          </cell>
          <cell r="N73">
            <v>8</v>
          </cell>
          <cell r="O73">
            <v>21</v>
          </cell>
          <cell r="P73">
            <v>18</v>
          </cell>
          <cell r="Q73">
            <v>44</v>
          </cell>
          <cell r="R73">
            <v>44</v>
          </cell>
          <cell r="S73">
            <v>0</v>
          </cell>
          <cell r="T73">
            <v>0</v>
          </cell>
          <cell r="U73">
            <v>14</v>
          </cell>
          <cell r="V73">
            <v>14</v>
          </cell>
          <cell r="W73">
            <v>22</v>
          </cell>
          <cell r="X73">
            <v>32</v>
          </cell>
          <cell r="Y73">
            <v>46</v>
          </cell>
          <cell r="Z73">
            <v>0</v>
          </cell>
          <cell r="AA73">
            <v>0</v>
          </cell>
          <cell r="AB73">
            <v>-3</v>
          </cell>
          <cell r="AC73">
            <v>-4</v>
          </cell>
          <cell r="AD73">
            <v>-9</v>
          </cell>
          <cell r="AE73">
            <v>10</v>
          </cell>
          <cell r="AF73">
            <v>-4</v>
          </cell>
          <cell r="AG73">
            <v>0</v>
          </cell>
          <cell r="AH73">
            <v>0</v>
          </cell>
          <cell r="AI73">
            <v>0</v>
          </cell>
        </row>
        <row r="74"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  <cell r="H74" t="e">
            <v>#REF!</v>
          </cell>
          <cell r="I74" t="e">
            <v>#REF!</v>
          </cell>
          <cell r="J74" t="e">
            <v>#REF!</v>
          </cell>
          <cell r="K74" t="e">
            <v>#REF!</v>
          </cell>
          <cell r="L74" t="e">
            <v>#REF!</v>
          </cell>
          <cell r="M74" t="e">
            <v>#REF!</v>
          </cell>
          <cell r="N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  <cell r="U74" t="e">
            <v>#REF!</v>
          </cell>
          <cell r="V74" t="e">
            <v>#REF!</v>
          </cell>
          <cell r="W74" t="e">
            <v>#REF!</v>
          </cell>
          <cell r="X74" t="e">
            <v>#REF!</v>
          </cell>
          <cell r="Y74" t="e">
            <v>#REF!</v>
          </cell>
          <cell r="Z74" t="e">
            <v>#REF!</v>
          </cell>
          <cell r="AA74" t="e">
            <v>#REF!</v>
          </cell>
          <cell r="AB74" t="e">
            <v>#REF!</v>
          </cell>
          <cell r="AC74" t="e">
            <v>#REF!</v>
          </cell>
          <cell r="AD74" t="e">
            <v>#REF!</v>
          </cell>
          <cell r="AE74" t="e">
            <v>#REF!</v>
          </cell>
          <cell r="AF74" t="e">
            <v>#REF!</v>
          </cell>
          <cell r="AG74" t="e">
            <v>#REF!</v>
          </cell>
          <cell r="AH74" t="e">
            <v>#REF!</v>
          </cell>
          <cell r="AI74" t="e">
            <v>#REF!</v>
          </cell>
        </row>
        <row r="75">
          <cell r="E75" t="e">
            <v>#REF!</v>
          </cell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V75" t="e">
            <v>#REF!</v>
          </cell>
          <cell r="W75" t="e">
            <v>#REF!</v>
          </cell>
          <cell r="X75" t="e">
            <v>#REF!</v>
          </cell>
          <cell r="Y75" t="e">
            <v>#REF!</v>
          </cell>
          <cell r="Z75" t="e">
            <v>#REF!</v>
          </cell>
          <cell r="AA75" t="e">
            <v>#REF!</v>
          </cell>
          <cell r="AB75" t="e">
            <v>#REF!</v>
          </cell>
          <cell r="AC75" t="e">
            <v>#REF!</v>
          </cell>
          <cell r="AD75" t="e">
            <v>#REF!</v>
          </cell>
          <cell r="AE75" t="e">
            <v>#REF!</v>
          </cell>
          <cell r="AF75" t="e">
            <v>#REF!</v>
          </cell>
          <cell r="AG75" t="e">
            <v>#REF!</v>
          </cell>
          <cell r="AH75" t="e">
            <v>#REF!</v>
          </cell>
          <cell r="AI75" t="e">
            <v>#REF!</v>
          </cell>
        </row>
        <row r="76"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  <cell r="T76" t="e">
            <v>#REF!</v>
          </cell>
          <cell r="U76" t="e">
            <v>#REF!</v>
          </cell>
          <cell r="V76" t="e">
            <v>#REF!</v>
          </cell>
          <cell r="W76" t="e">
            <v>#REF!</v>
          </cell>
          <cell r="X76" t="e">
            <v>#REF!</v>
          </cell>
          <cell r="Y76" t="e">
            <v>#REF!</v>
          </cell>
          <cell r="Z76" t="e">
            <v>#REF!</v>
          </cell>
          <cell r="AA76" t="e">
            <v>#REF!</v>
          </cell>
          <cell r="AB76" t="e">
            <v>#REF!</v>
          </cell>
          <cell r="AC76" t="e">
            <v>#REF!</v>
          </cell>
          <cell r="AD76" t="e">
            <v>#REF!</v>
          </cell>
          <cell r="AE76" t="e">
            <v>#REF!</v>
          </cell>
          <cell r="AF76" t="e">
            <v>#REF!</v>
          </cell>
          <cell r="AG76" t="e">
            <v>#REF!</v>
          </cell>
          <cell r="AH76" t="e">
            <v>#REF!</v>
          </cell>
          <cell r="AI76" t="e">
            <v>#REF!</v>
          </cell>
        </row>
        <row r="77">
          <cell r="E77" t="e">
            <v>#REF!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V77" t="e">
            <v>#REF!</v>
          </cell>
          <cell r="W77" t="e">
            <v>#REF!</v>
          </cell>
          <cell r="X77" t="e">
            <v>#REF!</v>
          </cell>
          <cell r="Y77" t="e">
            <v>#REF!</v>
          </cell>
          <cell r="Z77" t="e">
            <v>#REF!</v>
          </cell>
          <cell r="AA77" t="e">
            <v>#REF!</v>
          </cell>
          <cell r="AB77" t="e">
            <v>#REF!</v>
          </cell>
          <cell r="AC77" t="e">
            <v>#REF!</v>
          </cell>
          <cell r="AD77" t="e">
            <v>#REF!</v>
          </cell>
          <cell r="AE77" t="e">
            <v>#REF!</v>
          </cell>
          <cell r="AF77" t="e">
            <v>#REF!</v>
          </cell>
          <cell r="AG77" t="e">
            <v>#REF!</v>
          </cell>
          <cell r="AH77" t="e">
            <v>#REF!</v>
          </cell>
          <cell r="AI77" t="e">
            <v>#REF!</v>
          </cell>
        </row>
        <row r="78"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V78" t="e">
            <v>#REF!</v>
          </cell>
          <cell r="W78" t="e">
            <v>#REF!</v>
          </cell>
          <cell r="X78" t="e">
            <v>#REF!</v>
          </cell>
          <cell r="Y78" t="e">
            <v>#REF!</v>
          </cell>
          <cell r="Z78" t="e">
            <v>#REF!</v>
          </cell>
          <cell r="AA78" t="e">
            <v>#REF!</v>
          </cell>
          <cell r="AB78" t="e">
            <v>#REF!</v>
          </cell>
          <cell r="AC78" t="e">
            <v>#REF!</v>
          </cell>
          <cell r="AD78" t="e">
            <v>#REF!</v>
          </cell>
          <cell r="AE78" t="e">
            <v>#REF!</v>
          </cell>
          <cell r="AF78" t="e">
            <v>#REF!</v>
          </cell>
          <cell r="AG78" t="e">
            <v>#REF!</v>
          </cell>
          <cell r="AH78" t="e">
            <v>#REF!</v>
          </cell>
          <cell r="AI78" t="e">
            <v>#REF!</v>
          </cell>
        </row>
        <row r="79">
          <cell r="C79" t="str">
            <v>手直し等</v>
          </cell>
        </row>
        <row r="80">
          <cell r="C80" t="str">
            <v>出荷実績</v>
          </cell>
          <cell r="E80">
            <v>0</v>
          </cell>
          <cell r="F80">
            <v>0</v>
          </cell>
          <cell r="G80">
            <v>192</v>
          </cell>
          <cell r="H80">
            <v>240</v>
          </cell>
          <cell r="I80">
            <v>240</v>
          </cell>
          <cell r="J80">
            <v>256</v>
          </cell>
          <cell r="K80">
            <v>272</v>
          </cell>
          <cell r="L80">
            <v>0</v>
          </cell>
          <cell r="M80">
            <v>0</v>
          </cell>
          <cell r="N80">
            <v>224</v>
          </cell>
          <cell r="O80">
            <v>256</v>
          </cell>
          <cell r="P80">
            <v>248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</row>
        <row r="81">
          <cell r="C81" t="str">
            <v>停止時間（昼勤）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</row>
        <row r="82">
          <cell r="C82" t="str">
            <v>停止時間（夜勤）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</row>
        <row r="83">
          <cell r="B83">
            <v>9830763780</v>
          </cell>
          <cell r="C83" t="str">
            <v>振替計画・実績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12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1</v>
          </cell>
          <cell r="AD83">
            <v>0</v>
          </cell>
          <cell r="AE83">
            <v>0</v>
          </cell>
          <cell r="AF83">
            <v>21</v>
          </cell>
          <cell r="AG83">
            <v>0</v>
          </cell>
          <cell r="AH83">
            <v>0</v>
          </cell>
          <cell r="AI83">
            <v>0</v>
          </cell>
        </row>
        <row r="84">
          <cell r="C84" t="str">
            <v>在庫計画</v>
          </cell>
          <cell r="D84">
            <v>1576</v>
          </cell>
          <cell r="E84">
            <v>1576</v>
          </cell>
          <cell r="F84">
            <v>1576</v>
          </cell>
          <cell r="G84">
            <v>1798</v>
          </cell>
          <cell r="H84">
            <v>1575</v>
          </cell>
          <cell r="I84">
            <v>1807.5</v>
          </cell>
          <cell r="J84">
            <v>1442</v>
          </cell>
          <cell r="K84">
            <v>1612</v>
          </cell>
          <cell r="L84">
            <v>1612</v>
          </cell>
          <cell r="M84">
            <v>1612</v>
          </cell>
          <cell r="N84">
            <v>1852</v>
          </cell>
          <cell r="O84">
            <v>2078.5</v>
          </cell>
          <cell r="P84">
            <v>1722</v>
          </cell>
          <cell r="Q84">
            <v>1977</v>
          </cell>
          <cell r="R84">
            <v>1645</v>
          </cell>
          <cell r="S84">
            <v>1581</v>
          </cell>
          <cell r="T84">
            <v>1581</v>
          </cell>
          <cell r="U84">
            <v>1822</v>
          </cell>
          <cell r="V84">
            <v>1564</v>
          </cell>
          <cell r="W84">
            <v>1798</v>
          </cell>
          <cell r="X84">
            <v>1349</v>
          </cell>
          <cell r="Y84">
            <v>1616</v>
          </cell>
          <cell r="Z84">
            <v>1616</v>
          </cell>
          <cell r="AA84">
            <v>1616</v>
          </cell>
          <cell r="AB84">
            <v>1861.5</v>
          </cell>
          <cell r="AC84">
            <v>2073</v>
          </cell>
          <cell r="AD84">
            <v>1642.5</v>
          </cell>
          <cell r="AE84">
            <v>1867</v>
          </cell>
          <cell r="AF84">
            <v>1453</v>
          </cell>
          <cell r="AG84">
            <v>1453</v>
          </cell>
          <cell r="AH84">
            <v>1453</v>
          </cell>
          <cell r="AI84">
            <v>1453</v>
          </cell>
        </row>
        <row r="85">
          <cell r="C85" t="str">
            <v>在庫実績(社内)</v>
          </cell>
          <cell r="D85">
            <v>0</v>
          </cell>
          <cell r="E85">
            <v>0</v>
          </cell>
          <cell r="F85">
            <v>0</v>
          </cell>
          <cell r="G85">
            <v>32</v>
          </cell>
          <cell r="H85">
            <v>32</v>
          </cell>
          <cell r="I85">
            <v>32</v>
          </cell>
          <cell r="J85">
            <v>24</v>
          </cell>
          <cell r="K85">
            <v>37</v>
          </cell>
          <cell r="L85">
            <v>37</v>
          </cell>
          <cell r="M85">
            <v>37</v>
          </cell>
          <cell r="N85">
            <v>37</v>
          </cell>
          <cell r="O85">
            <v>32</v>
          </cell>
          <cell r="P85">
            <v>40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</row>
        <row r="86">
          <cell r="C86" t="str">
            <v>在庫実績(物流)</v>
          </cell>
          <cell r="D86">
            <v>1576</v>
          </cell>
          <cell r="E86">
            <v>1576</v>
          </cell>
          <cell r="F86">
            <v>1576</v>
          </cell>
          <cell r="G86">
            <v>1768</v>
          </cell>
          <cell r="H86">
            <v>1552</v>
          </cell>
          <cell r="I86">
            <v>1792</v>
          </cell>
          <cell r="J86">
            <v>1440</v>
          </cell>
          <cell r="K86">
            <v>1624</v>
          </cell>
          <cell r="L86">
            <v>1624</v>
          </cell>
          <cell r="M86">
            <v>1624</v>
          </cell>
          <cell r="N86">
            <v>1848</v>
          </cell>
          <cell r="O86">
            <v>2104</v>
          </cell>
          <cell r="P86">
            <v>1760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</row>
        <row r="87">
          <cell r="C87" t="str">
            <v>差異</v>
          </cell>
          <cell r="D87">
            <v>0</v>
          </cell>
          <cell r="E87">
            <v>0</v>
          </cell>
          <cell r="F87">
            <v>0</v>
          </cell>
          <cell r="G87">
            <v>2</v>
          </cell>
          <cell r="H87">
            <v>9</v>
          </cell>
          <cell r="I87">
            <v>16.5</v>
          </cell>
          <cell r="J87">
            <v>22</v>
          </cell>
          <cell r="K87">
            <v>49</v>
          </cell>
          <cell r="L87">
            <v>49</v>
          </cell>
          <cell r="M87">
            <v>49</v>
          </cell>
          <cell r="N87">
            <v>33</v>
          </cell>
          <cell r="O87">
            <v>57.5</v>
          </cell>
          <cell r="P87">
            <v>78</v>
          </cell>
          <cell r="Q87">
            <v>-1977</v>
          </cell>
          <cell r="R87">
            <v>-1645</v>
          </cell>
          <cell r="S87">
            <v>-1581</v>
          </cell>
          <cell r="T87">
            <v>-1581</v>
          </cell>
          <cell r="U87">
            <v>-1822</v>
          </cell>
          <cell r="V87">
            <v>-1564</v>
          </cell>
          <cell r="W87">
            <v>-1798</v>
          </cell>
          <cell r="X87">
            <v>-1349</v>
          </cell>
          <cell r="Y87">
            <v>-1616</v>
          </cell>
          <cell r="Z87">
            <v>-1616</v>
          </cell>
          <cell r="AA87">
            <v>-1616</v>
          </cell>
          <cell r="AB87">
            <v>-1861.5</v>
          </cell>
          <cell r="AC87">
            <v>-2073</v>
          </cell>
          <cell r="AD87">
            <v>-1642.5</v>
          </cell>
          <cell r="AE87">
            <v>-1867</v>
          </cell>
          <cell r="AF87">
            <v>-1453</v>
          </cell>
          <cell r="AG87">
            <v>-1453</v>
          </cell>
          <cell r="AH87">
            <v>-1453</v>
          </cell>
          <cell r="AI87">
            <v>-1453</v>
          </cell>
        </row>
        <row r="88">
          <cell r="C88" t="str">
            <v>ﾊﾞﾝﾆﾝｸﾞ計画</v>
          </cell>
          <cell r="E88">
            <v>0</v>
          </cell>
          <cell r="F88">
            <v>0</v>
          </cell>
          <cell r="G88">
            <v>0</v>
          </cell>
          <cell r="H88">
            <v>456</v>
          </cell>
          <cell r="I88">
            <v>0</v>
          </cell>
          <cell r="J88">
            <v>608</v>
          </cell>
          <cell r="K88">
            <v>88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592</v>
          </cell>
          <cell r="Q88">
            <v>0</v>
          </cell>
          <cell r="R88">
            <v>608</v>
          </cell>
          <cell r="S88">
            <v>64</v>
          </cell>
          <cell r="T88">
            <v>0</v>
          </cell>
          <cell r="U88">
            <v>0</v>
          </cell>
          <cell r="V88">
            <v>488</v>
          </cell>
          <cell r="W88">
            <v>0</v>
          </cell>
          <cell r="X88">
            <v>696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640</v>
          </cell>
          <cell r="AE88">
            <v>0</v>
          </cell>
          <cell r="AF88">
            <v>624</v>
          </cell>
          <cell r="AG88">
            <v>0</v>
          </cell>
          <cell r="AH88">
            <v>0</v>
          </cell>
          <cell r="AI88">
            <v>0</v>
          </cell>
        </row>
        <row r="89">
          <cell r="C89" t="str">
            <v>ｵｰﾀﾞｰ変更</v>
          </cell>
          <cell r="E89">
            <v>0</v>
          </cell>
          <cell r="F89">
            <v>0</v>
          </cell>
          <cell r="G89">
            <v>456</v>
          </cell>
          <cell r="H89">
            <v>0</v>
          </cell>
          <cell r="I89">
            <v>608</v>
          </cell>
          <cell r="J89">
            <v>88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592</v>
          </cell>
          <cell r="P89">
            <v>0</v>
          </cell>
          <cell r="Q89">
            <v>608</v>
          </cell>
          <cell r="R89">
            <v>64</v>
          </cell>
          <cell r="S89">
            <v>0</v>
          </cell>
          <cell r="T89">
            <v>0</v>
          </cell>
          <cell r="U89">
            <v>488</v>
          </cell>
          <cell r="V89">
            <v>0</v>
          </cell>
          <cell r="W89">
            <v>696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640</v>
          </cell>
          <cell r="AD89">
            <v>0</v>
          </cell>
          <cell r="AE89">
            <v>624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</row>
        <row r="90">
          <cell r="C90" t="str">
            <v>20日情報
(工場出荷)</v>
          </cell>
          <cell r="E90">
            <v>0</v>
          </cell>
          <cell r="F90">
            <v>0</v>
          </cell>
          <cell r="G90">
            <v>456</v>
          </cell>
          <cell r="H90">
            <v>0</v>
          </cell>
          <cell r="I90">
            <v>0</v>
          </cell>
          <cell r="J90">
            <v>696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592</v>
          </cell>
          <cell r="P90">
            <v>0</v>
          </cell>
          <cell r="Q90">
            <v>672</v>
          </cell>
          <cell r="R90">
            <v>0</v>
          </cell>
          <cell r="S90">
            <v>0</v>
          </cell>
          <cell r="T90">
            <v>0</v>
          </cell>
          <cell r="U90">
            <v>488</v>
          </cell>
          <cell r="V90">
            <v>0</v>
          </cell>
          <cell r="W90">
            <v>696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640</v>
          </cell>
          <cell r="AD90">
            <v>0</v>
          </cell>
          <cell r="AE90">
            <v>624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</row>
        <row r="91">
          <cell r="B91">
            <v>9838184280</v>
          </cell>
          <cell r="C91" t="str">
            <v>梱包計画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16</v>
          </cell>
          <cell r="V91">
            <v>16</v>
          </cell>
          <cell r="W91">
            <v>16</v>
          </cell>
          <cell r="X91">
            <v>16</v>
          </cell>
          <cell r="Y91">
            <v>16</v>
          </cell>
          <cell r="Z91">
            <v>0</v>
          </cell>
          <cell r="AA91">
            <v>0</v>
          </cell>
          <cell r="AB91">
            <v>16</v>
          </cell>
          <cell r="AC91">
            <v>16</v>
          </cell>
          <cell r="AD91">
            <v>16</v>
          </cell>
          <cell r="AE91">
            <v>16</v>
          </cell>
          <cell r="AF91">
            <v>16</v>
          </cell>
          <cell r="AG91">
            <v>0</v>
          </cell>
          <cell r="AH91">
            <v>0</v>
          </cell>
          <cell r="AI91">
            <v>0</v>
          </cell>
        </row>
        <row r="92">
          <cell r="C92" t="str">
            <v>(調整）</v>
          </cell>
          <cell r="G92">
            <v>-8</v>
          </cell>
          <cell r="H92">
            <v>-8</v>
          </cell>
          <cell r="I92">
            <v>-8</v>
          </cell>
          <cell r="J92">
            <v>-8</v>
          </cell>
          <cell r="K92">
            <v>-8</v>
          </cell>
          <cell r="N92">
            <v>-8</v>
          </cell>
          <cell r="O92">
            <v>-8</v>
          </cell>
          <cell r="P92">
            <v>-8</v>
          </cell>
          <cell r="Q92">
            <v>-8</v>
          </cell>
          <cell r="R92">
            <v>-8</v>
          </cell>
          <cell r="U92">
            <v>8</v>
          </cell>
          <cell r="V92">
            <v>8</v>
          </cell>
          <cell r="W92">
            <v>8</v>
          </cell>
          <cell r="X92">
            <v>8</v>
          </cell>
          <cell r="Y92">
            <v>8</v>
          </cell>
          <cell r="AB92">
            <v>8</v>
          </cell>
          <cell r="AC92">
            <v>8</v>
          </cell>
          <cell r="AD92">
            <v>8</v>
          </cell>
          <cell r="AE92">
            <v>8</v>
          </cell>
          <cell r="AF92">
            <v>8</v>
          </cell>
        </row>
        <row r="93">
          <cell r="D93" t="e">
            <v>#REF!</v>
          </cell>
          <cell r="E93" t="e">
            <v>#REF!</v>
          </cell>
          <cell r="F93" t="e">
            <v>#REF!</v>
          </cell>
          <cell r="G93" t="e">
            <v>#REF!</v>
          </cell>
          <cell r="H93" t="e">
            <v>#REF!</v>
          </cell>
          <cell r="I93" t="e">
            <v>#REF!</v>
          </cell>
          <cell r="J93" t="e">
            <v>#REF!</v>
          </cell>
          <cell r="K93" t="e">
            <v>#REF!</v>
          </cell>
          <cell r="L93" t="e">
            <v>#REF!</v>
          </cell>
          <cell r="M93" t="e">
            <v>#REF!</v>
          </cell>
          <cell r="N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  <cell r="U93" t="e">
            <v>#REF!</v>
          </cell>
          <cell r="V93" t="e">
            <v>#REF!</v>
          </cell>
          <cell r="W93" t="e">
            <v>#REF!</v>
          </cell>
          <cell r="X93" t="e">
            <v>#REF!</v>
          </cell>
          <cell r="Y93" t="e">
            <v>#REF!</v>
          </cell>
          <cell r="Z93" t="e">
            <v>#REF!</v>
          </cell>
          <cell r="AA93" t="e">
            <v>#REF!</v>
          </cell>
          <cell r="AB93" t="e">
            <v>#REF!</v>
          </cell>
          <cell r="AC93" t="e">
            <v>#REF!</v>
          </cell>
          <cell r="AD93" t="e">
            <v>#REF!</v>
          </cell>
          <cell r="AE93" t="e">
            <v>#REF!</v>
          </cell>
          <cell r="AF93" t="e">
            <v>#REF!</v>
          </cell>
          <cell r="AG93" t="e">
            <v>#REF!</v>
          </cell>
          <cell r="AH93" t="e">
            <v>#REF!</v>
          </cell>
          <cell r="AI93" t="e">
            <v>#REF!</v>
          </cell>
        </row>
        <row r="94">
          <cell r="E94" t="e">
            <v>#REF!</v>
          </cell>
          <cell r="F94" t="e">
            <v>#REF!</v>
          </cell>
          <cell r="G94" t="e">
            <v>#REF!</v>
          </cell>
          <cell r="H94" t="e">
            <v>#REF!</v>
          </cell>
          <cell r="I94" t="e">
            <v>#REF!</v>
          </cell>
          <cell r="J94" t="e">
            <v>#REF!</v>
          </cell>
          <cell r="K94" t="e">
            <v>#REF!</v>
          </cell>
          <cell r="L94" t="e">
            <v>#REF!</v>
          </cell>
          <cell r="M94" t="e">
            <v>#REF!</v>
          </cell>
          <cell r="N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  <cell r="T94" t="e">
            <v>#REF!</v>
          </cell>
          <cell r="U94" t="e">
            <v>#REF!</v>
          </cell>
          <cell r="V94" t="e">
            <v>#REF!</v>
          </cell>
          <cell r="W94" t="e">
            <v>#REF!</v>
          </cell>
          <cell r="X94" t="e">
            <v>#REF!</v>
          </cell>
          <cell r="Y94" t="e">
            <v>#REF!</v>
          </cell>
          <cell r="Z94" t="e">
            <v>#REF!</v>
          </cell>
          <cell r="AA94" t="e">
            <v>#REF!</v>
          </cell>
          <cell r="AB94" t="e">
            <v>#REF!</v>
          </cell>
          <cell r="AC94" t="e">
            <v>#REF!</v>
          </cell>
          <cell r="AD94" t="e">
            <v>#REF!</v>
          </cell>
          <cell r="AE94" t="e">
            <v>#REF!</v>
          </cell>
          <cell r="AF94" t="e">
            <v>#REF!</v>
          </cell>
          <cell r="AG94" t="e">
            <v>#REF!</v>
          </cell>
          <cell r="AH94" t="e">
            <v>#REF!</v>
          </cell>
          <cell r="AI94" t="e">
            <v>#REF!</v>
          </cell>
        </row>
        <row r="95">
          <cell r="E95" t="e">
            <v>#REF!</v>
          </cell>
          <cell r="F95" t="e">
            <v>#REF!</v>
          </cell>
          <cell r="G95" t="e">
            <v>#REF!</v>
          </cell>
          <cell r="H95" t="e">
            <v>#REF!</v>
          </cell>
          <cell r="I95" t="e">
            <v>#REF!</v>
          </cell>
          <cell r="J95" t="e">
            <v>#REF!</v>
          </cell>
          <cell r="K95" t="e">
            <v>#REF!</v>
          </cell>
          <cell r="L95" t="e">
            <v>#REF!</v>
          </cell>
          <cell r="M95" t="e">
            <v>#REF!</v>
          </cell>
          <cell r="N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  <cell r="T95" t="e">
            <v>#REF!</v>
          </cell>
          <cell r="U95" t="e">
            <v>#REF!</v>
          </cell>
          <cell r="V95" t="e">
            <v>#REF!</v>
          </cell>
          <cell r="W95" t="e">
            <v>#REF!</v>
          </cell>
          <cell r="X95" t="e">
            <v>#REF!</v>
          </cell>
          <cell r="Y95" t="e">
            <v>#REF!</v>
          </cell>
          <cell r="Z95" t="e">
            <v>#REF!</v>
          </cell>
          <cell r="AA95" t="e">
            <v>#REF!</v>
          </cell>
          <cell r="AB95" t="e">
            <v>#REF!</v>
          </cell>
          <cell r="AC95" t="e">
            <v>#REF!</v>
          </cell>
          <cell r="AD95" t="e">
            <v>#REF!</v>
          </cell>
          <cell r="AE95" t="e">
            <v>#REF!</v>
          </cell>
          <cell r="AF95" t="e">
            <v>#REF!</v>
          </cell>
          <cell r="AG95" t="e">
            <v>#REF!</v>
          </cell>
          <cell r="AH95" t="e">
            <v>#REF!</v>
          </cell>
          <cell r="AI95" t="e">
            <v>#REF!</v>
          </cell>
        </row>
        <row r="96">
          <cell r="E96" t="e">
            <v>#REF!</v>
          </cell>
          <cell r="F96" t="e">
            <v>#REF!</v>
          </cell>
          <cell r="G96" t="e">
            <v>#REF!</v>
          </cell>
          <cell r="H96" t="e">
            <v>#REF!</v>
          </cell>
          <cell r="I96" t="e">
            <v>#REF!</v>
          </cell>
          <cell r="J96" t="e">
            <v>#REF!</v>
          </cell>
          <cell r="K96" t="e">
            <v>#REF!</v>
          </cell>
          <cell r="L96" t="e">
            <v>#REF!</v>
          </cell>
          <cell r="M96" t="e">
            <v>#REF!</v>
          </cell>
          <cell r="N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  <cell r="T96" t="e">
            <v>#REF!</v>
          </cell>
          <cell r="U96" t="e">
            <v>#REF!</v>
          </cell>
          <cell r="V96" t="e">
            <v>#REF!</v>
          </cell>
          <cell r="W96" t="e">
            <v>#REF!</v>
          </cell>
          <cell r="X96" t="e">
            <v>#REF!</v>
          </cell>
          <cell r="Y96" t="e">
            <v>#REF!</v>
          </cell>
          <cell r="Z96" t="e">
            <v>#REF!</v>
          </cell>
          <cell r="AA96" t="e">
            <v>#REF!</v>
          </cell>
          <cell r="AB96" t="e">
            <v>#REF!</v>
          </cell>
          <cell r="AC96" t="e">
            <v>#REF!</v>
          </cell>
          <cell r="AD96" t="e">
            <v>#REF!</v>
          </cell>
          <cell r="AE96" t="e">
            <v>#REF!</v>
          </cell>
          <cell r="AF96" t="e">
            <v>#REF!</v>
          </cell>
          <cell r="AG96" t="e">
            <v>#REF!</v>
          </cell>
          <cell r="AH96" t="e">
            <v>#REF!</v>
          </cell>
          <cell r="AI96" t="e">
            <v>#REF!</v>
          </cell>
        </row>
        <row r="97">
          <cell r="D97" t="e">
            <v>#REF!</v>
          </cell>
          <cell r="E97" t="e">
            <v>#REF!</v>
          </cell>
          <cell r="F97" t="e">
            <v>#REF!</v>
          </cell>
          <cell r="G97" t="e">
            <v>#REF!</v>
          </cell>
          <cell r="H97" t="e">
            <v>#REF!</v>
          </cell>
          <cell r="I97" t="e">
            <v>#REF!</v>
          </cell>
          <cell r="J97" t="e">
            <v>#REF!</v>
          </cell>
          <cell r="K97" t="e">
            <v>#REF!</v>
          </cell>
          <cell r="L97" t="e">
            <v>#REF!</v>
          </cell>
          <cell r="M97" t="e">
            <v>#REF!</v>
          </cell>
          <cell r="N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  <cell r="T97" t="e">
            <v>#REF!</v>
          </cell>
          <cell r="U97" t="e">
            <v>#REF!</v>
          </cell>
          <cell r="V97" t="e">
            <v>#REF!</v>
          </cell>
          <cell r="W97" t="e">
            <v>#REF!</v>
          </cell>
          <cell r="X97" t="e">
            <v>#REF!</v>
          </cell>
          <cell r="Y97" t="e">
            <v>#REF!</v>
          </cell>
          <cell r="Z97" t="e">
            <v>#REF!</v>
          </cell>
          <cell r="AA97" t="e">
            <v>#REF!</v>
          </cell>
          <cell r="AB97" t="e">
            <v>#REF!</v>
          </cell>
          <cell r="AC97" t="e">
            <v>#REF!</v>
          </cell>
          <cell r="AD97" t="e">
            <v>#REF!</v>
          </cell>
          <cell r="AE97" t="e">
            <v>#REF!</v>
          </cell>
          <cell r="AF97" t="e">
            <v>#REF!</v>
          </cell>
          <cell r="AG97" t="e">
            <v>#REF!</v>
          </cell>
          <cell r="AH97" t="e">
            <v>#REF!</v>
          </cell>
          <cell r="AI97" t="e">
            <v>#REF!</v>
          </cell>
        </row>
        <row r="98">
          <cell r="C98" t="str">
            <v>手直し等</v>
          </cell>
        </row>
        <row r="99">
          <cell r="C99" t="str">
            <v>出荷実績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C100" t="str">
            <v>停止時間（昼勤）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</row>
        <row r="101">
          <cell r="C101" t="str">
            <v>停止時間（夜勤）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</row>
        <row r="102">
          <cell r="B102">
            <v>9838184280</v>
          </cell>
          <cell r="C102" t="str">
            <v>振替計画・実績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</row>
        <row r="103">
          <cell r="C103" t="str">
            <v>在庫計画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8</v>
          </cell>
          <cell r="V103">
            <v>24</v>
          </cell>
          <cell r="W103">
            <v>40</v>
          </cell>
          <cell r="X103">
            <v>56</v>
          </cell>
          <cell r="Y103">
            <v>72</v>
          </cell>
          <cell r="Z103">
            <v>72</v>
          </cell>
          <cell r="AA103">
            <v>72</v>
          </cell>
          <cell r="AB103">
            <v>88</v>
          </cell>
          <cell r="AC103">
            <v>104</v>
          </cell>
          <cell r="AD103">
            <v>120</v>
          </cell>
          <cell r="AE103">
            <v>136</v>
          </cell>
          <cell r="AF103">
            <v>152</v>
          </cell>
          <cell r="AG103">
            <v>152</v>
          </cell>
          <cell r="AH103">
            <v>152</v>
          </cell>
          <cell r="AI103">
            <v>152</v>
          </cell>
        </row>
        <row r="104">
          <cell r="C104" t="str">
            <v>在庫実績(社内)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</row>
        <row r="105">
          <cell r="C105" t="str">
            <v>在庫実績(物流)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</row>
        <row r="106">
          <cell r="C106" t="str">
            <v>差異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-8</v>
          </cell>
          <cell r="V106">
            <v>-24</v>
          </cell>
          <cell r="W106">
            <v>-40</v>
          </cell>
          <cell r="X106">
            <v>-56</v>
          </cell>
          <cell r="Y106">
            <v>-72</v>
          </cell>
          <cell r="Z106">
            <v>-72</v>
          </cell>
          <cell r="AA106">
            <v>-72</v>
          </cell>
          <cell r="AB106">
            <v>-88</v>
          </cell>
          <cell r="AC106">
            <v>-104</v>
          </cell>
          <cell r="AD106">
            <v>-120</v>
          </cell>
          <cell r="AE106">
            <v>-136</v>
          </cell>
          <cell r="AF106">
            <v>-152</v>
          </cell>
          <cell r="AG106">
            <v>-152</v>
          </cell>
          <cell r="AH106">
            <v>-152</v>
          </cell>
          <cell r="AI106">
            <v>-152</v>
          </cell>
        </row>
        <row r="107">
          <cell r="C107" t="str">
            <v>ﾊﾞﾝﾆﾝｸﾞ計画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</row>
        <row r="108">
          <cell r="C108" t="str">
            <v>ｵｰﾀﾞｰ変更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</row>
        <row r="109">
          <cell r="C109" t="str">
            <v>20日情報
(工場出荷)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</row>
        <row r="110">
          <cell r="B110">
            <v>9829177980</v>
          </cell>
          <cell r="C110" t="str">
            <v>梱包計画</v>
          </cell>
          <cell r="D110">
            <v>16</v>
          </cell>
          <cell r="E110">
            <v>0</v>
          </cell>
          <cell r="F110">
            <v>0</v>
          </cell>
          <cell r="G110">
            <v>88</v>
          </cell>
          <cell r="H110">
            <v>88</v>
          </cell>
          <cell r="I110">
            <v>88</v>
          </cell>
          <cell r="J110">
            <v>96</v>
          </cell>
          <cell r="K110">
            <v>96</v>
          </cell>
          <cell r="L110">
            <v>0</v>
          </cell>
          <cell r="M110">
            <v>0</v>
          </cell>
          <cell r="N110">
            <v>88</v>
          </cell>
          <cell r="O110">
            <v>88</v>
          </cell>
          <cell r="P110">
            <v>88</v>
          </cell>
          <cell r="Q110">
            <v>96</v>
          </cell>
          <cell r="R110">
            <v>96</v>
          </cell>
          <cell r="S110">
            <v>0</v>
          </cell>
          <cell r="T110">
            <v>0</v>
          </cell>
          <cell r="U110">
            <v>88</v>
          </cell>
          <cell r="V110">
            <v>88</v>
          </cell>
          <cell r="W110">
            <v>88</v>
          </cell>
          <cell r="X110">
            <v>96</v>
          </cell>
          <cell r="Y110">
            <v>96</v>
          </cell>
          <cell r="Z110">
            <v>0</v>
          </cell>
          <cell r="AA110">
            <v>0</v>
          </cell>
          <cell r="AB110">
            <v>96</v>
          </cell>
          <cell r="AC110">
            <v>96</v>
          </cell>
          <cell r="AD110">
            <v>96</v>
          </cell>
          <cell r="AE110">
            <v>104</v>
          </cell>
          <cell r="AF110">
            <v>104</v>
          </cell>
          <cell r="AG110">
            <v>0</v>
          </cell>
          <cell r="AH110">
            <v>0</v>
          </cell>
          <cell r="AI110">
            <v>0</v>
          </cell>
        </row>
        <row r="111">
          <cell r="C111" t="str">
            <v>(調整）</v>
          </cell>
          <cell r="AB111">
            <v>8</v>
          </cell>
          <cell r="AC111">
            <v>8</v>
          </cell>
          <cell r="AD111">
            <v>8</v>
          </cell>
          <cell r="AE111">
            <v>8</v>
          </cell>
          <cell r="AF111">
            <v>8</v>
          </cell>
        </row>
        <row r="112">
          <cell r="D112">
            <v>648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</row>
        <row r="113"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96</v>
          </cell>
          <cell r="L113">
            <v>0</v>
          </cell>
          <cell r="M113">
            <v>0</v>
          </cell>
          <cell r="N113">
            <v>88</v>
          </cell>
          <cell r="O113">
            <v>88</v>
          </cell>
          <cell r="P113">
            <v>88</v>
          </cell>
          <cell r="Q113">
            <v>82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</row>
        <row r="114"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</row>
        <row r="115"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</row>
        <row r="116">
          <cell r="D116">
            <v>304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14</v>
          </cell>
          <cell r="R116">
            <v>96</v>
          </cell>
          <cell r="S116">
            <v>0</v>
          </cell>
          <cell r="T116">
            <v>0</v>
          </cell>
          <cell r="U116">
            <v>88</v>
          </cell>
          <cell r="V116">
            <v>88</v>
          </cell>
          <cell r="W116">
            <v>18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</row>
        <row r="117">
          <cell r="C117" t="str">
            <v>手直し等</v>
          </cell>
        </row>
        <row r="118">
          <cell r="C118" t="str">
            <v>出荷実績</v>
          </cell>
          <cell r="E118">
            <v>0</v>
          </cell>
          <cell r="F118">
            <v>0</v>
          </cell>
          <cell r="G118">
            <v>64</v>
          </cell>
          <cell r="H118">
            <v>88</v>
          </cell>
          <cell r="I118">
            <v>96</v>
          </cell>
          <cell r="J118">
            <v>96</v>
          </cell>
          <cell r="K118">
            <v>96</v>
          </cell>
          <cell r="L118">
            <v>0</v>
          </cell>
          <cell r="M118">
            <v>0</v>
          </cell>
          <cell r="N118">
            <v>88</v>
          </cell>
          <cell r="O118">
            <v>88</v>
          </cell>
          <cell r="P118">
            <v>96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</row>
        <row r="119">
          <cell r="C119" t="str">
            <v>停止時間（昼勤）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</row>
        <row r="120">
          <cell r="C120" t="str">
            <v>停止時間（夜勤）</v>
          </cell>
          <cell r="E120">
            <v>0</v>
          </cell>
          <cell r="F120">
            <v>0</v>
          </cell>
          <cell r="G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</row>
        <row r="121">
          <cell r="B121">
            <v>9829177980</v>
          </cell>
          <cell r="C121" t="str">
            <v>振替計画・実績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</row>
        <row r="122">
          <cell r="C122" t="str">
            <v>在庫計画</v>
          </cell>
          <cell r="D122">
            <v>206</v>
          </cell>
          <cell r="E122">
            <v>206</v>
          </cell>
          <cell r="F122">
            <v>206</v>
          </cell>
          <cell r="G122">
            <v>258</v>
          </cell>
          <cell r="H122">
            <v>346</v>
          </cell>
          <cell r="I122">
            <v>434</v>
          </cell>
          <cell r="J122">
            <v>526</v>
          </cell>
          <cell r="K122">
            <v>326</v>
          </cell>
          <cell r="L122">
            <v>326</v>
          </cell>
          <cell r="M122">
            <v>326</v>
          </cell>
          <cell r="N122">
            <v>418</v>
          </cell>
          <cell r="O122">
            <v>506</v>
          </cell>
          <cell r="P122">
            <v>234</v>
          </cell>
          <cell r="Q122">
            <v>326</v>
          </cell>
          <cell r="R122">
            <v>422</v>
          </cell>
          <cell r="S122">
            <v>422</v>
          </cell>
          <cell r="T122">
            <v>422</v>
          </cell>
          <cell r="U122">
            <v>514</v>
          </cell>
          <cell r="V122">
            <v>266</v>
          </cell>
          <cell r="W122">
            <v>354</v>
          </cell>
          <cell r="X122">
            <v>158</v>
          </cell>
          <cell r="Y122">
            <v>254</v>
          </cell>
          <cell r="Z122">
            <v>254</v>
          </cell>
          <cell r="AA122">
            <v>254</v>
          </cell>
          <cell r="AB122">
            <v>350</v>
          </cell>
          <cell r="AC122">
            <v>446</v>
          </cell>
          <cell r="AD122">
            <v>270</v>
          </cell>
          <cell r="AE122">
            <v>370</v>
          </cell>
          <cell r="AF122">
            <v>162</v>
          </cell>
          <cell r="AG122">
            <v>162</v>
          </cell>
          <cell r="AH122">
            <v>162</v>
          </cell>
          <cell r="AI122">
            <v>162</v>
          </cell>
        </row>
        <row r="123">
          <cell r="C123" t="str">
            <v>在庫実績(社内)</v>
          </cell>
          <cell r="D123">
            <v>6</v>
          </cell>
          <cell r="E123">
            <v>6</v>
          </cell>
          <cell r="F123">
            <v>6</v>
          </cell>
          <cell r="G123">
            <v>14</v>
          </cell>
          <cell r="H123">
            <v>21</v>
          </cell>
          <cell r="I123">
            <v>8</v>
          </cell>
          <cell r="J123">
            <v>22</v>
          </cell>
          <cell r="K123">
            <v>8</v>
          </cell>
          <cell r="L123">
            <v>8</v>
          </cell>
          <cell r="M123">
            <v>8</v>
          </cell>
          <cell r="N123">
            <v>8</v>
          </cell>
          <cell r="O123">
            <v>8</v>
          </cell>
          <cell r="P123">
            <v>8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</row>
        <row r="124">
          <cell r="C124" t="str">
            <v>在庫実績(物流)</v>
          </cell>
          <cell r="D124">
            <v>200</v>
          </cell>
          <cell r="E124">
            <v>200</v>
          </cell>
          <cell r="F124">
            <v>200</v>
          </cell>
          <cell r="G124">
            <v>264</v>
          </cell>
          <cell r="H124">
            <v>352</v>
          </cell>
          <cell r="I124">
            <v>448</v>
          </cell>
          <cell r="J124">
            <v>544</v>
          </cell>
          <cell r="K124">
            <v>344</v>
          </cell>
          <cell r="L124">
            <v>344</v>
          </cell>
          <cell r="M124">
            <v>344</v>
          </cell>
          <cell r="N124">
            <v>432</v>
          </cell>
          <cell r="O124">
            <v>520</v>
          </cell>
          <cell r="P124">
            <v>256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</row>
        <row r="125">
          <cell r="C125" t="str">
            <v>差異</v>
          </cell>
          <cell r="D125">
            <v>-6</v>
          </cell>
          <cell r="E125">
            <v>0</v>
          </cell>
          <cell r="F125">
            <v>0</v>
          </cell>
          <cell r="G125">
            <v>20</v>
          </cell>
          <cell r="H125">
            <v>27</v>
          </cell>
          <cell r="I125">
            <v>22</v>
          </cell>
          <cell r="J125">
            <v>40</v>
          </cell>
          <cell r="K125">
            <v>26</v>
          </cell>
          <cell r="L125">
            <v>26</v>
          </cell>
          <cell r="M125">
            <v>26</v>
          </cell>
          <cell r="N125">
            <v>22</v>
          </cell>
          <cell r="O125">
            <v>22</v>
          </cell>
          <cell r="P125">
            <v>30</v>
          </cell>
          <cell r="Q125">
            <v>-326</v>
          </cell>
          <cell r="R125">
            <v>-422</v>
          </cell>
          <cell r="S125">
            <v>-422</v>
          </cell>
          <cell r="T125">
            <v>-422</v>
          </cell>
          <cell r="U125">
            <v>-514</v>
          </cell>
          <cell r="V125">
            <v>-266</v>
          </cell>
          <cell r="W125">
            <v>-354</v>
          </cell>
          <cell r="X125">
            <v>-158</v>
          </cell>
          <cell r="Y125">
            <v>-254</v>
          </cell>
          <cell r="Z125">
            <v>-254</v>
          </cell>
          <cell r="AA125">
            <v>-254</v>
          </cell>
          <cell r="AB125">
            <v>-350</v>
          </cell>
          <cell r="AC125">
            <v>-446</v>
          </cell>
          <cell r="AD125">
            <v>-270</v>
          </cell>
          <cell r="AE125">
            <v>-370</v>
          </cell>
          <cell r="AF125">
            <v>-162</v>
          </cell>
          <cell r="AG125">
            <v>-162</v>
          </cell>
          <cell r="AH125">
            <v>-162</v>
          </cell>
          <cell r="AI125">
            <v>-162</v>
          </cell>
        </row>
        <row r="126">
          <cell r="C126" t="str">
            <v>ﾊﾞﾝﾆﾝｸﾞ計画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296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360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336</v>
          </cell>
          <cell r="W126">
            <v>0</v>
          </cell>
          <cell r="X126">
            <v>288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272</v>
          </cell>
          <cell r="AE126">
            <v>0</v>
          </cell>
          <cell r="AF126">
            <v>312</v>
          </cell>
          <cell r="AG126">
            <v>0</v>
          </cell>
          <cell r="AH126">
            <v>0</v>
          </cell>
          <cell r="AI126">
            <v>0</v>
          </cell>
        </row>
        <row r="127">
          <cell r="C127" t="str">
            <v>ｵｰﾀﾞｰ変更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296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360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336</v>
          </cell>
          <cell r="V127">
            <v>0</v>
          </cell>
          <cell r="W127">
            <v>288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272</v>
          </cell>
          <cell r="AD127">
            <v>0</v>
          </cell>
          <cell r="AE127">
            <v>312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</row>
        <row r="128">
          <cell r="C128" t="str">
            <v>20日情報
(工場出荷)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360</v>
          </cell>
          <cell r="P128">
            <v>0</v>
          </cell>
          <cell r="Q128">
            <v>272</v>
          </cell>
          <cell r="R128">
            <v>0</v>
          </cell>
          <cell r="S128">
            <v>0</v>
          </cell>
          <cell r="T128">
            <v>0</v>
          </cell>
          <cell r="U128">
            <v>360</v>
          </cell>
          <cell r="V128">
            <v>0</v>
          </cell>
          <cell r="W128">
            <v>288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272</v>
          </cell>
          <cell r="AD128">
            <v>0</v>
          </cell>
          <cell r="AE128">
            <v>312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</row>
        <row r="129">
          <cell r="B129">
            <v>9830761080</v>
          </cell>
          <cell r="C129" t="str">
            <v>梱包計画</v>
          </cell>
          <cell r="D129">
            <v>112</v>
          </cell>
          <cell r="E129">
            <v>0</v>
          </cell>
          <cell r="F129">
            <v>0</v>
          </cell>
          <cell r="G129">
            <v>160</v>
          </cell>
          <cell r="H129">
            <v>160</v>
          </cell>
          <cell r="I129">
            <v>160</v>
          </cell>
          <cell r="J129">
            <v>168</v>
          </cell>
          <cell r="K129">
            <v>168</v>
          </cell>
          <cell r="L129">
            <v>0</v>
          </cell>
          <cell r="M129">
            <v>0</v>
          </cell>
          <cell r="N129">
            <v>152</v>
          </cell>
          <cell r="O129">
            <v>160</v>
          </cell>
          <cell r="P129">
            <v>160</v>
          </cell>
          <cell r="Q129">
            <v>168</v>
          </cell>
          <cell r="R129">
            <v>168</v>
          </cell>
          <cell r="S129">
            <v>0</v>
          </cell>
          <cell r="T129">
            <v>0</v>
          </cell>
          <cell r="U129">
            <v>160</v>
          </cell>
          <cell r="V129">
            <v>160</v>
          </cell>
          <cell r="W129">
            <v>160</v>
          </cell>
          <cell r="X129">
            <v>168</v>
          </cell>
          <cell r="Y129">
            <v>168</v>
          </cell>
          <cell r="Z129">
            <v>0</v>
          </cell>
          <cell r="AA129">
            <v>0</v>
          </cell>
          <cell r="AB129">
            <v>160</v>
          </cell>
          <cell r="AC129">
            <v>160</v>
          </cell>
          <cell r="AD129">
            <v>160</v>
          </cell>
          <cell r="AE129">
            <v>168</v>
          </cell>
          <cell r="AF129">
            <v>168</v>
          </cell>
          <cell r="AG129">
            <v>0</v>
          </cell>
          <cell r="AH129">
            <v>0</v>
          </cell>
          <cell r="AI129">
            <v>0</v>
          </cell>
        </row>
        <row r="130">
          <cell r="C130" t="str">
            <v>(調整）</v>
          </cell>
        </row>
        <row r="131">
          <cell r="D131">
            <v>1392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</row>
        <row r="132"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160</v>
          </cell>
          <cell r="AE132">
            <v>168</v>
          </cell>
          <cell r="AF132">
            <v>144</v>
          </cell>
          <cell r="AG132">
            <v>0</v>
          </cell>
          <cell r="AH132">
            <v>0</v>
          </cell>
          <cell r="AI132">
            <v>0</v>
          </cell>
        </row>
        <row r="133"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</row>
        <row r="134"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</row>
        <row r="135">
          <cell r="D135">
            <v>912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AE135">
            <v>0</v>
          </cell>
          <cell r="AF135">
            <v>24</v>
          </cell>
          <cell r="AG135">
            <v>0</v>
          </cell>
          <cell r="AH135">
            <v>0</v>
          </cell>
          <cell r="AI135">
            <v>0</v>
          </cell>
        </row>
        <row r="136">
          <cell r="C136" t="str">
            <v>手直し等</v>
          </cell>
        </row>
        <row r="137">
          <cell r="C137" t="str">
            <v>出荷実績</v>
          </cell>
          <cell r="E137">
            <v>0</v>
          </cell>
          <cell r="F137">
            <v>0</v>
          </cell>
          <cell r="G137">
            <v>128</v>
          </cell>
          <cell r="H137">
            <v>168</v>
          </cell>
          <cell r="I137">
            <v>160</v>
          </cell>
          <cell r="J137">
            <v>176</v>
          </cell>
          <cell r="K137">
            <v>168</v>
          </cell>
          <cell r="L137">
            <v>0</v>
          </cell>
          <cell r="M137">
            <v>0</v>
          </cell>
          <cell r="N137">
            <v>152</v>
          </cell>
          <cell r="O137">
            <v>168</v>
          </cell>
          <cell r="P137">
            <v>160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</row>
        <row r="138">
          <cell r="C138" t="str">
            <v>停止時間（昼勤）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</row>
        <row r="139">
          <cell r="C139" t="str">
            <v>停止時間（夜勤）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</row>
        <row r="140">
          <cell r="B140">
            <v>9830761080</v>
          </cell>
          <cell r="C140" t="str">
            <v>振替計画・実績</v>
          </cell>
          <cell r="E140">
            <v>0</v>
          </cell>
          <cell r="F140">
            <v>0</v>
          </cell>
          <cell r="G140">
            <v>1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</row>
        <row r="141">
          <cell r="C141" t="str">
            <v>在庫計画</v>
          </cell>
          <cell r="D141">
            <v>920</v>
          </cell>
          <cell r="E141">
            <v>920</v>
          </cell>
          <cell r="F141">
            <v>920</v>
          </cell>
          <cell r="G141">
            <v>1055</v>
          </cell>
          <cell r="H141">
            <v>975</v>
          </cell>
          <cell r="I141">
            <v>1135</v>
          </cell>
          <cell r="J141">
            <v>995</v>
          </cell>
          <cell r="K141">
            <v>1163</v>
          </cell>
          <cell r="L141">
            <v>1163</v>
          </cell>
          <cell r="M141">
            <v>1163</v>
          </cell>
          <cell r="N141">
            <v>1323</v>
          </cell>
          <cell r="O141">
            <v>1479</v>
          </cell>
          <cell r="P141">
            <v>1135</v>
          </cell>
          <cell r="Q141">
            <v>1299</v>
          </cell>
          <cell r="R141">
            <v>1011</v>
          </cell>
          <cell r="S141">
            <v>963</v>
          </cell>
          <cell r="T141">
            <v>963</v>
          </cell>
          <cell r="U141">
            <v>1127</v>
          </cell>
          <cell r="V141">
            <v>831</v>
          </cell>
          <cell r="W141">
            <v>991</v>
          </cell>
          <cell r="X141">
            <v>667</v>
          </cell>
          <cell r="Y141">
            <v>835</v>
          </cell>
          <cell r="Z141">
            <v>835</v>
          </cell>
          <cell r="AA141">
            <v>835</v>
          </cell>
          <cell r="AB141">
            <v>999</v>
          </cell>
          <cell r="AC141">
            <v>1159</v>
          </cell>
          <cell r="AD141">
            <v>927</v>
          </cell>
          <cell r="AE141">
            <v>1091</v>
          </cell>
          <cell r="AF141">
            <v>867</v>
          </cell>
          <cell r="AG141">
            <v>867</v>
          </cell>
          <cell r="AH141">
            <v>867</v>
          </cell>
          <cell r="AI141">
            <v>867</v>
          </cell>
        </row>
        <row r="142">
          <cell r="C142" t="str">
            <v>在庫実績(社内)</v>
          </cell>
          <cell r="D142">
            <v>0</v>
          </cell>
          <cell r="E142">
            <v>0</v>
          </cell>
          <cell r="F142">
            <v>0</v>
          </cell>
          <cell r="G142">
            <v>24</v>
          </cell>
          <cell r="H142">
            <v>28</v>
          </cell>
          <cell r="I142">
            <v>16</v>
          </cell>
          <cell r="J142">
            <v>24</v>
          </cell>
          <cell r="K142">
            <v>13</v>
          </cell>
          <cell r="L142">
            <v>13</v>
          </cell>
          <cell r="M142">
            <v>13</v>
          </cell>
          <cell r="N142">
            <v>8</v>
          </cell>
          <cell r="O142">
            <v>16</v>
          </cell>
          <cell r="P142">
            <v>16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</row>
        <row r="143">
          <cell r="C143" t="str">
            <v>在庫実績(物流)</v>
          </cell>
          <cell r="D143">
            <v>920</v>
          </cell>
          <cell r="E143">
            <v>920</v>
          </cell>
          <cell r="F143">
            <v>920</v>
          </cell>
          <cell r="G143">
            <v>1048</v>
          </cell>
          <cell r="H143">
            <v>976</v>
          </cell>
          <cell r="I143">
            <v>1136</v>
          </cell>
          <cell r="J143">
            <v>1008</v>
          </cell>
          <cell r="K143">
            <v>1176</v>
          </cell>
          <cell r="L143">
            <v>1176</v>
          </cell>
          <cell r="M143">
            <v>1176</v>
          </cell>
          <cell r="N143">
            <v>1328</v>
          </cell>
          <cell r="O143">
            <v>1496</v>
          </cell>
          <cell r="P143">
            <v>1152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</row>
        <row r="144">
          <cell r="C144" t="str">
            <v>差異</v>
          </cell>
          <cell r="D144">
            <v>0</v>
          </cell>
          <cell r="E144">
            <v>0</v>
          </cell>
          <cell r="F144">
            <v>0</v>
          </cell>
          <cell r="G144">
            <v>17</v>
          </cell>
          <cell r="H144">
            <v>29</v>
          </cell>
          <cell r="I144">
            <v>17</v>
          </cell>
          <cell r="J144">
            <v>37</v>
          </cell>
          <cell r="K144">
            <v>26</v>
          </cell>
          <cell r="L144">
            <v>26</v>
          </cell>
          <cell r="M144">
            <v>26</v>
          </cell>
          <cell r="N144">
            <v>13</v>
          </cell>
          <cell r="O144">
            <v>33</v>
          </cell>
          <cell r="P144">
            <v>33</v>
          </cell>
          <cell r="Q144">
            <v>-1299</v>
          </cell>
          <cell r="R144">
            <v>-1011</v>
          </cell>
          <cell r="S144">
            <v>-963</v>
          </cell>
          <cell r="T144">
            <v>-963</v>
          </cell>
          <cell r="U144">
            <v>-1127</v>
          </cell>
          <cell r="V144">
            <v>-831</v>
          </cell>
          <cell r="W144">
            <v>-991</v>
          </cell>
          <cell r="X144">
            <v>-667</v>
          </cell>
          <cell r="Y144">
            <v>-835</v>
          </cell>
          <cell r="Z144">
            <v>-835</v>
          </cell>
          <cell r="AA144">
            <v>-835</v>
          </cell>
          <cell r="AB144">
            <v>-999</v>
          </cell>
          <cell r="AC144">
            <v>-1159</v>
          </cell>
          <cell r="AD144">
            <v>-927</v>
          </cell>
          <cell r="AE144">
            <v>-1091</v>
          </cell>
          <cell r="AF144">
            <v>-867</v>
          </cell>
          <cell r="AG144">
            <v>-867</v>
          </cell>
          <cell r="AH144">
            <v>-867</v>
          </cell>
          <cell r="AI144">
            <v>-867</v>
          </cell>
        </row>
        <row r="145">
          <cell r="C145" t="str">
            <v>ﾊﾞﾝﾆﾝｸﾞ計画</v>
          </cell>
          <cell r="E145">
            <v>0</v>
          </cell>
          <cell r="F145">
            <v>0</v>
          </cell>
          <cell r="G145">
            <v>0</v>
          </cell>
          <cell r="H145">
            <v>240</v>
          </cell>
          <cell r="I145">
            <v>0</v>
          </cell>
          <cell r="J145">
            <v>304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504</v>
          </cell>
          <cell r="Q145">
            <v>0</v>
          </cell>
          <cell r="R145">
            <v>456</v>
          </cell>
          <cell r="S145">
            <v>48</v>
          </cell>
          <cell r="T145">
            <v>0</v>
          </cell>
          <cell r="U145">
            <v>0</v>
          </cell>
          <cell r="V145">
            <v>456</v>
          </cell>
          <cell r="W145">
            <v>0</v>
          </cell>
          <cell r="X145">
            <v>488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392</v>
          </cell>
          <cell r="AE145">
            <v>0</v>
          </cell>
          <cell r="AF145">
            <v>392</v>
          </cell>
          <cell r="AG145">
            <v>0</v>
          </cell>
          <cell r="AH145">
            <v>0</v>
          </cell>
          <cell r="AI145">
            <v>0</v>
          </cell>
        </row>
        <row r="146">
          <cell r="C146" t="str">
            <v>ｵｰﾀﾞｰ変更</v>
          </cell>
          <cell r="E146">
            <v>0</v>
          </cell>
          <cell r="F146">
            <v>0</v>
          </cell>
          <cell r="G146">
            <v>240</v>
          </cell>
          <cell r="H146">
            <v>0</v>
          </cell>
          <cell r="I146">
            <v>304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504</v>
          </cell>
          <cell r="P146">
            <v>0</v>
          </cell>
          <cell r="Q146">
            <v>456</v>
          </cell>
          <cell r="R146">
            <v>48</v>
          </cell>
          <cell r="S146">
            <v>0</v>
          </cell>
          <cell r="T146">
            <v>0</v>
          </cell>
          <cell r="U146">
            <v>456</v>
          </cell>
          <cell r="V146">
            <v>0</v>
          </cell>
          <cell r="W146">
            <v>488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392</v>
          </cell>
          <cell r="AD146">
            <v>0</v>
          </cell>
          <cell r="AE146">
            <v>392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</row>
        <row r="147">
          <cell r="C147" t="str">
            <v>20日情報
(工場出荷)</v>
          </cell>
          <cell r="E147">
            <v>0</v>
          </cell>
          <cell r="F147">
            <v>0</v>
          </cell>
          <cell r="G147">
            <v>240</v>
          </cell>
          <cell r="H147">
            <v>0</v>
          </cell>
          <cell r="I147">
            <v>0</v>
          </cell>
          <cell r="J147">
            <v>304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504</v>
          </cell>
          <cell r="P147">
            <v>0</v>
          </cell>
          <cell r="Q147">
            <v>504</v>
          </cell>
          <cell r="R147">
            <v>0</v>
          </cell>
          <cell r="S147">
            <v>0</v>
          </cell>
          <cell r="T147">
            <v>0</v>
          </cell>
          <cell r="U147">
            <v>456</v>
          </cell>
          <cell r="V147">
            <v>0</v>
          </cell>
          <cell r="W147">
            <v>488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392</v>
          </cell>
          <cell r="AD147">
            <v>0</v>
          </cell>
          <cell r="AE147">
            <v>392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</row>
        <row r="148">
          <cell r="B148">
            <v>9828185180</v>
          </cell>
          <cell r="C148" t="str">
            <v>梱包計画</v>
          </cell>
          <cell r="D148">
            <v>32</v>
          </cell>
          <cell r="E148">
            <v>0</v>
          </cell>
          <cell r="F148">
            <v>0</v>
          </cell>
          <cell r="G148">
            <v>24</v>
          </cell>
          <cell r="H148">
            <v>24</v>
          </cell>
          <cell r="I148">
            <v>24</v>
          </cell>
          <cell r="J148">
            <v>24</v>
          </cell>
          <cell r="K148">
            <v>24</v>
          </cell>
          <cell r="L148">
            <v>0</v>
          </cell>
          <cell r="M148">
            <v>0</v>
          </cell>
          <cell r="N148">
            <v>24</v>
          </cell>
          <cell r="O148">
            <v>24</v>
          </cell>
          <cell r="P148">
            <v>24</v>
          </cell>
          <cell r="Q148">
            <v>24</v>
          </cell>
          <cell r="R148">
            <v>24</v>
          </cell>
          <cell r="S148">
            <v>0</v>
          </cell>
          <cell r="T148">
            <v>0</v>
          </cell>
          <cell r="U148">
            <v>24</v>
          </cell>
          <cell r="V148">
            <v>24</v>
          </cell>
          <cell r="W148">
            <v>24</v>
          </cell>
          <cell r="X148">
            <v>24</v>
          </cell>
          <cell r="Y148">
            <v>24</v>
          </cell>
          <cell r="Z148">
            <v>0</v>
          </cell>
          <cell r="AA148">
            <v>0</v>
          </cell>
          <cell r="AB148">
            <v>24</v>
          </cell>
          <cell r="AC148">
            <v>24</v>
          </cell>
          <cell r="AD148">
            <v>24</v>
          </cell>
          <cell r="AE148">
            <v>24</v>
          </cell>
          <cell r="AF148">
            <v>24</v>
          </cell>
          <cell r="AG148">
            <v>0</v>
          </cell>
          <cell r="AH148">
            <v>0</v>
          </cell>
          <cell r="AI148">
            <v>0</v>
          </cell>
        </row>
        <row r="149">
          <cell r="C149" t="str">
            <v>(調整）</v>
          </cell>
        </row>
        <row r="150">
          <cell r="D150">
            <v>104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</row>
        <row r="151"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</row>
        <row r="152"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</row>
        <row r="153"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</row>
        <row r="154">
          <cell r="D154">
            <v>96</v>
          </cell>
          <cell r="E154">
            <v>0</v>
          </cell>
          <cell r="F154">
            <v>0</v>
          </cell>
          <cell r="G154">
            <v>24</v>
          </cell>
          <cell r="H154">
            <v>24</v>
          </cell>
          <cell r="I154">
            <v>10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</row>
        <row r="155">
          <cell r="C155" t="str">
            <v>手直し等</v>
          </cell>
        </row>
        <row r="156">
          <cell r="C156" t="str">
            <v>出荷実績</v>
          </cell>
          <cell r="E156">
            <v>0</v>
          </cell>
          <cell r="F156">
            <v>0</v>
          </cell>
          <cell r="G156">
            <v>16</v>
          </cell>
          <cell r="H156">
            <v>24</v>
          </cell>
          <cell r="I156">
            <v>32</v>
          </cell>
          <cell r="J156">
            <v>24</v>
          </cell>
          <cell r="K156">
            <v>24</v>
          </cell>
          <cell r="L156">
            <v>0</v>
          </cell>
          <cell r="M156">
            <v>0</v>
          </cell>
          <cell r="N156">
            <v>24</v>
          </cell>
          <cell r="O156">
            <v>24</v>
          </cell>
          <cell r="P156">
            <v>24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</row>
        <row r="157">
          <cell r="C157" t="str">
            <v>停止時間（昼勤）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</row>
        <row r="158">
          <cell r="C158" t="str">
            <v>停止時間（夜勤）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</row>
        <row r="159">
          <cell r="B159">
            <v>9828185180</v>
          </cell>
          <cell r="C159" t="str">
            <v>振替計画・実績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</row>
        <row r="160">
          <cell r="C160" t="str">
            <v>在庫計画</v>
          </cell>
          <cell r="D160">
            <v>142</v>
          </cell>
          <cell r="E160">
            <v>142</v>
          </cell>
          <cell r="F160">
            <v>142</v>
          </cell>
          <cell r="G160">
            <v>170</v>
          </cell>
          <cell r="H160">
            <v>194</v>
          </cell>
          <cell r="I160">
            <v>154</v>
          </cell>
          <cell r="J160">
            <v>178</v>
          </cell>
          <cell r="K160">
            <v>138</v>
          </cell>
          <cell r="L160">
            <v>138</v>
          </cell>
          <cell r="M160">
            <v>138</v>
          </cell>
          <cell r="N160">
            <v>162</v>
          </cell>
          <cell r="O160">
            <v>186</v>
          </cell>
          <cell r="P160">
            <v>146</v>
          </cell>
          <cell r="Q160">
            <v>170</v>
          </cell>
          <cell r="R160">
            <v>194</v>
          </cell>
          <cell r="S160">
            <v>122</v>
          </cell>
          <cell r="T160">
            <v>122</v>
          </cell>
          <cell r="U160">
            <v>146</v>
          </cell>
          <cell r="V160">
            <v>106</v>
          </cell>
          <cell r="W160">
            <v>130</v>
          </cell>
          <cell r="X160">
            <v>106</v>
          </cell>
          <cell r="Y160">
            <v>130</v>
          </cell>
          <cell r="Z160">
            <v>130</v>
          </cell>
          <cell r="AA160">
            <v>130</v>
          </cell>
          <cell r="AB160">
            <v>154</v>
          </cell>
          <cell r="AC160">
            <v>178</v>
          </cell>
          <cell r="AD160">
            <v>138</v>
          </cell>
          <cell r="AE160">
            <v>162</v>
          </cell>
          <cell r="AF160">
            <v>146</v>
          </cell>
          <cell r="AG160">
            <v>146</v>
          </cell>
          <cell r="AH160">
            <v>146</v>
          </cell>
          <cell r="AI160">
            <v>146</v>
          </cell>
        </row>
        <row r="161">
          <cell r="C161" t="str">
            <v>在庫実績(社内)</v>
          </cell>
          <cell r="D161">
            <v>6</v>
          </cell>
          <cell r="E161">
            <v>6</v>
          </cell>
          <cell r="F161">
            <v>6</v>
          </cell>
          <cell r="G161">
            <v>5</v>
          </cell>
          <cell r="H161">
            <v>5</v>
          </cell>
          <cell r="I161">
            <v>6</v>
          </cell>
          <cell r="J161">
            <v>6</v>
          </cell>
          <cell r="K161">
            <v>6</v>
          </cell>
          <cell r="L161">
            <v>6</v>
          </cell>
          <cell r="M161">
            <v>6</v>
          </cell>
          <cell r="N161">
            <v>5</v>
          </cell>
          <cell r="O161">
            <v>5</v>
          </cell>
          <cell r="P161">
            <v>5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</row>
        <row r="162">
          <cell r="C162" t="str">
            <v>在庫実績(物流)</v>
          </cell>
          <cell r="D162">
            <v>136</v>
          </cell>
          <cell r="E162">
            <v>136</v>
          </cell>
          <cell r="F162">
            <v>136</v>
          </cell>
          <cell r="G162">
            <v>152</v>
          </cell>
          <cell r="H162">
            <v>176</v>
          </cell>
          <cell r="I162">
            <v>144</v>
          </cell>
          <cell r="J162">
            <v>168</v>
          </cell>
          <cell r="K162">
            <v>128</v>
          </cell>
          <cell r="L162">
            <v>128</v>
          </cell>
          <cell r="M162">
            <v>128</v>
          </cell>
          <cell r="N162">
            <v>152</v>
          </cell>
          <cell r="O162">
            <v>176</v>
          </cell>
          <cell r="P162">
            <v>136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</row>
        <row r="163">
          <cell r="C163" t="str">
            <v>差異</v>
          </cell>
          <cell r="D163">
            <v>-6</v>
          </cell>
          <cell r="E163">
            <v>0</v>
          </cell>
          <cell r="F163">
            <v>0</v>
          </cell>
          <cell r="G163">
            <v>-13</v>
          </cell>
          <cell r="H163">
            <v>-13</v>
          </cell>
          <cell r="I163">
            <v>-4</v>
          </cell>
          <cell r="J163">
            <v>-4</v>
          </cell>
          <cell r="K163">
            <v>-4</v>
          </cell>
          <cell r="L163">
            <v>-4</v>
          </cell>
          <cell r="M163">
            <v>-4</v>
          </cell>
          <cell r="N163">
            <v>-5</v>
          </cell>
          <cell r="O163">
            <v>-5</v>
          </cell>
          <cell r="P163">
            <v>-5</v>
          </cell>
          <cell r="Q163">
            <v>-170</v>
          </cell>
          <cell r="R163">
            <v>-194</v>
          </cell>
          <cell r="S163">
            <v>-122</v>
          </cell>
          <cell r="T163">
            <v>-122</v>
          </cell>
          <cell r="U163">
            <v>-146</v>
          </cell>
          <cell r="V163">
            <v>-106</v>
          </cell>
          <cell r="W163">
            <v>-130</v>
          </cell>
          <cell r="X163">
            <v>-106</v>
          </cell>
          <cell r="Y163">
            <v>-130</v>
          </cell>
          <cell r="Z163">
            <v>-130</v>
          </cell>
          <cell r="AA163">
            <v>-130</v>
          </cell>
          <cell r="AB163">
            <v>-154</v>
          </cell>
          <cell r="AC163">
            <v>-178</v>
          </cell>
          <cell r="AD163">
            <v>-138</v>
          </cell>
          <cell r="AE163">
            <v>-162</v>
          </cell>
          <cell r="AF163">
            <v>-146</v>
          </cell>
          <cell r="AG163">
            <v>-146</v>
          </cell>
          <cell r="AH163">
            <v>-146</v>
          </cell>
          <cell r="AI163">
            <v>-146</v>
          </cell>
        </row>
        <row r="164">
          <cell r="C164" t="str">
            <v>ﾊﾞﾝﾆﾝｸﾞ計画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64</v>
          </cell>
          <cell r="J164">
            <v>0</v>
          </cell>
          <cell r="K164">
            <v>64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64</v>
          </cell>
          <cell r="Q164">
            <v>0</v>
          </cell>
          <cell r="R164">
            <v>0</v>
          </cell>
          <cell r="S164">
            <v>72</v>
          </cell>
          <cell r="T164">
            <v>0</v>
          </cell>
          <cell r="U164">
            <v>0</v>
          </cell>
          <cell r="V164">
            <v>64</v>
          </cell>
          <cell r="W164">
            <v>0</v>
          </cell>
          <cell r="X164">
            <v>48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64</v>
          </cell>
          <cell r="AE164">
            <v>0</v>
          </cell>
          <cell r="AF164">
            <v>40</v>
          </cell>
          <cell r="AG164">
            <v>0</v>
          </cell>
          <cell r="AH164">
            <v>0</v>
          </cell>
          <cell r="AI164">
            <v>0</v>
          </cell>
        </row>
        <row r="165">
          <cell r="C165" t="str">
            <v>ｵｰﾀﾞｰ変更</v>
          </cell>
          <cell r="E165">
            <v>0</v>
          </cell>
          <cell r="F165">
            <v>0</v>
          </cell>
          <cell r="H165">
            <v>64</v>
          </cell>
          <cell r="I165">
            <v>0</v>
          </cell>
          <cell r="J165">
            <v>64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64</v>
          </cell>
          <cell r="P165">
            <v>0</v>
          </cell>
          <cell r="R165">
            <v>72</v>
          </cell>
          <cell r="S165">
            <v>0</v>
          </cell>
          <cell r="T165">
            <v>0</v>
          </cell>
          <cell r="U165">
            <v>64</v>
          </cell>
          <cell r="V165">
            <v>0</v>
          </cell>
          <cell r="W165">
            <v>48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64</v>
          </cell>
          <cell r="AD165">
            <v>0</v>
          </cell>
          <cell r="AE165">
            <v>40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</row>
        <row r="166">
          <cell r="C166" t="str">
            <v>20日情報
(工場出荷)</v>
          </cell>
          <cell r="E166">
            <v>0</v>
          </cell>
          <cell r="F166">
            <v>0</v>
          </cell>
          <cell r="G166">
            <v>64</v>
          </cell>
          <cell r="H166">
            <v>0</v>
          </cell>
          <cell r="I166">
            <v>0</v>
          </cell>
          <cell r="J166">
            <v>64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64</v>
          </cell>
          <cell r="P166">
            <v>0</v>
          </cell>
          <cell r="Q166">
            <v>72</v>
          </cell>
          <cell r="R166">
            <v>0</v>
          </cell>
          <cell r="S166">
            <v>0</v>
          </cell>
          <cell r="T166">
            <v>0</v>
          </cell>
          <cell r="U166">
            <v>64</v>
          </cell>
          <cell r="V166">
            <v>0</v>
          </cell>
          <cell r="W166">
            <v>48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64</v>
          </cell>
          <cell r="AD166">
            <v>0</v>
          </cell>
          <cell r="AE166">
            <v>40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</row>
        <row r="167">
          <cell r="B167">
            <v>9824806380</v>
          </cell>
          <cell r="C167" t="str">
            <v>梱包計画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</row>
        <row r="168">
          <cell r="C168" t="str">
            <v>(調整）</v>
          </cell>
        </row>
        <row r="169"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</row>
        <row r="170"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</row>
        <row r="171"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</row>
        <row r="172"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</row>
        <row r="173"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</row>
        <row r="174">
          <cell r="C174" t="str">
            <v>手直し等</v>
          </cell>
        </row>
        <row r="175">
          <cell r="C175" t="str">
            <v>出荷実績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</row>
        <row r="176">
          <cell r="C176" t="str">
            <v>停止時間（昼勤）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</row>
        <row r="177">
          <cell r="C177" t="str">
            <v>停止時間（夜勤）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</row>
        <row r="178">
          <cell r="B178">
            <v>9824806380</v>
          </cell>
          <cell r="C178" t="str">
            <v>振替計画・実績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</row>
        <row r="179">
          <cell r="C179" t="str">
            <v>在庫計画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</row>
        <row r="180">
          <cell r="C180" t="str">
            <v>在庫実績(社内)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</row>
        <row r="181">
          <cell r="C181" t="str">
            <v>在庫実績(物流)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</row>
        <row r="182">
          <cell r="C182" t="str">
            <v>差異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</row>
        <row r="183">
          <cell r="C183" t="str">
            <v>ﾊﾞﾝﾆﾝｸﾞ計画</v>
          </cell>
        </row>
        <row r="184">
          <cell r="C184" t="str">
            <v>ｵｰﾀﾞｰ変更</v>
          </cell>
        </row>
        <row r="185">
          <cell r="C185" t="str">
            <v>20日情報
(工場出荷)</v>
          </cell>
        </row>
        <row r="186">
          <cell r="B186">
            <v>9838183280</v>
          </cell>
          <cell r="C186" t="str">
            <v>梱包計画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</row>
        <row r="187">
          <cell r="C187" t="str">
            <v>(調整）</v>
          </cell>
        </row>
        <row r="188"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</row>
        <row r="189"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</row>
        <row r="190"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</row>
        <row r="191"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</row>
        <row r="192"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</row>
        <row r="193">
          <cell r="C193" t="str">
            <v>手直し等</v>
          </cell>
        </row>
        <row r="194">
          <cell r="C194" t="str">
            <v>出荷実績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</row>
        <row r="195">
          <cell r="C195" t="str">
            <v>停止時間（昼勤）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</row>
        <row r="196">
          <cell r="C196" t="str">
            <v>停止時間（夜勤）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</row>
        <row r="197">
          <cell r="B197">
            <v>9838183280</v>
          </cell>
          <cell r="C197" t="str">
            <v>振替計画・実績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</row>
        <row r="198">
          <cell r="C198" t="str">
            <v>在庫計画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</row>
        <row r="199">
          <cell r="C199" t="str">
            <v>在庫実績(社内)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</row>
        <row r="200">
          <cell r="C200" t="str">
            <v>在庫実績(物流)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</row>
        <row r="201">
          <cell r="C201" t="str">
            <v>差異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</row>
        <row r="202">
          <cell r="C202" t="str">
            <v>ﾊﾞﾝﾆﾝｸﾞ計画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</row>
        <row r="203">
          <cell r="C203" t="str">
            <v>ｵｰﾀﾞｰ変更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</row>
        <row r="204">
          <cell r="C204" t="str">
            <v>20日情報
(工場出荷)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</row>
        <row r="205">
          <cell r="B205">
            <v>9825697280</v>
          </cell>
          <cell r="C205" t="str">
            <v>梱包計画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</row>
        <row r="206">
          <cell r="C206" t="str">
            <v>(調整）</v>
          </cell>
        </row>
        <row r="212">
          <cell r="C212" t="str">
            <v>手直し等</v>
          </cell>
        </row>
        <row r="213">
          <cell r="C213" t="str">
            <v>出荷実績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</row>
        <row r="214">
          <cell r="C214" t="str">
            <v>停止時間（昼勤）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</row>
        <row r="215">
          <cell r="C215" t="str">
            <v>停止時間（夜勤）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</row>
        <row r="216">
          <cell r="B216">
            <v>9825697280</v>
          </cell>
          <cell r="C216" t="str">
            <v>振替計画・実績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</row>
        <row r="217">
          <cell r="C217" t="str">
            <v>在庫計画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</row>
        <row r="218">
          <cell r="C218" t="str">
            <v>在庫実績(社内)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</row>
        <row r="219">
          <cell r="C219" t="str">
            <v>在庫実績(物流)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</row>
        <row r="220">
          <cell r="C220" t="str">
            <v>差異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</row>
        <row r="221">
          <cell r="C221" t="str">
            <v>ﾊﾞﾝﾆﾝｸﾞ計画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</row>
        <row r="222">
          <cell r="C222" t="str">
            <v>ｵｰﾀﾞｰ変更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</row>
        <row r="223">
          <cell r="C223" t="str">
            <v>20日情報
(工場出荷)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</row>
        <row r="224">
          <cell r="B224">
            <v>9827962280</v>
          </cell>
          <cell r="C224" t="str">
            <v>梱包計画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1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8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3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1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</row>
        <row r="225">
          <cell r="C225" t="str">
            <v>(調整）</v>
          </cell>
          <cell r="H225">
            <v>1</v>
          </cell>
          <cell r="N225">
            <v>8</v>
          </cell>
          <cell r="U225">
            <v>3</v>
          </cell>
          <cell r="AB225">
            <v>1</v>
          </cell>
        </row>
        <row r="226"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</row>
        <row r="227"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</row>
        <row r="228"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</row>
        <row r="229"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</row>
        <row r="230"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</row>
        <row r="231">
          <cell r="C231" t="str">
            <v>手直し等</v>
          </cell>
        </row>
        <row r="232">
          <cell r="C232" t="str">
            <v>出荷実績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1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</row>
        <row r="233">
          <cell r="C233" t="str">
            <v>停止時間（昼勤）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</row>
        <row r="234">
          <cell r="C234" t="str">
            <v>停止時間（夜勤）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</row>
        <row r="235">
          <cell r="B235">
            <v>9827962280</v>
          </cell>
          <cell r="C235" t="str">
            <v>振替計画・実績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1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8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3</v>
          </cell>
          <cell r="AD235">
            <v>0</v>
          </cell>
          <cell r="AE235">
            <v>0</v>
          </cell>
          <cell r="AF235">
            <v>1</v>
          </cell>
          <cell r="AG235">
            <v>0</v>
          </cell>
          <cell r="AH235">
            <v>0</v>
          </cell>
          <cell r="AI235">
            <v>0</v>
          </cell>
        </row>
        <row r="236">
          <cell r="C236" t="str">
            <v>在庫計画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0.5</v>
          </cell>
          <cell r="I236">
            <v>1</v>
          </cell>
          <cell r="J236">
            <v>1</v>
          </cell>
          <cell r="K236">
            <v>0</v>
          </cell>
          <cell r="L236">
            <v>0</v>
          </cell>
          <cell r="M236">
            <v>0</v>
          </cell>
          <cell r="N236">
            <v>4</v>
          </cell>
          <cell r="O236">
            <v>8</v>
          </cell>
          <cell r="P236">
            <v>8</v>
          </cell>
          <cell r="Q236">
            <v>8</v>
          </cell>
          <cell r="R236">
            <v>8</v>
          </cell>
          <cell r="S236">
            <v>8</v>
          </cell>
          <cell r="T236">
            <v>8</v>
          </cell>
          <cell r="U236">
            <v>1.5</v>
          </cell>
          <cell r="V236">
            <v>3</v>
          </cell>
          <cell r="W236">
            <v>3</v>
          </cell>
          <cell r="X236">
            <v>3</v>
          </cell>
          <cell r="Y236">
            <v>3</v>
          </cell>
          <cell r="Z236">
            <v>3</v>
          </cell>
          <cell r="AA236">
            <v>3</v>
          </cell>
          <cell r="AB236">
            <v>3.5</v>
          </cell>
          <cell r="AC236">
            <v>1</v>
          </cell>
          <cell r="AD236">
            <v>1</v>
          </cell>
          <cell r="AE236">
            <v>1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</row>
        <row r="237">
          <cell r="C237" t="str">
            <v>在庫実績(社内)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</row>
        <row r="238">
          <cell r="C238" t="str">
            <v>在庫実績(物流)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1</v>
          </cell>
          <cell r="L238">
            <v>1</v>
          </cell>
          <cell r="M238">
            <v>1</v>
          </cell>
          <cell r="N238">
            <v>1</v>
          </cell>
          <cell r="O238">
            <v>1</v>
          </cell>
          <cell r="P238">
            <v>1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</row>
        <row r="239">
          <cell r="C239" t="str">
            <v>差異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-0.5</v>
          </cell>
          <cell r="I239">
            <v>-1</v>
          </cell>
          <cell r="J239">
            <v>-1</v>
          </cell>
          <cell r="K239">
            <v>1</v>
          </cell>
          <cell r="L239">
            <v>1</v>
          </cell>
          <cell r="M239">
            <v>1</v>
          </cell>
          <cell r="N239">
            <v>-3</v>
          </cell>
          <cell r="O239">
            <v>-7</v>
          </cell>
          <cell r="P239">
            <v>-7</v>
          </cell>
          <cell r="Q239">
            <v>-8</v>
          </cell>
          <cell r="R239">
            <v>-8</v>
          </cell>
          <cell r="S239">
            <v>-8</v>
          </cell>
          <cell r="T239">
            <v>-8</v>
          </cell>
          <cell r="U239">
            <v>-1.5</v>
          </cell>
          <cell r="V239">
            <v>-3</v>
          </cell>
          <cell r="W239">
            <v>-3</v>
          </cell>
          <cell r="X239">
            <v>-3</v>
          </cell>
          <cell r="Y239">
            <v>-3</v>
          </cell>
          <cell r="Z239">
            <v>-3</v>
          </cell>
          <cell r="AA239">
            <v>-3</v>
          </cell>
          <cell r="AB239">
            <v>-3.5</v>
          </cell>
          <cell r="AC239">
            <v>-1</v>
          </cell>
          <cell r="AD239">
            <v>-1</v>
          </cell>
          <cell r="AE239">
            <v>-1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</row>
        <row r="240">
          <cell r="C240" t="str">
            <v>ﾊﾞﾝﾆﾝｸﾞ計画</v>
          </cell>
        </row>
        <row r="241">
          <cell r="C241" t="str">
            <v>ｵｰﾀﾞｰ変更</v>
          </cell>
        </row>
        <row r="242">
          <cell r="C242" t="str">
            <v>20日情報
(工場出荷)</v>
          </cell>
        </row>
        <row r="243">
          <cell r="C243" t="str">
            <v>ﾊﾞﾝﾆﾝｸﾞ計画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</row>
        <row r="244">
          <cell r="B244" t="str">
            <v>PSAﾓﾝｽ</v>
          </cell>
          <cell r="C244" t="str">
            <v>ｵｰﾀﾞｰ変更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</row>
        <row r="245">
          <cell r="C245" t="str">
            <v>20日情報
(工場出荷)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</row>
        <row r="246">
          <cell r="B246">
            <v>9827962380</v>
          </cell>
          <cell r="C246" t="str">
            <v>梱包計画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</row>
        <row r="247">
          <cell r="C247" t="str">
            <v>(調整）</v>
          </cell>
        </row>
        <row r="248"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</row>
        <row r="249"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</row>
        <row r="250"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</row>
        <row r="251"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</row>
        <row r="252"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</row>
        <row r="253">
          <cell r="C253" t="str">
            <v>手直し等</v>
          </cell>
        </row>
        <row r="254">
          <cell r="C254" t="str">
            <v>出荷実績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</row>
        <row r="255">
          <cell r="C255" t="str">
            <v>停止時間（昼勤）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</row>
        <row r="256">
          <cell r="C256" t="str">
            <v>停止時間（夜勤）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</row>
        <row r="257">
          <cell r="B257">
            <v>9827962380</v>
          </cell>
          <cell r="C257" t="str">
            <v>振替計画・実績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</row>
        <row r="258">
          <cell r="C258" t="str">
            <v>在庫計画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</row>
        <row r="259">
          <cell r="C259" t="str">
            <v>在庫実績(社内)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</row>
        <row r="260">
          <cell r="C260" t="str">
            <v>在庫実績(物流)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</row>
        <row r="261">
          <cell r="C261" t="str">
            <v>差異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</row>
        <row r="262">
          <cell r="C262" t="str">
            <v>ﾊﾞﾝﾆﾝｸﾞ計画</v>
          </cell>
        </row>
        <row r="263">
          <cell r="C263" t="str">
            <v>ｵｰﾀﾞｰ変更</v>
          </cell>
        </row>
        <row r="264">
          <cell r="C264" t="str">
            <v>20日情報
(工場出荷)</v>
          </cell>
        </row>
        <row r="265">
          <cell r="B265">
            <v>9828300080</v>
          </cell>
          <cell r="C265" t="str">
            <v>梱包計画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</row>
        <row r="266">
          <cell r="C266" t="str">
            <v>(調整）</v>
          </cell>
        </row>
        <row r="267">
          <cell r="D267">
            <v>0</v>
          </cell>
          <cell r="E267">
            <v>0</v>
          </cell>
        </row>
        <row r="268">
          <cell r="E268">
            <v>0</v>
          </cell>
          <cell r="F268" t="str">
            <v>.</v>
          </cell>
          <cell r="AH268">
            <v>0</v>
          </cell>
          <cell r="AI268">
            <v>0</v>
          </cell>
        </row>
        <row r="269"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</row>
        <row r="270"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</row>
        <row r="271"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</row>
        <row r="272">
          <cell r="C272" t="str">
            <v>手直し等</v>
          </cell>
        </row>
        <row r="273">
          <cell r="C273" t="str">
            <v>出荷実績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</row>
        <row r="274">
          <cell r="C274" t="str">
            <v>停止時間（昼勤）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</row>
        <row r="275">
          <cell r="C275" t="str">
            <v>停止時間（夜勤）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</row>
        <row r="276">
          <cell r="B276">
            <v>9828300080</v>
          </cell>
          <cell r="C276" t="str">
            <v>振替計画・実績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</row>
        <row r="277">
          <cell r="C277" t="str">
            <v>在庫計画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</row>
        <row r="278">
          <cell r="C278" t="str">
            <v>在庫実績(社内)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</row>
        <row r="279">
          <cell r="C279" t="str">
            <v>在庫実績(物流)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</row>
        <row r="280">
          <cell r="C280" t="str">
            <v>差異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</row>
        <row r="281">
          <cell r="C281" t="str">
            <v>ﾊﾞﾝﾆﾝｸﾞ計画</v>
          </cell>
        </row>
        <row r="282">
          <cell r="C282" t="str">
            <v>ｵｰﾀﾞｰ変更</v>
          </cell>
        </row>
        <row r="283">
          <cell r="C283" t="str">
            <v>20日情報
(工場出荷)</v>
          </cell>
        </row>
        <row r="284">
          <cell r="C284" t="str">
            <v>ﾊﾞﾝﾆﾝｸﾞ計画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</row>
        <row r="285">
          <cell r="B285" t="str">
            <v>長安PSA</v>
          </cell>
          <cell r="C285" t="str">
            <v>ｵｰﾀﾞｰ変更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</row>
        <row r="286">
          <cell r="C286" t="str">
            <v>20日情報
(工場出荷)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</row>
        <row r="287">
          <cell r="B287">
            <v>9828330680</v>
          </cell>
          <cell r="C287" t="str">
            <v>梱包計画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</row>
        <row r="288">
          <cell r="C288" t="str">
            <v>(調整）</v>
          </cell>
        </row>
        <row r="289"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</row>
        <row r="290"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</row>
        <row r="291"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</row>
        <row r="292"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</row>
        <row r="293"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</row>
        <row r="294">
          <cell r="C294" t="str">
            <v>手直し等</v>
          </cell>
        </row>
        <row r="295">
          <cell r="C295" t="str">
            <v>出荷実績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</row>
        <row r="296">
          <cell r="C296" t="str">
            <v>停止時間（昼勤）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</row>
        <row r="297">
          <cell r="C297" t="str">
            <v>停止時間（夜勤）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</row>
        <row r="298">
          <cell r="B298">
            <v>9828330680</v>
          </cell>
          <cell r="C298" t="str">
            <v>振替計画・実績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</row>
        <row r="299">
          <cell r="C299" t="str">
            <v>在庫計画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</row>
        <row r="300">
          <cell r="C300" t="str">
            <v>在庫実績(社内)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</row>
        <row r="301">
          <cell r="C301" t="str">
            <v>在庫実績(物流)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</row>
        <row r="302">
          <cell r="C302" t="str">
            <v>差異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</row>
        <row r="303">
          <cell r="C303" t="str">
            <v>ﾊﾞﾝﾆﾝｸﾞ計画</v>
          </cell>
        </row>
        <row r="304">
          <cell r="C304" t="str">
            <v>ｵｰﾀﾞｰ変更</v>
          </cell>
        </row>
        <row r="305">
          <cell r="C305" t="str">
            <v>20日情報
(工場出荷)</v>
          </cell>
        </row>
        <row r="306">
          <cell r="C306" t="str">
            <v>ﾊﾞﾝﾆﾝｸﾞ計画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</row>
        <row r="307">
          <cell r="B307" t="str">
            <v>PSAﾓﾝｽ</v>
          </cell>
          <cell r="C307" t="str">
            <v>ｵｰﾀﾞｰ変更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</row>
        <row r="308">
          <cell r="C308" t="str">
            <v>20日情報
(工場出荷)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</row>
        <row r="309">
          <cell r="B309">
            <v>9828330780</v>
          </cell>
          <cell r="C309" t="str">
            <v>梱包計画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</row>
        <row r="310">
          <cell r="C310" t="str">
            <v>(調整）</v>
          </cell>
        </row>
        <row r="311"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</row>
        <row r="312"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</row>
        <row r="313"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</row>
        <row r="314"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</row>
        <row r="315"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</row>
        <row r="316">
          <cell r="C316" t="str">
            <v>手直し等</v>
          </cell>
        </row>
        <row r="317">
          <cell r="C317" t="str">
            <v>出荷実績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</row>
        <row r="318">
          <cell r="C318" t="str">
            <v>停止時間（昼勤）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</row>
        <row r="319">
          <cell r="C319" t="str">
            <v>停止時間（夜勤）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</row>
        <row r="320">
          <cell r="B320">
            <v>9828330780</v>
          </cell>
          <cell r="C320" t="str">
            <v>振替計画・実績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</row>
        <row r="321">
          <cell r="C321" t="str">
            <v>在庫計画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</row>
        <row r="322">
          <cell r="C322" t="str">
            <v>在庫実績(社内)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</row>
        <row r="323">
          <cell r="C323" t="str">
            <v>在庫実績(物流)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</row>
        <row r="324">
          <cell r="C324" t="str">
            <v>差異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</row>
        <row r="325">
          <cell r="C325" t="str">
            <v>ﾊﾞﾝﾆﾝｸﾞ計画</v>
          </cell>
        </row>
        <row r="326">
          <cell r="C326" t="str">
            <v>ｵｰﾀﾞｰ変更</v>
          </cell>
        </row>
        <row r="327">
          <cell r="C327" t="str">
            <v>20日情報
(工場出荷)</v>
          </cell>
        </row>
        <row r="328">
          <cell r="C328" t="str">
            <v>ﾊﾞﾝﾆﾝｸﾞ計画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</row>
        <row r="329">
          <cell r="B329" t="str">
            <v>PSAﾓﾝｽ</v>
          </cell>
          <cell r="C329" t="str">
            <v>ｵｰﾀﾞｰ変更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</row>
        <row r="330">
          <cell r="C330" t="str">
            <v>20日情報
(工場出荷)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</row>
        <row r="331">
          <cell r="B331">
            <v>9825292580</v>
          </cell>
          <cell r="C331" t="str">
            <v>梱包計画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</row>
        <row r="332">
          <cell r="C332" t="str">
            <v>(調整）</v>
          </cell>
        </row>
        <row r="333"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</row>
        <row r="334"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</row>
        <row r="335"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</row>
        <row r="336"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</row>
        <row r="337"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</row>
        <row r="338">
          <cell r="C338" t="str">
            <v>手直し等</v>
          </cell>
        </row>
        <row r="339">
          <cell r="C339" t="str">
            <v>出荷実績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</row>
        <row r="340">
          <cell r="C340" t="str">
            <v>停止時間（昼勤）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</row>
        <row r="341">
          <cell r="C341" t="str">
            <v>停止時間（夜勤）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</row>
        <row r="342">
          <cell r="B342">
            <v>9825292580</v>
          </cell>
          <cell r="C342" t="str">
            <v>振替計画・実績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</row>
        <row r="343">
          <cell r="C343" t="str">
            <v>在庫計画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</row>
        <row r="344">
          <cell r="C344" t="str">
            <v>在庫実績(社内)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</row>
        <row r="345">
          <cell r="C345" t="str">
            <v>在庫実績(物流)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</row>
        <row r="346">
          <cell r="C346" t="str">
            <v>差異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</row>
        <row r="347">
          <cell r="C347" t="str">
            <v>ﾊﾞﾝﾆﾝｸﾞ計画</v>
          </cell>
        </row>
        <row r="348">
          <cell r="C348" t="str">
            <v>ｵｰﾀﾞｰ変更</v>
          </cell>
        </row>
        <row r="349">
          <cell r="C349" t="str">
            <v>20日情報
(工場出荷)</v>
          </cell>
        </row>
        <row r="350">
          <cell r="B350">
            <v>9828330880</v>
          </cell>
          <cell r="C350" t="str">
            <v>梱包計画</v>
          </cell>
          <cell r="D350">
            <v>36</v>
          </cell>
          <cell r="E350">
            <v>0</v>
          </cell>
          <cell r="F350">
            <v>0</v>
          </cell>
          <cell r="G350">
            <v>36</v>
          </cell>
          <cell r="H350">
            <v>36</v>
          </cell>
          <cell r="I350">
            <v>36</v>
          </cell>
          <cell r="J350">
            <v>36</v>
          </cell>
          <cell r="K350">
            <v>36</v>
          </cell>
          <cell r="L350">
            <v>0</v>
          </cell>
          <cell r="M350">
            <v>0</v>
          </cell>
          <cell r="N350">
            <v>36</v>
          </cell>
          <cell r="O350">
            <v>36</v>
          </cell>
          <cell r="P350">
            <v>36</v>
          </cell>
          <cell r="Q350">
            <v>36</v>
          </cell>
          <cell r="R350">
            <v>36</v>
          </cell>
          <cell r="S350">
            <v>0</v>
          </cell>
          <cell r="T350">
            <v>0</v>
          </cell>
          <cell r="U350">
            <v>36</v>
          </cell>
          <cell r="V350">
            <v>36</v>
          </cell>
          <cell r="W350">
            <v>36</v>
          </cell>
          <cell r="X350">
            <v>36</v>
          </cell>
          <cell r="Y350">
            <v>36</v>
          </cell>
          <cell r="Z350">
            <v>0</v>
          </cell>
          <cell r="AA350">
            <v>0</v>
          </cell>
          <cell r="AB350">
            <v>36</v>
          </cell>
          <cell r="AC350">
            <v>36</v>
          </cell>
          <cell r="AD350">
            <v>36</v>
          </cell>
          <cell r="AE350">
            <v>36</v>
          </cell>
          <cell r="AF350">
            <v>36</v>
          </cell>
          <cell r="AG350">
            <v>0</v>
          </cell>
          <cell r="AH350">
            <v>0</v>
          </cell>
          <cell r="AI350">
            <v>0</v>
          </cell>
        </row>
        <row r="351">
          <cell r="C351" t="str">
            <v>(調整）</v>
          </cell>
        </row>
        <row r="352">
          <cell r="D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</row>
        <row r="353"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</row>
        <row r="354"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</row>
        <row r="355"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</row>
        <row r="356">
          <cell r="D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</row>
        <row r="357">
          <cell r="C357" t="str">
            <v>手直し等</v>
          </cell>
        </row>
        <row r="358">
          <cell r="C358" t="str">
            <v>出荷実績</v>
          </cell>
          <cell r="E358">
            <v>0</v>
          </cell>
          <cell r="F358">
            <v>0</v>
          </cell>
          <cell r="G358">
            <v>18</v>
          </cell>
          <cell r="H358">
            <v>36</v>
          </cell>
          <cell r="I358">
            <v>36</v>
          </cell>
          <cell r="J358">
            <v>45</v>
          </cell>
          <cell r="K358">
            <v>36</v>
          </cell>
          <cell r="L358">
            <v>0</v>
          </cell>
          <cell r="M358">
            <v>0</v>
          </cell>
          <cell r="N358">
            <v>36</v>
          </cell>
          <cell r="O358">
            <v>36</v>
          </cell>
          <cell r="P358">
            <v>27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</row>
        <row r="359">
          <cell r="C359" t="str">
            <v>停止時間（昼勤）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</row>
        <row r="360">
          <cell r="C360" t="str">
            <v>停止時間（夜勤）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</row>
        <row r="361">
          <cell r="B361">
            <v>9828330880</v>
          </cell>
          <cell r="C361" t="str">
            <v>振替計画・実績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</row>
        <row r="362">
          <cell r="C362" t="str">
            <v>在庫計画</v>
          </cell>
          <cell r="D362">
            <v>270</v>
          </cell>
          <cell r="E362">
            <v>270</v>
          </cell>
          <cell r="F362">
            <v>270</v>
          </cell>
          <cell r="G362">
            <v>306</v>
          </cell>
          <cell r="H362">
            <v>342</v>
          </cell>
          <cell r="I362">
            <v>207</v>
          </cell>
          <cell r="J362">
            <v>243</v>
          </cell>
          <cell r="K362">
            <v>279</v>
          </cell>
          <cell r="L362">
            <v>279</v>
          </cell>
          <cell r="M362">
            <v>279</v>
          </cell>
          <cell r="N362">
            <v>315</v>
          </cell>
          <cell r="O362">
            <v>351</v>
          </cell>
          <cell r="P362">
            <v>216</v>
          </cell>
          <cell r="Q362">
            <v>234</v>
          </cell>
          <cell r="R362">
            <v>270</v>
          </cell>
          <cell r="S362">
            <v>270</v>
          </cell>
          <cell r="T362">
            <v>270</v>
          </cell>
          <cell r="U362">
            <v>306</v>
          </cell>
          <cell r="V362">
            <v>171</v>
          </cell>
          <cell r="W362">
            <v>207</v>
          </cell>
          <cell r="X362">
            <v>243</v>
          </cell>
          <cell r="Y362">
            <v>279</v>
          </cell>
          <cell r="Z362">
            <v>279</v>
          </cell>
          <cell r="AA362">
            <v>279</v>
          </cell>
          <cell r="AB362">
            <v>315</v>
          </cell>
          <cell r="AC362">
            <v>351</v>
          </cell>
          <cell r="AD362">
            <v>216</v>
          </cell>
          <cell r="AE362">
            <v>252</v>
          </cell>
          <cell r="AF362">
            <v>288</v>
          </cell>
          <cell r="AG362">
            <v>288</v>
          </cell>
          <cell r="AH362">
            <v>288</v>
          </cell>
          <cell r="AI362">
            <v>288</v>
          </cell>
        </row>
        <row r="363">
          <cell r="C363" t="str">
            <v>在庫実績(社内)</v>
          </cell>
          <cell r="D363">
            <v>0</v>
          </cell>
          <cell r="E363">
            <v>0</v>
          </cell>
          <cell r="F363">
            <v>0</v>
          </cell>
          <cell r="G363">
            <v>9</v>
          </cell>
          <cell r="H363">
            <v>9</v>
          </cell>
          <cell r="I363">
            <v>18</v>
          </cell>
          <cell r="J363">
            <v>9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7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</row>
        <row r="364">
          <cell r="C364" t="str">
            <v>在庫実績(物流)</v>
          </cell>
          <cell r="D364">
            <v>270</v>
          </cell>
          <cell r="E364">
            <v>270</v>
          </cell>
          <cell r="F364">
            <v>270</v>
          </cell>
          <cell r="G364">
            <v>288</v>
          </cell>
          <cell r="H364">
            <v>324</v>
          </cell>
          <cell r="I364">
            <v>189</v>
          </cell>
          <cell r="J364">
            <v>234</v>
          </cell>
          <cell r="K364">
            <v>270</v>
          </cell>
          <cell r="L364">
            <v>270</v>
          </cell>
          <cell r="M364">
            <v>270</v>
          </cell>
          <cell r="N364">
            <v>306</v>
          </cell>
          <cell r="O364">
            <v>342</v>
          </cell>
          <cell r="P364">
            <v>198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</row>
        <row r="365">
          <cell r="C365" t="str">
            <v>差異</v>
          </cell>
          <cell r="D365">
            <v>0</v>
          </cell>
          <cell r="E365">
            <v>0</v>
          </cell>
          <cell r="F365">
            <v>0</v>
          </cell>
          <cell r="G365">
            <v>-9</v>
          </cell>
          <cell r="H365">
            <v>-9</v>
          </cell>
          <cell r="I365">
            <v>0</v>
          </cell>
          <cell r="J365">
            <v>0</v>
          </cell>
          <cell r="K365">
            <v>-9</v>
          </cell>
          <cell r="L365">
            <v>-9</v>
          </cell>
          <cell r="M365">
            <v>-9</v>
          </cell>
          <cell r="N365">
            <v>-9</v>
          </cell>
          <cell r="O365">
            <v>-9</v>
          </cell>
          <cell r="P365">
            <v>-11</v>
          </cell>
          <cell r="Q365">
            <v>-234</v>
          </cell>
          <cell r="R365">
            <v>-270</v>
          </cell>
          <cell r="S365">
            <v>-270</v>
          </cell>
          <cell r="T365">
            <v>-270</v>
          </cell>
          <cell r="U365">
            <v>-306</v>
          </cell>
          <cell r="V365">
            <v>-171</v>
          </cell>
          <cell r="W365">
            <v>-207</v>
          </cell>
          <cell r="X365">
            <v>-243</v>
          </cell>
          <cell r="Y365">
            <v>-279</v>
          </cell>
          <cell r="Z365">
            <v>-279</v>
          </cell>
          <cell r="AA365">
            <v>-279</v>
          </cell>
          <cell r="AB365">
            <v>-315</v>
          </cell>
          <cell r="AC365">
            <v>-351</v>
          </cell>
          <cell r="AD365">
            <v>-216</v>
          </cell>
          <cell r="AE365">
            <v>-252</v>
          </cell>
          <cell r="AF365">
            <v>-288</v>
          </cell>
          <cell r="AG365">
            <v>-288</v>
          </cell>
          <cell r="AH365">
            <v>-288</v>
          </cell>
          <cell r="AI365">
            <v>-288</v>
          </cell>
        </row>
        <row r="366">
          <cell r="C366" t="str">
            <v>ﾊﾞﾝﾆﾝｸﾞ計画</v>
          </cell>
        </row>
        <row r="367">
          <cell r="C367" t="str">
            <v>ｵｰﾀﾞｰ変更</v>
          </cell>
        </row>
        <row r="368">
          <cell r="C368" t="str">
            <v>20日情報
(工場出荷)</v>
          </cell>
        </row>
        <row r="369">
          <cell r="C369" t="str">
            <v>ﾊﾞﾝﾆﾝｸﾞ計画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171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171</v>
          </cell>
          <cell r="Q369">
            <v>18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171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171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</row>
        <row r="370">
          <cell r="B370" t="str">
            <v>PSAﾓﾝｽ</v>
          </cell>
          <cell r="C370" t="str">
            <v>ｵｰﾀﾞｰ変更</v>
          </cell>
          <cell r="E370">
            <v>0</v>
          </cell>
          <cell r="F370">
            <v>0</v>
          </cell>
          <cell r="H370">
            <v>171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171</v>
          </cell>
          <cell r="P370">
            <v>18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171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171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</row>
        <row r="371">
          <cell r="C371" t="str">
            <v>20日情報
(工場出荷)</v>
          </cell>
          <cell r="E371">
            <v>0</v>
          </cell>
          <cell r="F371">
            <v>0</v>
          </cell>
          <cell r="G371">
            <v>171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189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171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171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</row>
        <row r="372">
          <cell r="B372">
            <v>9828330980</v>
          </cell>
          <cell r="C372" t="str">
            <v>梱包計画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</row>
        <row r="373">
          <cell r="C373" t="str">
            <v>(調整）</v>
          </cell>
        </row>
        <row r="374"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</row>
        <row r="375"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</row>
        <row r="376"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</row>
        <row r="377"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</row>
        <row r="378"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</row>
        <row r="379">
          <cell r="C379" t="str">
            <v>手直し等</v>
          </cell>
        </row>
        <row r="380">
          <cell r="C380" t="str">
            <v>出荷実績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</row>
        <row r="381">
          <cell r="C381" t="str">
            <v>停止時間（昼勤）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</row>
        <row r="382">
          <cell r="C382" t="str">
            <v>停止時間（夜勤）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</row>
        <row r="383">
          <cell r="B383">
            <v>9828330980</v>
          </cell>
          <cell r="C383" t="str">
            <v>振替計画・実績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</row>
        <row r="384">
          <cell r="C384" t="str">
            <v>在庫計画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</row>
        <row r="385">
          <cell r="C385" t="str">
            <v>在庫実績(社内)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</row>
        <row r="386">
          <cell r="C386" t="str">
            <v>在庫実績(物流)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</row>
        <row r="387">
          <cell r="C387" t="str">
            <v>差異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</row>
        <row r="388">
          <cell r="C388" t="str">
            <v>ﾊﾞﾝﾆﾝｸﾞ計画</v>
          </cell>
        </row>
        <row r="389">
          <cell r="C389" t="str">
            <v>ｵｰﾀﾞｰ変更</v>
          </cell>
        </row>
        <row r="390">
          <cell r="C390" t="str">
            <v>20日情報
(工場出荷)</v>
          </cell>
        </row>
        <row r="391">
          <cell r="B391">
            <v>9830300280</v>
          </cell>
          <cell r="C391" t="str">
            <v>梱包計画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</row>
        <row r="392">
          <cell r="C392" t="str">
            <v>(調整）</v>
          </cell>
        </row>
        <row r="393"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</row>
        <row r="394"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</row>
        <row r="395"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</row>
        <row r="396"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</row>
        <row r="397"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</row>
        <row r="398">
          <cell r="C398" t="str">
            <v>手直し等</v>
          </cell>
        </row>
        <row r="399">
          <cell r="C399" t="str">
            <v>出荷実績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</row>
        <row r="400">
          <cell r="C400" t="str">
            <v>停止時間（昼勤）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</row>
        <row r="401">
          <cell r="C401" t="str">
            <v>停止時間（夜勤）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</row>
        <row r="402">
          <cell r="B402">
            <v>9830300280</v>
          </cell>
          <cell r="C402" t="str">
            <v>振替計画・実績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</row>
        <row r="403">
          <cell r="C403" t="str">
            <v>在庫計画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</row>
        <row r="404">
          <cell r="C404" t="str">
            <v>在庫実績(社内)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</row>
        <row r="405">
          <cell r="C405" t="str">
            <v>在庫実績(物流)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</row>
        <row r="406">
          <cell r="C406" t="str">
            <v>差異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</row>
        <row r="407">
          <cell r="C407" t="str">
            <v>ﾊﾞﾝﾆﾝｸﾞ計画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</row>
        <row r="408">
          <cell r="C408" t="str">
            <v>ｵｰﾀﾞｰ変更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</row>
        <row r="409">
          <cell r="C409" t="str">
            <v>20日情報
(工場出荷)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</row>
        <row r="410">
          <cell r="B410">
            <v>9830759180</v>
          </cell>
          <cell r="C410" t="str">
            <v>梱包計画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</row>
        <row r="411">
          <cell r="C411" t="str">
            <v>(調整）</v>
          </cell>
        </row>
        <row r="412"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</row>
        <row r="413"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</row>
        <row r="414"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</row>
        <row r="415"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</row>
        <row r="416"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</row>
        <row r="417">
          <cell r="C417" t="str">
            <v>手直し等</v>
          </cell>
        </row>
        <row r="418">
          <cell r="C418" t="str">
            <v>出荷実績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</row>
        <row r="419">
          <cell r="C419" t="str">
            <v>停止時間（昼勤）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</row>
        <row r="420">
          <cell r="C420" t="str">
            <v>停止時間（夜勤）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</row>
        <row r="421">
          <cell r="B421">
            <v>9830759180</v>
          </cell>
          <cell r="C421" t="str">
            <v>振替計画・実績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</row>
        <row r="422">
          <cell r="C422" t="str">
            <v>在庫計画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</row>
        <row r="423">
          <cell r="C423" t="str">
            <v>在庫実績(社内)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</row>
        <row r="424">
          <cell r="C424" t="str">
            <v>在庫実績(物流)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</row>
        <row r="425">
          <cell r="C425" t="str">
            <v>差異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</row>
        <row r="426">
          <cell r="C426" t="str">
            <v>ﾊﾞﾝﾆﾝｸﾞ計画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</row>
        <row r="427">
          <cell r="C427" t="str">
            <v>ｵｰﾀﾞｰ変更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</row>
        <row r="428">
          <cell r="C428" t="str">
            <v>20日情報
(工場出荷)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</row>
        <row r="429">
          <cell r="B429">
            <v>9826627180</v>
          </cell>
          <cell r="C429" t="str">
            <v>梱包計画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</row>
        <row r="430">
          <cell r="C430" t="str">
            <v>(調整）</v>
          </cell>
        </row>
        <row r="431"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</row>
        <row r="432"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</row>
        <row r="433"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</row>
        <row r="434"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</row>
        <row r="435"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</row>
        <row r="436">
          <cell r="C436" t="str">
            <v>手直し等</v>
          </cell>
        </row>
        <row r="437">
          <cell r="C437" t="str">
            <v>出荷実績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</row>
        <row r="438">
          <cell r="C438" t="str">
            <v>停止時間（昼勤）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</row>
        <row r="439">
          <cell r="C439" t="str">
            <v>停止時間（夜勤）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</row>
        <row r="440">
          <cell r="B440">
            <v>9826627180</v>
          </cell>
          <cell r="C440" t="str">
            <v>振替計画・実績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</row>
        <row r="441">
          <cell r="C441" t="str">
            <v>在庫計画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</row>
        <row r="442">
          <cell r="C442" t="str">
            <v>在庫実績(社内)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</row>
        <row r="443">
          <cell r="C443" t="str">
            <v>在庫実績(物流)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</row>
        <row r="444">
          <cell r="C444" t="str">
            <v>差異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</row>
        <row r="445">
          <cell r="C445" t="str">
            <v>ﾊﾞﾝﾆﾝｸﾞ計画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</row>
        <row r="446">
          <cell r="C446" t="str">
            <v>ｵｰﾀﾞｰ変更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</row>
        <row r="447">
          <cell r="C447" t="str">
            <v>20日情報
(工場出荷)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</row>
        <row r="448">
          <cell r="B448">
            <v>9830759780</v>
          </cell>
          <cell r="C448" t="str">
            <v>梱包計画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</row>
        <row r="449">
          <cell r="C449" t="str">
            <v>(調整）</v>
          </cell>
        </row>
        <row r="450"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</row>
        <row r="451"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</row>
        <row r="452"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</row>
        <row r="453"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</row>
        <row r="454"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</row>
        <row r="455">
          <cell r="C455" t="str">
            <v>手直し等</v>
          </cell>
        </row>
        <row r="456">
          <cell r="C456" t="str">
            <v>出荷実績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</row>
        <row r="457">
          <cell r="C457" t="str">
            <v>停止時間（昼勤）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</row>
        <row r="458">
          <cell r="C458" t="str">
            <v>停止時間（夜勤）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</row>
        <row r="459">
          <cell r="B459">
            <v>9830759780</v>
          </cell>
          <cell r="C459" t="str">
            <v>振替計画・実績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</row>
        <row r="460">
          <cell r="C460" t="str">
            <v>在庫計画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</row>
        <row r="461">
          <cell r="C461" t="str">
            <v>在庫実績(社内)</v>
          </cell>
          <cell r="E461">
            <v>0</v>
          </cell>
          <cell r="F461">
            <v>0</v>
          </cell>
          <cell r="G461">
            <v>2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2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</row>
        <row r="462">
          <cell r="C462" t="str">
            <v>在庫実績(物流)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</row>
        <row r="463">
          <cell r="C463" t="str">
            <v>差異</v>
          </cell>
          <cell r="D463">
            <v>0</v>
          </cell>
          <cell r="E463">
            <v>0</v>
          </cell>
          <cell r="F463">
            <v>0</v>
          </cell>
          <cell r="G463">
            <v>2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2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</row>
        <row r="464">
          <cell r="C464" t="str">
            <v>ﾊﾞﾝﾆﾝｸﾞ計画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</row>
        <row r="465">
          <cell r="C465" t="str">
            <v>ｵｰﾀﾞｰ変更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</row>
        <row r="466">
          <cell r="C466" t="str">
            <v>20日情報
(工場出荷)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</row>
        <row r="467">
          <cell r="B467">
            <v>9822373280</v>
          </cell>
          <cell r="C467" t="str">
            <v>梱包計画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</row>
        <row r="468">
          <cell r="C468" t="str">
            <v>(調整）</v>
          </cell>
        </row>
        <row r="469"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</row>
        <row r="470"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</row>
        <row r="471"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</row>
        <row r="472"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</row>
        <row r="473"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</row>
        <row r="474">
          <cell r="C474" t="str">
            <v>手直し等</v>
          </cell>
        </row>
        <row r="475">
          <cell r="C475" t="str">
            <v>出荷実績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</row>
        <row r="476">
          <cell r="C476" t="str">
            <v>停止時間（昼勤）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</row>
        <row r="477">
          <cell r="C477" t="str">
            <v>停止時間（夜勤）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</row>
        <row r="478">
          <cell r="B478">
            <v>9822373280</v>
          </cell>
          <cell r="C478" t="str">
            <v>振替計画・実績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</row>
        <row r="479">
          <cell r="C479" t="str">
            <v>在庫計画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</row>
        <row r="480">
          <cell r="C480" t="str">
            <v>在庫実績(社内)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</row>
        <row r="481">
          <cell r="C481" t="str">
            <v>在庫実績(物流)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</row>
        <row r="482">
          <cell r="C482" t="str">
            <v>差異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</row>
        <row r="483">
          <cell r="C483" t="str">
            <v>ﾊﾞﾝﾆﾝｸﾞ計画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</row>
        <row r="484">
          <cell r="C484" t="str">
            <v>ｵｰﾀﾞｰ変更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</row>
        <row r="485">
          <cell r="C485" t="str">
            <v>20日情報
(工場出荷)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</row>
        <row r="486">
          <cell r="B486">
            <v>9823840780</v>
          </cell>
          <cell r="C486" t="str">
            <v>梱包計画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</row>
        <row r="487">
          <cell r="C487" t="str">
            <v>(調整）</v>
          </cell>
        </row>
        <row r="488"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</row>
        <row r="489"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</row>
        <row r="490"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</row>
        <row r="491"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</row>
        <row r="492"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</row>
        <row r="493">
          <cell r="C493" t="str">
            <v>手直し等</v>
          </cell>
        </row>
        <row r="494">
          <cell r="C494" t="str">
            <v>出荷実績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</row>
        <row r="495">
          <cell r="C495" t="str">
            <v>停止時間（昼勤）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</row>
        <row r="496">
          <cell r="C496" t="str">
            <v>停止時間（夜勤）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</row>
        <row r="497">
          <cell r="B497">
            <v>9823840780</v>
          </cell>
          <cell r="C497" t="str">
            <v>振替計画・実績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</row>
        <row r="498">
          <cell r="C498" t="str">
            <v>在庫計画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</row>
        <row r="499">
          <cell r="C499" t="str">
            <v>在庫実績(社内)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</row>
        <row r="500">
          <cell r="C500" t="str">
            <v>在庫実績(物流)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</row>
        <row r="501">
          <cell r="C501" t="str">
            <v>差異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</row>
        <row r="502">
          <cell r="C502" t="str">
            <v>ﾊﾞﾝﾆﾝｸﾞ計画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</row>
        <row r="503">
          <cell r="C503" t="str">
            <v>ｵｰﾀﾞｰ変更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</row>
        <row r="504">
          <cell r="C504" t="str">
            <v>20日情報
(工場出荷)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</row>
        <row r="505">
          <cell r="B505">
            <v>9825292780</v>
          </cell>
          <cell r="C505" t="str">
            <v>梱包計画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</row>
        <row r="506">
          <cell r="C506" t="str">
            <v>(調整）</v>
          </cell>
        </row>
        <row r="507"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</row>
        <row r="508"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</row>
        <row r="509"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</row>
        <row r="510"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</row>
        <row r="511"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</row>
        <row r="512">
          <cell r="C512" t="str">
            <v>手直し等</v>
          </cell>
        </row>
        <row r="513">
          <cell r="C513" t="str">
            <v>出荷実績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</row>
        <row r="514">
          <cell r="C514" t="str">
            <v>停止時間（昼勤）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</row>
        <row r="515">
          <cell r="C515" t="str">
            <v>停止時間（夜勤）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</row>
        <row r="516">
          <cell r="B516">
            <v>9825292780</v>
          </cell>
          <cell r="C516" t="str">
            <v>振替計画・実績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</row>
        <row r="517">
          <cell r="C517" t="str">
            <v>在庫計画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</row>
        <row r="518">
          <cell r="C518" t="str">
            <v>在庫実績(社内)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</row>
        <row r="519">
          <cell r="C519" t="str">
            <v>在庫実績(物流)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</row>
        <row r="520">
          <cell r="C520" t="str">
            <v>差異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</row>
        <row r="521">
          <cell r="C521" t="str">
            <v>ﾊﾞﾝﾆﾝｸﾞ計画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</row>
        <row r="522">
          <cell r="C522" t="str">
            <v>ｵｰﾀﾞｰ変更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</row>
        <row r="523">
          <cell r="C523" t="str">
            <v>20日情報
(工場出荷)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</row>
        <row r="524">
          <cell r="B524">
            <v>9830759480</v>
          </cell>
          <cell r="C524" t="str">
            <v>梱包計画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</row>
        <row r="525">
          <cell r="C525" t="str">
            <v>(調整）</v>
          </cell>
        </row>
        <row r="526">
          <cell r="D526">
            <v>0</v>
          </cell>
          <cell r="AI526">
            <v>0</v>
          </cell>
        </row>
        <row r="527">
          <cell r="AI527">
            <v>0</v>
          </cell>
        </row>
        <row r="528">
          <cell r="AI528">
            <v>0</v>
          </cell>
        </row>
        <row r="529">
          <cell r="AI529">
            <v>0</v>
          </cell>
        </row>
        <row r="530">
          <cell r="D530">
            <v>0</v>
          </cell>
          <cell r="AI530">
            <v>0</v>
          </cell>
        </row>
        <row r="531">
          <cell r="C531" t="str">
            <v>手直し等</v>
          </cell>
        </row>
        <row r="532">
          <cell r="C532" t="str">
            <v>出荷実績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</row>
        <row r="533">
          <cell r="C533" t="str">
            <v>停止時間（昼勤）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</row>
        <row r="534">
          <cell r="C534" t="str">
            <v>停止時間（夜勤）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</row>
        <row r="535">
          <cell r="B535">
            <v>9830759480</v>
          </cell>
          <cell r="C535" t="str">
            <v>振替計画・実績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</row>
        <row r="536">
          <cell r="C536" t="str">
            <v>在庫計画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</row>
        <row r="537">
          <cell r="C537" t="str">
            <v>在庫実績(社内)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</row>
        <row r="538">
          <cell r="C538" t="str">
            <v>在庫実績(物流)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</row>
        <row r="539">
          <cell r="C539" t="str">
            <v>差異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</row>
        <row r="540">
          <cell r="C540" t="str">
            <v>ﾊﾞﾝﾆﾝｸﾞ計画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</row>
        <row r="541">
          <cell r="C541" t="str">
            <v>ｵｰﾀﾞｰ変更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</row>
        <row r="542">
          <cell r="C542" t="str">
            <v>20日情報
(工場出荷)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</row>
        <row r="543">
          <cell r="B543">
            <v>9831759880</v>
          </cell>
          <cell r="C543" t="str">
            <v>梱包計画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</row>
        <row r="544">
          <cell r="C544" t="str">
            <v>(調整）</v>
          </cell>
        </row>
        <row r="545">
          <cell r="D545">
            <v>0</v>
          </cell>
        </row>
        <row r="549">
          <cell r="D549">
            <v>0</v>
          </cell>
        </row>
        <row r="550">
          <cell r="C550" t="str">
            <v>手直し等</v>
          </cell>
        </row>
        <row r="551">
          <cell r="C551" t="str">
            <v>出荷実績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</row>
        <row r="552">
          <cell r="C552" t="str">
            <v>停止時間（昼勤）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</row>
        <row r="553">
          <cell r="C553" t="str">
            <v>停止時間（夜勤）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</row>
        <row r="554">
          <cell r="B554">
            <v>9831759880</v>
          </cell>
          <cell r="C554" t="str">
            <v>振替計画・実績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</row>
        <row r="555">
          <cell r="C555" t="str">
            <v>在庫計画</v>
          </cell>
          <cell r="D555">
            <v>36</v>
          </cell>
          <cell r="E555">
            <v>36</v>
          </cell>
          <cell r="F555">
            <v>36</v>
          </cell>
          <cell r="G555">
            <v>36</v>
          </cell>
          <cell r="H555">
            <v>36</v>
          </cell>
          <cell r="I555">
            <v>36</v>
          </cell>
          <cell r="J555">
            <v>36</v>
          </cell>
          <cell r="K555">
            <v>36</v>
          </cell>
          <cell r="L555">
            <v>36</v>
          </cell>
          <cell r="M555">
            <v>36</v>
          </cell>
          <cell r="N555">
            <v>36</v>
          </cell>
          <cell r="O555">
            <v>36</v>
          </cell>
          <cell r="P555">
            <v>36</v>
          </cell>
          <cell r="Q555">
            <v>36</v>
          </cell>
          <cell r="R555">
            <v>36</v>
          </cell>
          <cell r="S555">
            <v>36</v>
          </cell>
          <cell r="T555">
            <v>36</v>
          </cell>
          <cell r="U555">
            <v>36</v>
          </cell>
          <cell r="V555">
            <v>36</v>
          </cell>
          <cell r="W555">
            <v>36</v>
          </cell>
          <cell r="X555">
            <v>36</v>
          </cell>
          <cell r="Y555">
            <v>36</v>
          </cell>
          <cell r="Z555">
            <v>36</v>
          </cell>
          <cell r="AA555">
            <v>36</v>
          </cell>
          <cell r="AB555">
            <v>36</v>
          </cell>
          <cell r="AC555">
            <v>36</v>
          </cell>
          <cell r="AD555">
            <v>36</v>
          </cell>
          <cell r="AE555">
            <v>36</v>
          </cell>
          <cell r="AF555">
            <v>36</v>
          </cell>
          <cell r="AG555">
            <v>36</v>
          </cell>
          <cell r="AH555">
            <v>36</v>
          </cell>
          <cell r="AI555">
            <v>36</v>
          </cell>
        </row>
        <row r="556">
          <cell r="C556" t="str">
            <v>在庫実績(社内)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</row>
        <row r="557">
          <cell r="C557" t="str">
            <v>在庫実績(物流)</v>
          </cell>
          <cell r="D557">
            <v>36</v>
          </cell>
          <cell r="E557">
            <v>36</v>
          </cell>
          <cell r="F557">
            <v>36</v>
          </cell>
          <cell r="G557">
            <v>36</v>
          </cell>
          <cell r="H557">
            <v>36</v>
          </cell>
          <cell r="I557">
            <v>36</v>
          </cell>
          <cell r="J557">
            <v>36</v>
          </cell>
          <cell r="K557">
            <v>36</v>
          </cell>
          <cell r="L557">
            <v>36</v>
          </cell>
          <cell r="M557">
            <v>36</v>
          </cell>
          <cell r="N557">
            <v>36</v>
          </cell>
          <cell r="O557">
            <v>36</v>
          </cell>
          <cell r="P557">
            <v>36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</row>
        <row r="558">
          <cell r="C558" t="str">
            <v>差異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-36</v>
          </cell>
          <cell r="R558">
            <v>-36</v>
          </cell>
          <cell r="S558">
            <v>-36</v>
          </cell>
          <cell r="T558">
            <v>-36</v>
          </cell>
          <cell r="U558">
            <v>-36</v>
          </cell>
          <cell r="V558">
            <v>-36</v>
          </cell>
          <cell r="W558">
            <v>-36</v>
          </cell>
          <cell r="X558">
            <v>-36</v>
          </cell>
          <cell r="Y558">
            <v>-36</v>
          </cell>
          <cell r="Z558">
            <v>-36</v>
          </cell>
          <cell r="AA558">
            <v>-36</v>
          </cell>
          <cell r="AB558">
            <v>-36</v>
          </cell>
          <cell r="AC558">
            <v>-36</v>
          </cell>
          <cell r="AD558">
            <v>-36</v>
          </cell>
          <cell r="AE558">
            <v>-36</v>
          </cell>
          <cell r="AF558">
            <v>-36</v>
          </cell>
          <cell r="AG558">
            <v>-36</v>
          </cell>
          <cell r="AH558">
            <v>-36</v>
          </cell>
          <cell r="AI558">
            <v>-36</v>
          </cell>
        </row>
        <row r="559">
          <cell r="C559" t="str">
            <v>ﾊﾞﾝﾆﾝｸﾞ計画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</row>
        <row r="560">
          <cell r="C560" t="str">
            <v>ｵｰﾀﾞｰ変更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</row>
        <row r="561">
          <cell r="C561" t="str">
            <v>20日情報
(工場出荷)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</row>
        <row r="562">
          <cell r="B562">
            <v>9831759980</v>
          </cell>
          <cell r="C562" t="str">
            <v>梱包計画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</row>
        <row r="563">
          <cell r="C563" t="str">
            <v>(調整）</v>
          </cell>
        </row>
        <row r="564"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</row>
        <row r="565"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</row>
        <row r="566"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</row>
        <row r="567"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</row>
        <row r="568"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</row>
        <row r="569">
          <cell r="C569" t="str">
            <v>手直し等</v>
          </cell>
        </row>
        <row r="570">
          <cell r="C570" t="str">
            <v>出荷実績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</row>
        <row r="571">
          <cell r="C571" t="str">
            <v>停止時間（昼勤）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</row>
        <row r="572">
          <cell r="C572" t="str">
            <v>停止時間（夜勤）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</row>
        <row r="573">
          <cell r="B573">
            <v>9831759980</v>
          </cell>
          <cell r="C573" t="str">
            <v>振替計画・実績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</row>
        <row r="574">
          <cell r="C574" t="str">
            <v>在庫計画</v>
          </cell>
          <cell r="D574">
            <v>9</v>
          </cell>
          <cell r="E574">
            <v>9</v>
          </cell>
          <cell r="F574">
            <v>9</v>
          </cell>
          <cell r="G574">
            <v>9</v>
          </cell>
          <cell r="H574">
            <v>9</v>
          </cell>
          <cell r="I574">
            <v>9</v>
          </cell>
          <cell r="J574">
            <v>9</v>
          </cell>
          <cell r="K574">
            <v>9</v>
          </cell>
          <cell r="L574">
            <v>9</v>
          </cell>
          <cell r="M574">
            <v>9</v>
          </cell>
          <cell r="N574">
            <v>9</v>
          </cell>
          <cell r="O574">
            <v>9</v>
          </cell>
          <cell r="P574">
            <v>9</v>
          </cell>
          <cell r="Q574">
            <v>9</v>
          </cell>
          <cell r="R574">
            <v>9</v>
          </cell>
          <cell r="S574">
            <v>9</v>
          </cell>
          <cell r="T574">
            <v>9</v>
          </cell>
          <cell r="U574">
            <v>9</v>
          </cell>
          <cell r="V574">
            <v>9</v>
          </cell>
          <cell r="W574">
            <v>9</v>
          </cell>
          <cell r="X574">
            <v>9</v>
          </cell>
          <cell r="Y574">
            <v>9</v>
          </cell>
          <cell r="Z574">
            <v>9</v>
          </cell>
          <cell r="AA574">
            <v>9</v>
          </cell>
          <cell r="AB574">
            <v>9</v>
          </cell>
          <cell r="AC574">
            <v>9</v>
          </cell>
          <cell r="AD574">
            <v>9</v>
          </cell>
          <cell r="AE574">
            <v>9</v>
          </cell>
          <cell r="AF574">
            <v>9</v>
          </cell>
          <cell r="AG574">
            <v>9</v>
          </cell>
          <cell r="AH574">
            <v>9</v>
          </cell>
          <cell r="AI574">
            <v>9</v>
          </cell>
        </row>
        <row r="575">
          <cell r="C575" t="str">
            <v>在庫実績(社内)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</row>
        <row r="576">
          <cell r="C576" t="str">
            <v>在庫実績(物流)</v>
          </cell>
          <cell r="D576">
            <v>9</v>
          </cell>
          <cell r="E576">
            <v>9</v>
          </cell>
          <cell r="F576">
            <v>9</v>
          </cell>
          <cell r="G576">
            <v>9</v>
          </cell>
          <cell r="H576">
            <v>9</v>
          </cell>
          <cell r="I576">
            <v>9</v>
          </cell>
          <cell r="J576">
            <v>9</v>
          </cell>
          <cell r="K576">
            <v>9</v>
          </cell>
          <cell r="L576">
            <v>9</v>
          </cell>
          <cell r="M576">
            <v>9</v>
          </cell>
          <cell r="N576">
            <v>9</v>
          </cell>
          <cell r="O576">
            <v>9</v>
          </cell>
          <cell r="P576">
            <v>9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</row>
        <row r="577">
          <cell r="C577" t="str">
            <v>差異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-9</v>
          </cell>
          <cell r="R577">
            <v>-9</v>
          </cell>
          <cell r="S577">
            <v>-9</v>
          </cell>
          <cell r="T577">
            <v>-9</v>
          </cell>
          <cell r="U577">
            <v>-9</v>
          </cell>
          <cell r="V577">
            <v>-9</v>
          </cell>
          <cell r="W577">
            <v>-9</v>
          </cell>
          <cell r="X577">
            <v>-9</v>
          </cell>
          <cell r="Y577">
            <v>-9</v>
          </cell>
          <cell r="Z577">
            <v>-9</v>
          </cell>
          <cell r="AA577">
            <v>-9</v>
          </cell>
          <cell r="AB577">
            <v>-9</v>
          </cell>
          <cell r="AC577">
            <v>-9</v>
          </cell>
          <cell r="AD577">
            <v>-9</v>
          </cell>
          <cell r="AE577">
            <v>-9</v>
          </cell>
          <cell r="AF577">
            <v>-9</v>
          </cell>
          <cell r="AG577">
            <v>-9</v>
          </cell>
          <cell r="AH577">
            <v>-9</v>
          </cell>
          <cell r="AI577">
            <v>-9</v>
          </cell>
        </row>
        <row r="578">
          <cell r="C578" t="str">
            <v>ﾊﾞﾝﾆﾝｸﾞ計画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</row>
        <row r="579">
          <cell r="C579" t="str">
            <v>ｵｰﾀﾞｰ変更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</row>
        <row r="580">
          <cell r="C580" t="str">
            <v>20日情報
(工場出荷)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</row>
        <row r="581">
          <cell r="B581">
            <v>9831760080</v>
          </cell>
          <cell r="C581" t="str">
            <v>梱包計画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</row>
        <row r="582">
          <cell r="C582" t="str">
            <v>(調整）</v>
          </cell>
        </row>
        <row r="583"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</row>
        <row r="584"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</row>
        <row r="585"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</row>
        <row r="586"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</row>
        <row r="587"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</row>
        <row r="588">
          <cell r="C588" t="str">
            <v>手直し等</v>
          </cell>
        </row>
        <row r="589">
          <cell r="C589" t="str">
            <v>出荷実績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</row>
        <row r="590">
          <cell r="C590" t="str">
            <v>停止時間（昼勤）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</row>
        <row r="591">
          <cell r="C591" t="str">
            <v>停止時間（夜勤）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</row>
        <row r="592">
          <cell r="B592">
            <v>9831760080</v>
          </cell>
          <cell r="C592" t="str">
            <v>振替計画・実績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</row>
        <row r="593">
          <cell r="C593" t="str">
            <v>在庫計画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</row>
        <row r="594">
          <cell r="C594" t="str">
            <v>在庫実績(社内)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</row>
        <row r="595">
          <cell r="C595" t="str">
            <v>在庫実績(物流)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</row>
        <row r="596">
          <cell r="C596" t="str">
            <v>差異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</row>
        <row r="597">
          <cell r="C597" t="str">
            <v>ﾊﾞﾝﾆﾝｸﾞ計画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</row>
        <row r="598">
          <cell r="C598" t="str">
            <v>ｵｰﾀﾞｰ変更</v>
          </cell>
          <cell r="F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</row>
        <row r="599">
          <cell r="C599" t="str">
            <v>20日情報
(工場出荷)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</row>
        <row r="600">
          <cell r="B600">
            <v>9832770180</v>
          </cell>
          <cell r="C600" t="str">
            <v>梱包計画</v>
          </cell>
          <cell r="D600">
            <v>9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9</v>
          </cell>
          <cell r="K600">
            <v>9</v>
          </cell>
          <cell r="L600">
            <v>0</v>
          </cell>
          <cell r="M600">
            <v>0</v>
          </cell>
          <cell r="N600">
            <v>9</v>
          </cell>
          <cell r="O600">
            <v>9</v>
          </cell>
          <cell r="P600">
            <v>9</v>
          </cell>
          <cell r="Q600">
            <v>9</v>
          </cell>
          <cell r="R600">
            <v>9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</row>
        <row r="601">
          <cell r="C601" t="str">
            <v>(調整）</v>
          </cell>
          <cell r="J601">
            <v>9</v>
          </cell>
          <cell r="K601">
            <v>9</v>
          </cell>
          <cell r="N601">
            <v>9</v>
          </cell>
          <cell r="O601">
            <v>9</v>
          </cell>
          <cell r="P601">
            <v>9</v>
          </cell>
          <cell r="Q601">
            <v>9</v>
          </cell>
          <cell r="R601">
            <v>9</v>
          </cell>
        </row>
        <row r="602">
          <cell r="D602">
            <v>108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</row>
        <row r="603"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</row>
        <row r="604"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</row>
        <row r="605"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</row>
        <row r="606"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</row>
        <row r="607">
          <cell r="C607" t="str">
            <v>手直し等</v>
          </cell>
        </row>
        <row r="608">
          <cell r="C608" t="str">
            <v>出荷実績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9</v>
          </cell>
          <cell r="K608">
            <v>9</v>
          </cell>
          <cell r="L608">
            <v>0</v>
          </cell>
          <cell r="M608">
            <v>0</v>
          </cell>
          <cell r="N608">
            <v>9</v>
          </cell>
          <cell r="O608">
            <v>9</v>
          </cell>
          <cell r="P608">
            <v>9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</row>
        <row r="609">
          <cell r="C609" t="str">
            <v>停止時間（昼勤）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</row>
        <row r="610">
          <cell r="C610" t="str">
            <v>停止時間（夜勤）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</row>
        <row r="611">
          <cell r="B611">
            <v>9832770180</v>
          </cell>
          <cell r="C611" t="str">
            <v>振替計画・実績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</row>
        <row r="612">
          <cell r="C612" t="str">
            <v>在庫計画</v>
          </cell>
          <cell r="D612">
            <v>256</v>
          </cell>
          <cell r="E612">
            <v>202</v>
          </cell>
          <cell r="F612">
            <v>202</v>
          </cell>
          <cell r="G612">
            <v>206.5</v>
          </cell>
          <cell r="H612">
            <v>206.5</v>
          </cell>
          <cell r="I612">
            <v>188.5</v>
          </cell>
          <cell r="J612">
            <v>193</v>
          </cell>
          <cell r="K612">
            <v>166</v>
          </cell>
          <cell r="L612">
            <v>166</v>
          </cell>
          <cell r="M612">
            <v>166</v>
          </cell>
          <cell r="N612">
            <v>175</v>
          </cell>
          <cell r="O612">
            <v>184</v>
          </cell>
          <cell r="P612">
            <v>193</v>
          </cell>
          <cell r="Q612">
            <v>166</v>
          </cell>
          <cell r="R612">
            <v>139</v>
          </cell>
          <cell r="S612">
            <v>139</v>
          </cell>
          <cell r="T612">
            <v>139</v>
          </cell>
          <cell r="U612">
            <v>143.5</v>
          </cell>
          <cell r="V612">
            <v>107.5</v>
          </cell>
          <cell r="W612">
            <v>107.5</v>
          </cell>
          <cell r="X612">
            <v>71.5</v>
          </cell>
          <cell r="Y612">
            <v>71.5</v>
          </cell>
          <cell r="Z612">
            <v>71.5</v>
          </cell>
          <cell r="AA612">
            <v>71.5</v>
          </cell>
          <cell r="AB612">
            <v>71.5</v>
          </cell>
          <cell r="AC612">
            <v>71.5</v>
          </cell>
          <cell r="AD612">
            <v>35.5</v>
          </cell>
          <cell r="AE612">
            <v>35.5</v>
          </cell>
          <cell r="AF612">
            <v>-0.5</v>
          </cell>
          <cell r="AG612">
            <v>-0.5</v>
          </cell>
          <cell r="AH612">
            <v>-0.5</v>
          </cell>
          <cell r="AI612">
            <v>-0.5</v>
          </cell>
        </row>
        <row r="613">
          <cell r="C613" t="str">
            <v>在庫実績(社内)</v>
          </cell>
          <cell r="D613">
            <v>4</v>
          </cell>
          <cell r="E613">
            <v>4</v>
          </cell>
          <cell r="F613">
            <v>4</v>
          </cell>
          <cell r="G613">
            <v>4</v>
          </cell>
          <cell r="H613">
            <v>4</v>
          </cell>
          <cell r="I613">
            <v>4</v>
          </cell>
          <cell r="J613">
            <v>4</v>
          </cell>
          <cell r="K613">
            <v>4</v>
          </cell>
          <cell r="L613">
            <v>4</v>
          </cell>
          <cell r="M613">
            <v>4</v>
          </cell>
          <cell r="N613">
            <v>3</v>
          </cell>
          <cell r="O613">
            <v>3</v>
          </cell>
          <cell r="P613">
            <v>3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</row>
        <row r="614">
          <cell r="C614" t="str">
            <v>在庫実績(物流)</v>
          </cell>
          <cell r="D614">
            <v>252</v>
          </cell>
          <cell r="E614">
            <v>198</v>
          </cell>
          <cell r="F614">
            <v>198</v>
          </cell>
          <cell r="G614">
            <v>198</v>
          </cell>
          <cell r="H614">
            <v>198</v>
          </cell>
          <cell r="I614">
            <v>180</v>
          </cell>
          <cell r="J614">
            <v>189</v>
          </cell>
          <cell r="K614">
            <v>162</v>
          </cell>
          <cell r="L614">
            <v>162</v>
          </cell>
          <cell r="M614">
            <v>162</v>
          </cell>
          <cell r="N614">
            <v>171</v>
          </cell>
          <cell r="O614">
            <v>180</v>
          </cell>
          <cell r="P614">
            <v>189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</row>
        <row r="615">
          <cell r="C615" t="str">
            <v>差異</v>
          </cell>
          <cell r="D615">
            <v>-4</v>
          </cell>
          <cell r="E615">
            <v>0</v>
          </cell>
          <cell r="F615">
            <v>0</v>
          </cell>
          <cell r="G615">
            <v>-4.5</v>
          </cell>
          <cell r="H615">
            <v>-4.5</v>
          </cell>
          <cell r="I615">
            <v>-4.5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-1</v>
          </cell>
          <cell r="O615">
            <v>-1</v>
          </cell>
          <cell r="P615">
            <v>-1</v>
          </cell>
          <cell r="Q615">
            <v>-166</v>
          </cell>
          <cell r="R615">
            <v>-139</v>
          </cell>
          <cell r="S615">
            <v>-139</v>
          </cell>
          <cell r="T615">
            <v>-139</v>
          </cell>
          <cell r="U615">
            <v>-143.5</v>
          </cell>
          <cell r="V615">
            <v>-107.5</v>
          </cell>
          <cell r="W615">
            <v>-107.5</v>
          </cell>
          <cell r="X615">
            <v>-71.5</v>
          </cell>
          <cell r="Y615">
            <v>-71.5</v>
          </cell>
          <cell r="Z615">
            <v>-71.5</v>
          </cell>
          <cell r="AA615">
            <v>-71.5</v>
          </cell>
          <cell r="AB615">
            <v>-71.5</v>
          </cell>
          <cell r="AC615">
            <v>-71.5</v>
          </cell>
          <cell r="AD615">
            <v>-35.5</v>
          </cell>
          <cell r="AE615">
            <v>-35.5</v>
          </cell>
          <cell r="AF615">
            <v>0.5</v>
          </cell>
          <cell r="AG615">
            <v>0.5</v>
          </cell>
          <cell r="AH615">
            <v>0.5</v>
          </cell>
          <cell r="AI615">
            <v>0.5</v>
          </cell>
        </row>
        <row r="616">
          <cell r="C616" t="str">
            <v>ﾊﾞﾝﾆﾝｸﾞ計画</v>
          </cell>
          <cell r="E616">
            <v>54</v>
          </cell>
          <cell r="F616">
            <v>0</v>
          </cell>
          <cell r="G616">
            <v>0</v>
          </cell>
          <cell r="H616">
            <v>0</v>
          </cell>
          <cell r="I616">
            <v>18</v>
          </cell>
          <cell r="J616">
            <v>0</v>
          </cell>
          <cell r="K616">
            <v>36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36</v>
          </cell>
          <cell r="R616">
            <v>36</v>
          </cell>
          <cell r="S616">
            <v>0</v>
          </cell>
          <cell r="T616">
            <v>0</v>
          </cell>
          <cell r="U616">
            <v>0</v>
          </cell>
          <cell r="V616">
            <v>36</v>
          </cell>
          <cell r="W616">
            <v>0</v>
          </cell>
          <cell r="X616">
            <v>36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36</v>
          </cell>
          <cell r="AE616">
            <v>0</v>
          </cell>
          <cell r="AF616">
            <v>36</v>
          </cell>
          <cell r="AG616">
            <v>0</v>
          </cell>
          <cell r="AH616">
            <v>0</v>
          </cell>
          <cell r="AI616">
            <v>0</v>
          </cell>
        </row>
        <row r="617">
          <cell r="C617" t="str">
            <v>ｵｰﾀﾞｰ変更</v>
          </cell>
          <cell r="D617">
            <v>54</v>
          </cell>
          <cell r="E617">
            <v>0</v>
          </cell>
          <cell r="F617">
            <v>0</v>
          </cell>
          <cell r="H617">
            <v>18</v>
          </cell>
          <cell r="J617">
            <v>36</v>
          </cell>
          <cell r="L617">
            <v>0</v>
          </cell>
          <cell r="M617">
            <v>0</v>
          </cell>
          <cell r="N617">
            <v>0</v>
          </cell>
          <cell r="P617">
            <v>36</v>
          </cell>
          <cell r="Q617">
            <v>36</v>
          </cell>
          <cell r="R617">
            <v>0</v>
          </cell>
          <cell r="S617">
            <v>0</v>
          </cell>
          <cell r="T617">
            <v>0</v>
          </cell>
          <cell r="U617">
            <v>36</v>
          </cell>
          <cell r="V617">
            <v>0</v>
          </cell>
          <cell r="W617">
            <v>36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36</v>
          </cell>
          <cell r="AD617">
            <v>0</v>
          </cell>
          <cell r="AE617">
            <v>36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</row>
        <row r="618">
          <cell r="C618" t="str">
            <v>20日情報
(工場出荷)</v>
          </cell>
          <cell r="E618">
            <v>0</v>
          </cell>
          <cell r="F618">
            <v>0</v>
          </cell>
          <cell r="G618">
            <v>18</v>
          </cell>
          <cell r="H618">
            <v>0</v>
          </cell>
          <cell r="I618">
            <v>0</v>
          </cell>
          <cell r="J618">
            <v>36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36</v>
          </cell>
          <cell r="P618">
            <v>0</v>
          </cell>
          <cell r="Q618">
            <v>36</v>
          </cell>
          <cell r="R618">
            <v>0</v>
          </cell>
          <cell r="S618">
            <v>0</v>
          </cell>
          <cell r="T618">
            <v>0</v>
          </cell>
          <cell r="U618">
            <v>36</v>
          </cell>
          <cell r="V618">
            <v>0</v>
          </cell>
          <cell r="W618">
            <v>36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36</v>
          </cell>
          <cell r="AD618">
            <v>0</v>
          </cell>
          <cell r="AE618">
            <v>36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</row>
        <row r="619">
          <cell r="B619">
            <v>9825603180</v>
          </cell>
          <cell r="C619" t="str">
            <v>梱包計画</v>
          </cell>
          <cell r="D619">
            <v>0</v>
          </cell>
          <cell r="E619">
            <v>0</v>
          </cell>
          <cell r="F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</row>
        <row r="620">
          <cell r="C620" t="str">
            <v>(調整）</v>
          </cell>
        </row>
        <row r="621"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</row>
        <row r="622"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</row>
        <row r="623"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</row>
        <row r="624"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</row>
        <row r="625"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</row>
        <row r="626">
          <cell r="C626" t="str">
            <v>手直し等</v>
          </cell>
        </row>
        <row r="627">
          <cell r="C627" t="str">
            <v>出荷実績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</row>
        <row r="628">
          <cell r="C628" t="str">
            <v>停止時間（昼勤）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</row>
        <row r="629">
          <cell r="C629" t="str">
            <v>停止時間（夜勤）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</row>
        <row r="630">
          <cell r="B630">
            <v>9825603180</v>
          </cell>
          <cell r="C630" t="str">
            <v>振替計画・実績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</row>
        <row r="631">
          <cell r="C631" t="str">
            <v>在庫計画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</row>
        <row r="632">
          <cell r="C632" t="str">
            <v>在庫実績(社内)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</row>
        <row r="633">
          <cell r="C633" t="str">
            <v>在庫実績(物流)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</row>
        <row r="634">
          <cell r="C634" t="str">
            <v>差異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</row>
        <row r="635">
          <cell r="B635" t="str">
            <v>長安PSA</v>
          </cell>
          <cell r="C635" t="str">
            <v>ﾊﾞﾝﾆﾝｸﾞ計画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</row>
        <row r="636">
          <cell r="C636" t="str">
            <v>ｵｰﾀﾞｰ変更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</row>
        <row r="637">
          <cell r="C637" t="str">
            <v>20日情報
(工場出荷)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</row>
        <row r="638">
          <cell r="B638">
            <v>9827962180</v>
          </cell>
          <cell r="C638" t="str">
            <v>梱包計画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</row>
        <row r="639">
          <cell r="C639" t="str">
            <v>(調整）</v>
          </cell>
        </row>
        <row r="640"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</row>
        <row r="641"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</row>
        <row r="642"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</row>
        <row r="643"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</row>
        <row r="644"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</row>
        <row r="645">
          <cell r="B645" t="str">
            <v>PSA</v>
          </cell>
          <cell r="C645" t="str">
            <v>手直し等</v>
          </cell>
        </row>
        <row r="646">
          <cell r="C646" t="str">
            <v>出荷実績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</row>
        <row r="647">
          <cell r="C647" t="str">
            <v>停止時間（昼勤）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</row>
        <row r="648">
          <cell r="C648" t="str">
            <v>停止時間（夜勤）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</row>
        <row r="649">
          <cell r="B649">
            <v>9827962180</v>
          </cell>
          <cell r="C649" t="str">
            <v>振替計画・実績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</row>
        <row r="650">
          <cell r="C650" t="str">
            <v>在庫計画</v>
          </cell>
          <cell r="D650">
            <v>27</v>
          </cell>
          <cell r="E650">
            <v>27</v>
          </cell>
          <cell r="F650">
            <v>27</v>
          </cell>
          <cell r="G650">
            <v>27</v>
          </cell>
          <cell r="H650">
            <v>27</v>
          </cell>
          <cell r="I650">
            <v>27</v>
          </cell>
          <cell r="J650">
            <v>27</v>
          </cell>
          <cell r="K650">
            <v>27</v>
          </cell>
          <cell r="L650">
            <v>27</v>
          </cell>
          <cell r="M650">
            <v>27</v>
          </cell>
          <cell r="N650">
            <v>27</v>
          </cell>
          <cell r="O650">
            <v>27</v>
          </cell>
          <cell r="P650">
            <v>27</v>
          </cell>
          <cell r="Q650">
            <v>27</v>
          </cell>
          <cell r="R650">
            <v>27</v>
          </cell>
          <cell r="S650">
            <v>27</v>
          </cell>
          <cell r="T650">
            <v>27</v>
          </cell>
          <cell r="U650">
            <v>27</v>
          </cell>
          <cell r="V650">
            <v>27</v>
          </cell>
          <cell r="W650">
            <v>27</v>
          </cell>
          <cell r="X650">
            <v>27</v>
          </cell>
          <cell r="Y650">
            <v>27</v>
          </cell>
          <cell r="Z650">
            <v>27</v>
          </cell>
          <cell r="AA650">
            <v>27</v>
          </cell>
          <cell r="AB650">
            <v>27</v>
          </cell>
          <cell r="AC650">
            <v>27</v>
          </cell>
          <cell r="AD650">
            <v>27</v>
          </cell>
          <cell r="AE650">
            <v>27</v>
          </cell>
          <cell r="AF650">
            <v>27</v>
          </cell>
          <cell r="AG650">
            <v>27</v>
          </cell>
          <cell r="AH650">
            <v>27</v>
          </cell>
          <cell r="AI650">
            <v>27</v>
          </cell>
        </row>
        <row r="651">
          <cell r="C651" t="str">
            <v>在庫実績(社内)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</row>
        <row r="652">
          <cell r="C652" t="str">
            <v>在庫実績(物流)</v>
          </cell>
          <cell r="D652">
            <v>27</v>
          </cell>
          <cell r="E652">
            <v>27</v>
          </cell>
          <cell r="F652">
            <v>27</v>
          </cell>
          <cell r="G652">
            <v>27</v>
          </cell>
          <cell r="H652">
            <v>27</v>
          </cell>
          <cell r="I652">
            <v>27</v>
          </cell>
          <cell r="J652">
            <v>27</v>
          </cell>
          <cell r="K652">
            <v>27</v>
          </cell>
          <cell r="L652">
            <v>27</v>
          </cell>
          <cell r="M652">
            <v>27</v>
          </cell>
          <cell r="N652">
            <v>27</v>
          </cell>
          <cell r="O652">
            <v>27</v>
          </cell>
          <cell r="P652">
            <v>27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</row>
        <row r="653">
          <cell r="C653" t="str">
            <v>差異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-27</v>
          </cell>
          <cell r="R653">
            <v>-27</v>
          </cell>
          <cell r="S653">
            <v>-27</v>
          </cell>
          <cell r="T653">
            <v>-27</v>
          </cell>
          <cell r="U653">
            <v>-27</v>
          </cell>
          <cell r="V653">
            <v>-27</v>
          </cell>
          <cell r="W653">
            <v>-27</v>
          </cell>
          <cell r="X653">
            <v>-27</v>
          </cell>
          <cell r="Y653">
            <v>-27</v>
          </cell>
          <cell r="Z653">
            <v>-27</v>
          </cell>
          <cell r="AA653">
            <v>-27</v>
          </cell>
          <cell r="AB653">
            <v>-27</v>
          </cell>
          <cell r="AC653">
            <v>-27</v>
          </cell>
          <cell r="AD653">
            <v>-27</v>
          </cell>
          <cell r="AE653">
            <v>-27</v>
          </cell>
          <cell r="AF653">
            <v>-27</v>
          </cell>
          <cell r="AG653">
            <v>-27</v>
          </cell>
          <cell r="AH653">
            <v>-27</v>
          </cell>
          <cell r="AI653">
            <v>-27</v>
          </cell>
        </row>
        <row r="654">
          <cell r="C654" t="str">
            <v>ﾊﾞﾝﾆﾝｸﾞ計画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</row>
        <row r="655">
          <cell r="C655" t="str">
            <v>ｵｰﾀﾞｰ変更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</row>
        <row r="656">
          <cell r="C656" t="str">
            <v>20日情報
(工場出荷)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</row>
        <row r="657">
          <cell r="B657">
            <v>9823808980</v>
          </cell>
          <cell r="C657" t="str">
            <v>梱包計画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</row>
        <row r="658">
          <cell r="C658" t="str">
            <v>(調整）</v>
          </cell>
        </row>
        <row r="659"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</row>
        <row r="660"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</row>
        <row r="661"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</row>
        <row r="662"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</row>
        <row r="663"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</row>
        <row r="664">
          <cell r="B664" t="str">
            <v>東風PSA</v>
          </cell>
          <cell r="C664" t="str">
            <v>手直し等</v>
          </cell>
        </row>
        <row r="665">
          <cell r="C665" t="str">
            <v>出荷実績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</row>
        <row r="666">
          <cell r="C666" t="str">
            <v>停止時間（昼勤）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</row>
        <row r="667">
          <cell r="C667" t="str">
            <v>停止時間（夜勤）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</row>
        <row r="668">
          <cell r="B668">
            <v>9823808980</v>
          </cell>
          <cell r="C668" t="str">
            <v>振替計画・実績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</row>
        <row r="669">
          <cell r="C669" t="str">
            <v>在庫計画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</row>
        <row r="670">
          <cell r="C670" t="str">
            <v>在庫実績(社内)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</row>
        <row r="671">
          <cell r="C671" t="str">
            <v>在庫実績(物流)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</row>
        <row r="672">
          <cell r="C672" t="str">
            <v>差異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</row>
        <row r="673">
          <cell r="C673" t="str">
            <v>ﾊﾞﾝﾆﾝｸﾞ計画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</row>
        <row r="674">
          <cell r="C674" t="str">
            <v>ｵｰﾀﾞｰ変更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</row>
        <row r="675">
          <cell r="C675" t="str">
            <v>20日情報
(工場出荷)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</row>
        <row r="676">
          <cell r="B676">
            <v>9830759280</v>
          </cell>
          <cell r="C676" t="str">
            <v>梱包計画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</row>
        <row r="677">
          <cell r="C677" t="str">
            <v>(調整）</v>
          </cell>
        </row>
        <row r="678"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</row>
        <row r="679"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</row>
        <row r="680"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</row>
        <row r="681"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</row>
        <row r="682"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</row>
        <row r="683">
          <cell r="B683" t="str">
            <v>PSA</v>
          </cell>
          <cell r="C683" t="str">
            <v>手直し等</v>
          </cell>
        </row>
        <row r="684">
          <cell r="C684" t="str">
            <v>出荷実績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</row>
        <row r="685">
          <cell r="C685" t="str">
            <v>停止時間（昼勤）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</row>
        <row r="686">
          <cell r="C686" t="str">
            <v>停止時間（夜勤）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</row>
        <row r="687">
          <cell r="B687">
            <v>9830759280</v>
          </cell>
          <cell r="C687" t="str">
            <v>振替計画・実績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</row>
        <row r="688">
          <cell r="C688" t="str">
            <v>在庫計画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</row>
        <row r="689">
          <cell r="C689" t="str">
            <v>在庫実績(社内)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</row>
        <row r="690">
          <cell r="C690" t="str">
            <v>在庫実績(物流)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</row>
        <row r="691">
          <cell r="C691" t="str">
            <v>差異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</row>
        <row r="692">
          <cell r="C692" t="str">
            <v>ﾊﾞﾝﾆﾝｸﾞ計画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</row>
        <row r="693">
          <cell r="C693" t="str">
            <v>ｵｰﾀﾞｰ変更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</row>
        <row r="694">
          <cell r="C694" t="str">
            <v>20日情報
(工場出荷)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</row>
        <row r="695">
          <cell r="B695">
            <v>9830759380</v>
          </cell>
          <cell r="C695" t="str">
            <v>梱包計画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</row>
        <row r="696">
          <cell r="C696" t="str">
            <v>(調整）</v>
          </cell>
        </row>
        <row r="697"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</row>
        <row r="698"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</row>
        <row r="699"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</row>
        <row r="700"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</row>
        <row r="701">
          <cell r="D701">
            <v>0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</row>
        <row r="702">
          <cell r="B702" t="str">
            <v>PSA</v>
          </cell>
          <cell r="C702" t="str">
            <v>手直し等</v>
          </cell>
        </row>
        <row r="703">
          <cell r="C703" t="str">
            <v>出荷実績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</row>
        <row r="704">
          <cell r="C704" t="str">
            <v>停止時間（昼勤）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</row>
        <row r="705">
          <cell r="C705" t="str">
            <v>停止時間（夜勤）</v>
          </cell>
          <cell r="E705">
            <v>0</v>
          </cell>
          <cell r="F705">
            <v>0</v>
          </cell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</row>
        <row r="706">
          <cell r="B706">
            <v>9830759380</v>
          </cell>
          <cell r="C706" t="str">
            <v>振替計画・実績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</row>
        <row r="707">
          <cell r="C707" t="str">
            <v>在庫計画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</row>
        <row r="708">
          <cell r="C708" t="str">
            <v>在庫実績(社内)</v>
          </cell>
          <cell r="E708">
            <v>0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</row>
        <row r="709">
          <cell r="C709" t="str">
            <v>在庫実績(物流)</v>
          </cell>
          <cell r="D709">
            <v>0</v>
          </cell>
          <cell r="E709">
            <v>0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</row>
        <row r="710">
          <cell r="C710" t="str">
            <v>差異</v>
          </cell>
          <cell r="D710">
            <v>0</v>
          </cell>
          <cell r="E710">
            <v>0</v>
          </cell>
          <cell r="F710">
            <v>0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</row>
        <row r="711">
          <cell r="C711" t="str">
            <v>ﾊﾞﾝﾆﾝｸﾞ計画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</row>
        <row r="712">
          <cell r="C712" t="str">
            <v>ｵｰﾀﾞｰ変更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</row>
        <row r="713">
          <cell r="C713" t="str">
            <v>20日情報
(工場出荷)</v>
          </cell>
          <cell r="E713">
            <v>0</v>
          </cell>
          <cell r="F713">
            <v>0</v>
          </cell>
          <cell r="G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</row>
        <row r="714">
          <cell r="B714">
            <v>9830759880</v>
          </cell>
          <cell r="C714" t="str">
            <v>梱包計画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</row>
        <row r="715">
          <cell r="C715" t="str">
            <v>(調整）</v>
          </cell>
        </row>
        <row r="716"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</row>
        <row r="717"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</row>
        <row r="718"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</row>
        <row r="719"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</row>
        <row r="720"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</row>
        <row r="721">
          <cell r="B721" t="str">
            <v>東風PSA</v>
          </cell>
          <cell r="C721" t="str">
            <v>手直し等</v>
          </cell>
        </row>
        <row r="722">
          <cell r="C722" t="str">
            <v>出荷実績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</row>
        <row r="723">
          <cell r="C723" t="str">
            <v>停止時間（昼勤）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</row>
        <row r="724">
          <cell r="C724" t="str">
            <v>停止時間（夜勤）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</row>
        <row r="725">
          <cell r="B725">
            <v>9830759880</v>
          </cell>
          <cell r="C725" t="str">
            <v>振替計画・実績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</row>
        <row r="726">
          <cell r="C726" t="str">
            <v>在庫計画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</row>
        <row r="727">
          <cell r="C727" t="str">
            <v>在庫実績(社内)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</row>
        <row r="728">
          <cell r="C728" t="str">
            <v>在庫実績(物流)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</row>
        <row r="729">
          <cell r="C729" t="str">
            <v>差異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</row>
        <row r="730">
          <cell r="C730" t="str">
            <v>ﾊﾞﾝﾆﾝｸﾞ計画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</row>
        <row r="731">
          <cell r="C731" t="str">
            <v>ｵｰﾀﾞｰ変更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</row>
        <row r="732">
          <cell r="C732" t="str">
            <v>20日情報
(工場出荷)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</row>
        <row r="733">
          <cell r="B733">
            <v>9837259680</v>
          </cell>
          <cell r="C733" t="str">
            <v>梱包計画</v>
          </cell>
          <cell r="D733">
            <v>9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9</v>
          </cell>
          <cell r="J733">
            <v>9</v>
          </cell>
          <cell r="K733">
            <v>9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</row>
        <row r="734">
          <cell r="C734" t="str">
            <v>(調整）</v>
          </cell>
          <cell r="I734">
            <v>9</v>
          </cell>
          <cell r="J734">
            <v>9</v>
          </cell>
          <cell r="K734">
            <v>9</v>
          </cell>
        </row>
        <row r="735">
          <cell r="D735">
            <v>18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</row>
        <row r="736"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</row>
        <row r="737"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</row>
        <row r="738"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</row>
        <row r="739"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</row>
        <row r="740">
          <cell r="C740" t="str">
            <v>手直し等</v>
          </cell>
        </row>
        <row r="741">
          <cell r="C741" t="str">
            <v>出荷実績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9</v>
          </cell>
          <cell r="J741">
            <v>9</v>
          </cell>
          <cell r="K741">
            <v>9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</row>
        <row r="742">
          <cell r="C742" t="str">
            <v>停止時間（昼勤）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</row>
        <row r="743">
          <cell r="C743" t="str">
            <v>停止時間（夜勤）</v>
          </cell>
          <cell r="E743">
            <v>0</v>
          </cell>
          <cell r="F743">
            <v>0</v>
          </cell>
          <cell r="G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</row>
        <row r="744">
          <cell r="B744">
            <v>9837259680</v>
          </cell>
          <cell r="C744" t="str">
            <v>振替計画・実績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</row>
        <row r="745">
          <cell r="C745" t="str">
            <v>在庫計画</v>
          </cell>
          <cell r="D745">
            <v>26</v>
          </cell>
          <cell r="E745">
            <v>26</v>
          </cell>
          <cell r="F745">
            <v>26</v>
          </cell>
          <cell r="G745">
            <v>30.5</v>
          </cell>
          <cell r="H745">
            <v>30.5</v>
          </cell>
          <cell r="I745">
            <v>17</v>
          </cell>
          <cell r="J745">
            <v>26</v>
          </cell>
          <cell r="K745">
            <v>17</v>
          </cell>
          <cell r="L745">
            <v>17</v>
          </cell>
          <cell r="M745">
            <v>17</v>
          </cell>
          <cell r="N745">
            <v>21.5</v>
          </cell>
          <cell r="O745">
            <v>21.5</v>
          </cell>
          <cell r="P745">
            <v>21.5</v>
          </cell>
          <cell r="Q745">
            <v>12.5</v>
          </cell>
          <cell r="R745">
            <v>12.5</v>
          </cell>
          <cell r="S745">
            <v>12.5</v>
          </cell>
          <cell r="T745">
            <v>12.5</v>
          </cell>
          <cell r="U745">
            <v>12.5</v>
          </cell>
          <cell r="V745">
            <v>3.5</v>
          </cell>
          <cell r="W745">
            <v>3.5</v>
          </cell>
          <cell r="X745">
            <v>3.5</v>
          </cell>
          <cell r="Y745">
            <v>3.5</v>
          </cell>
          <cell r="Z745">
            <v>3.5</v>
          </cell>
          <cell r="AA745">
            <v>3.5</v>
          </cell>
          <cell r="AB745">
            <v>3.5</v>
          </cell>
          <cell r="AC745">
            <v>3.5</v>
          </cell>
          <cell r="AD745">
            <v>3.5</v>
          </cell>
          <cell r="AE745">
            <v>3.5</v>
          </cell>
          <cell r="AF745">
            <v>3.5</v>
          </cell>
          <cell r="AG745">
            <v>3.5</v>
          </cell>
          <cell r="AH745">
            <v>3.5</v>
          </cell>
          <cell r="AI745">
            <v>3.5</v>
          </cell>
        </row>
        <row r="746">
          <cell r="C746" t="str">
            <v>在庫実績(社内)</v>
          </cell>
          <cell r="D746">
            <v>8</v>
          </cell>
          <cell r="E746">
            <v>8</v>
          </cell>
          <cell r="F746">
            <v>8</v>
          </cell>
          <cell r="G746">
            <v>8</v>
          </cell>
          <cell r="H746">
            <v>8</v>
          </cell>
          <cell r="I746">
            <v>8</v>
          </cell>
          <cell r="J746">
            <v>8</v>
          </cell>
          <cell r="K746">
            <v>8</v>
          </cell>
          <cell r="L746">
            <v>8</v>
          </cell>
          <cell r="M746">
            <v>8</v>
          </cell>
          <cell r="N746">
            <v>8</v>
          </cell>
          <cell r="O746">
            <v>8</v>
          </cell>
          <cell r="P746">
            <v>8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</row>
        <row r="747">
          <cell r="C747" t="str">
            <v>在庫実績(物流)</v>
          </cell>
          <cell r="D747">
            <v>18</v>
          </cell>
          <cell r="E747">
            <v>18</v>
          </cell>
          <cell r="F747">
            <v>18</v>
          </cell>
          <cell r="G747">
            <v>18</v>
          </cell>
          <cell r="H747">
            <v>18</v>
          </cell>
          <cell r="I747">
            <v>9</v>
          </cell>
          <cell r="J747">
            <v>18</v>
          </cell>
          <cell r="K747">
            <v>9</v>
          </cell>
          <cell r="L747">
            <v>9</v>
          </cell>
          <cell r="M747">
            <v>9</v>
          </cell>
          <cell r="N747">
            <v>9</v>
          </cell>
          <cell r="O747">
            <v>9</v>
          </cell>
          <cell r="P747">
            <v>9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</row>
        <row r="748">
          <cell r="C748" t="str">
            <v>差異</v>
          </cell>
          <cell r="D748">
            <v>-8</v>
          </cell>
          <cell r="E748">
            <v>0</v>
          </cell>
          <cell r="F748">
            <v>0</v>
          </cell>
          <cell r="G748">
            <v>-4.5</v>
          </cell>
          <cell r="H748">
            <v>-4.5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-4.5</v>
          </cell>
          <cell r="O748">
            <v>-4.5</v>
          </cell>
          <cell r="P748">
            <v>-4.5</v>
          </cell>
          <cell r="Q748">
            <v>-12.5</v>
          </cell>
          <cell r="R748">
            <v>-12.5</v>
          </cell>
          <cell r="S748">
            <v>-12.5</v>
          </cell>
          <cell r="T748">
            <v>-12.5</v>
          </cell>
          <cell r="U748">
            <v>-12.5</v>
          </cell>
          <cell r="V748">
            <v>-3.5</v>
          </cell>
          <cell r="W748">
            <v>-3.5</v>
          </cell>
          <cell r="X748">
            <v>-3.5</v>
          </cell>
          <cell r="Y748">
            <v>-3.5</v>
          </cell>
          <cell r="Z748">
            <v>-3.5</v>
          </cell>
          <cell r="AA748">
            <v>-3.5</v>
          </cell>
          <cell r="AB748">
            <v>-3.5</v>
          </cell>
          <cell r="AC748">
            <v>-3.5</v>
          </cell>
          <cell r="AD748">
            <v>-3.5</v>
          </cell>
          <cell r="AE748">
            <v>-3.5</v>
          </cell>
          <cell r="AF748">
            <v>-3.5</v>
          </cell>
          <cell r="AG748">
            <v>-3.5</v>
          </cell>
          <cell r="AH748">
            <v>-3.5</v>
          </cell>
          <cell r="AI748">
            <v>-3.5</v>
          </cell>
        </row>
        <row r="749">
          <cell r="C749" t="str">
            <v>ﾊﾞﾝﾆﾝｸﾞ計画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18</v>
          </cell>
          <cell r="J749">
            <v>0</v>
          </cell>
          <cell r="K749">
            <v>18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9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9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</row>
        <row r="750">
          <cell r="C750" t="str">
            <v>ｵｰﾀﾞｰ変更</v>
          </cell>
          <cell r="E750">
            <v>0</v>
          </cell>
          <cell r="F750">
            <v>0</v>
          </cell>
          <cell r="H750">
            <v>18</v>
          </cell>
          <cell r="I750">
            <v>0</v>
          </cell>
          <cell r="J750">
            <v>18</v>
          </cell>
          <cell r="L750">
            <v>0</v>
          </cell>
          <cell r="M750">
            <v>0</v>
          </cell>
          <cell r="N750">
            <v>0</v>
          </cell>
          <cell r="P750">
            <v>9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9</v>
          </cell>
          <cell r="V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</row>
        <row r="751">
          <cell r="C751" t="str">
            <v>20日情報
(工場出荷)</v>
          </cell>
          <cell r="E751">
            <v>0</v>
          </cell>
          <cell r="F751">
            <v>0</v>
          </cell>
          <cell r="G751">
            <v>18</v>
          </cell>
          <cell r="H751">
            <v>0</v>
          </cell>
          <cell r="I751">
            <v>0</v>
          </cell>
          <cell r="J751">
            <v>18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9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9</v>
          </cell>
          <cell r="V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</row>
        <row r="752">
          <cell r="B752">
            <v>9837259780</v>
          </cell>
          <cell r="C752" t="str">
            <v>梱包計画</v>
          </cell>
          <cell r="D752">
            <v>9</v>
          </cell>
          <cell r="E752">
            <v>0</v>
          </cell>
          <cell r="F752">
            <v>0</v>
          </cell>
          <cell r="G752">
            <v>9</v>
          </cell>
          <cell r="H752">
            <v>9</v>
          </cell>
          <cell r="I752">
            <v>0</v>
          </cell>
          <cell r="J752">
            <v>9</v>
          </cell>
          <cell r="K752">
            <v>9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</row>
        <row r="753">
          <cell r="C753" t="str">
            <v>(調整）</v>
          </cell>
          <cell r="G753">
            <v>9</v>
          </cell>
          <cell r="H753">
            <v>9</v>
          </cell>
          <cell r="J753">
            <v>9</v>
          </cell>
          <cell r="K753">
            <v>9</v>
          </cell>
        </row>
        <row r="754">
          <cell r="D754">
            <v>18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</row>
        <row r="755"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</row>
        <row r="756">
          <cell r="E756">
            <v>0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</row>
        <row r="757">
          <cell r="E757">
            <v>0</v>
          </cell>
          <cell r="F757">
            <v>0</v>
          </cell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</row>
        <row r="758">
          <cell r="D758">
            <v>18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</row>
        <row r="759">
          <cell r="C759" t="str">
            <v>手直し等</v>
          </cell>
        </row>
        <row r="760">
          <cell r="C760" t="str">
            <v>出荷実績</v>
          </cell>
          <cell r="E760">
            <v>0</v>
          </cell>
          <cell r="F760">
            <v>0</v>
          </cell>
          <cell r="G760">
            <v>9</v>
          </cell>
          <cell r="H760">
            <v>9</v>
          </cell>
          <cell r="I760">
            <v>0</v>
          </cell>
          <cell r="J760">
            <v>9</v>
          </cell>
          <cell r="K760">
            <v>9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</row>
        <row r="761">
          <cell r="C761" t="str">
            <v>停止時間（昼勤）</v>
          </cell>
          <cell r="E761">
            <v>0</v>
          </cell>
          <cell r="F761">
            <v>0</v>
          </cell>
          <cell r="G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</row>
        <row r="762">
          <cell r="C762" t="str">
            <v>停止時間（夜勤）</v>
          </cell>
          <cell r="E762">
            <v>0</v>
          </cell>
          <cell r="F762">
            <v>0</v>
          </cell>
          <cell r="G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</row>
        <row r="763">
          <cell r="B763">
            <v>9837259780</v>
          </cell>
          <cell r="C763" t="str">
            <v>振替計画・実績</v>
          </cell>
          <cell r="E763">
            <v>0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</row>
        <row r="764">
          <cell r="C764" t="str">
            <v>在庫計画</v>
          </cell>
          <cell r="D764">
            <v>38</v>
          </cell>
          <cell r="E764">
            <v>38</v>
          </cell>
          <cell r="F764">
            <v>38</v>
          </cell>
          <cell r="G764">
            <v>47</v>
          </cell>
          <cell r="H764">
            <v>56</v>
          </cell>
          <cell r="I764">
            <v>42.5</v>
          </cell>
          <cell r="J764">
            <v>47</v>
          </cell>
          <cell r="K764">
            <v>38</v>
          </cell>
          <cell r="L764">
            <v>38</v>
          </cell>
          <cell r="M764">
            <v>38</v>
          </cell>
          <cell r="N764">
            <v>42.5</v>
          </cell>
          <cell r="O764">
            <v>42.5</v>
          </cell>
          <cell r="P764">
            <v>42.5</v>
          </cell>
          <cell r="Q764">
            <v>33.5</v>
          </cell>
          <cell r="R764">
            <v>33.5</v>
          </cell>
          <cell r="S764">
            <v>33.5</v>
          </cell>
          <cell r="T764">
            <v>33.5</v>
          </cell>
          <cell r="U764">
            <v>33.5</v>
          </cell>
          <cell r="V764">
            <v>24.5</v>
          </cell>
          <cell r="W764">
            <v>24.5</v>
          </cell>
          <cell r="X764">
            <v>24.5</v>
          </cell>
          <cell r="Y764">
            <v>24.5</v>
          </cell>
          <cell r="Z764">
            <v>24.5</v>
          </cell>
          <cell r="AA764">
            <v>24.5</v>
          </cell>
          <cell r="AB764">
            <v>24.5</v>
          </cell>
          <cell r="AC764">
            <v>24.5</v>
          </cell>
          <cell r="AD764">
            <v>24.5</v>
          </cell>
          <cell r="AE764">
            <v>24.5</v>
          </cell>
          <cell r="AF764">
            <v>24.5</v>
          </cell>
          <cell r="AG764">
            <v>24.5</v>
          </cell>
          <cell r="AH764">
            <v>24.5</v>
          </cell>
          <cell r="AI764">
            <v>24.5</v>
          </cell>
        </row>
        <row r="765">
          <cell r="C765" t="str">
            <v>在庫実績(社内)</v>
          </cell>
          <cell r="D765">
            <v>2</v>
          </cell>
          <cell r="E765">
            <v>2</v>
          </cell>
          <cell r="F765">
            <v>2</v>
          </cell>
          <cell r="G765">
            <v>0</v>
          </cell>
          <cell r="H765">
            <v>0</v>
          </cell>
          <cell r="I765">
            <v>2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2</v>
          </cell>
          <cell r="O765">
            <v>0</v>
          </cell>
          <cell r="P765">
            <v>2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</row>
        <row r="766">
          <cell r="C766" t="str">
            <v>在庫実績(物流)</v>
          </cell>
          <cell r="D766">
            <v>36</v>
          </cell>
          <cell r="E766">
            <v>36</v>
          </cell>
          <cell r="F766">
            <v>36</v>
          </cell>
          <cell r="G766">
            <v>45</v>
          </cell>
          <cell r="H766">
            <v>54</v>
          </cell>
          <cell r="I766">
            <v>36</v>
          </cell>
          <cell r="J766">
            <v>45</v>
          </cell>
          <cell r="K766">
            <v>36</v>
          </cell>
          <cell r="L766">
            <v>36</v>
          </cell>
          <cell r="M766">
            <v>36</v>
          </cell>
          <cell r="N766">
            <v>36</v>
          </cell>
          <cell r="O766">
            <v>36</v>
          </cell>
          <cell r="P766">
            <v>36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</row>
        <row r="767">
          <cell r="C767" t="str">
            <v>差異</v>
          </cell>
          <cell r="D767">
            <v>-2</v>
          </cell>
          <cell r="E767">
            <v>0</v>
          </cell>
          <cell r="F767">
            <v>0</v>
          </cell>
          <cell r="G767">
            <v>-2</v>
          </cell>
          <cell r="H767">
            <v>-2</v>
          </cell>
          <cell r="I767">
            <v>-4.5</v>
          </cell>
          <cell r="J767">
            <v>-2</v>
          </cell>
          <cell r="K767">
            <v>-2</v>
          </cell>
          <cell r="L767">
            <v>-2</v>
          </cell>
          <cell r="M767">
            <v>-2</v>
          </cell>
          <cell r="N767">
            <v>-4.5</v>
          </cell>
          <cell r="O767">
            <v>-6.5</v>
          </cell>
          <cell r="P767">
            <v>-4.5</v>
          </cell>
          <cell r="Q767">
            <v>-33.5</v>
          </cell>
          <cell r="R767">
            <v>-33.5</v>
          </cell>
          <cell r="S767">
            <v>-33.5</v>
          </cell>
          <cell r="T767">
            <v>-33.5</v>
          </cell>
          <cell r="U767">
            <v>-33.5</v>
          </cell>
          <cell r="V767">
            <v>-24.5</v>
          </cell>
          <cell r="W767">
            <v>-24.5</v>
          </cell>
          <cell r="X767">
            <v>-24.5</v>
          </cell>
          <cell r="Y767">
            <v>-24.5</v>
          </cell>
          <cell r="Z767">
            <v>-24.5</v>
          </cell>
          <cell r="AA767">
            <v>-24.5</v>
          </cell>
          <cell r="AB767">
            <v>-24.5</v>
          </cell>
          <cell r="AC767">
            <v>-24.5</v>
          </cell>
          <cell r="AD767">
            <v>-24.5</v>
          </cell>
          <cell r="AE767">
            <v>-24.5</v>
          </cell>
          <cell r="AF767">
            <v>-24.5</v>
          </cell>
          <cell r="AG767">
            <v>-24.5</v>
          </cell>
          <cell r="AH767">
            <v>-24.5</v>
          </cell>
          <cell r="AI767">
            <v>-24.5</v>
          </cell>
        </row>
        <row r="768">
          <cell r="C768" t="str">
            <v>ﾊﾞﾝﾆﾝｸﾞ計画</v>
          </cell>
          <cell r="E768">
            <v>0</v>
          </cell>
          <cell r="F768">
            <v>0</v>
          </cell>
          <cell r="G768">
            <v>0</v>
          </cell>
          <cell r="H768">
            <v>0</v>
          </cell>
          <cell r="I768">
            <v>18</v>
          </cell>
          <cell r="J768">
            <v>0</v>
          </cell>
          <cell r="K768">
            <v>18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9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9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</row>
        <row r="769">
          <cell r="C769" t="str">
            <v>ｵｰﾀﾞｰ変更</v>
          </cell>
          <cell r="E769">
            <v>0</v>
          </cell>
          <cell r="F769">
            <v>0</v>
          </cell>
          <cell r="H769">
            <v>18</v>
          </cell>
          <cell r="I769">
            <v>0</v>
          </cell>
          <cell r="J769">
            <v>18</v>
          </cell>
          <cell r="L769">
            <v>0</v>
          </cell>
          <cell r="M769">
            <v>0</v>
          </cell>
          <cell r="N769">
            <v>0</v>
          </cell>
          <cell r="P769">
            <v>9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9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</row>
        <row r="770">
          <cell r="C770" t="str">
            <v>20日情報
(工場出荷)</v>
          </cell>
          <cell r="E770">
            <v>0</v>
          </cell>
          <cell r="F770">
            <v>0</v>
          </cell>
          <cell r="G770">
            <v>18</v>
          </cell>
          <cell r="H770">
            <v>0</v>
          </cell>
          <cell r="I770">
            <v>0</v>
          </cell>
          <cell r="J770">
            <v>18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9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9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</row>
        <row r="771">
          <cell r="B771">
            <v>9837691780</v>
          </cell>
          <cell r="C771" t="str">
            <v>梱包計画</v>
          </cell>
          <cell r="D771">
            <v>0</v>
          </cell>
          <cell r="E771">
            <v>0</v>
          </cell>
          <cell r="F771">
            <v>0</v>
          </cell>
          <cell r="G771">
            <v>9</v>
          </cell>
          <cell r="H771">
            <v>9</v>
          </cell>
          <cell r="I771">
            <v>9</v>
          </cell>
          <cell r="J771">
            <v>9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</row>
        <row r="772">
          <cell r="C772" t="str">
            <v>(調整）</v>
          </cell>
          <cell r="G772">
            <v>9</v>
          </cell>
          <cell r="H772">
            <v>9</v>
          </cell>
          <cell r="I772">
            <v>9</v>
          </cell>
          <cell r="J772">
            <v>9</v>
          </cell>
        </row>
        <row r="773">
          <cell r="D773">
            <v>18</v>
          </cell>
          <cell r="E773">
            <v>0</v>
          </cell>
          <cell r="F773">
            <v>0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</row>
        <row r="774"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</row>
        <row r="775"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</row>
        <row r="776"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</row>
        <row r="777">
          <cell r="D777">
            <v>18</v>
          </cell>
          <cell r="E777">
            <v>0</v>
          </cell>
          <cell r="F777">
            <v>0</v>
          </cell>
          <cell r="G777">
            <v>9</v>
          </cell>
          <cell r="H777">
            <v>2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</row>
        <row r="778">
          <cell r="C778" t="str">
            <v>手直し等</v>
          </cell>
        </row>
        <row r="779">
          <cell r="C779" t="str">
            <v>出荷実績</v>
          </cell>
          <cell r="E779">
            <v>0</v>
          </cell>
          <cell r="F779">
            <v>0</v>
          </cell>
          <cell r="G779">
            <v>9</v>
          </cell>
          <cell r="H779">
            <v>9</v>
          </cell>
          <cell r="I779">
            <v>9</v>
          </cell>
          <cell r="J779">
            <v>9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</row>
        <row r="780">
          <cell r="C780" t="str">
            <v>停止時間（昼勤）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</row>
        <row r="781">
          <cell r="C781" t="str">
            <v>停止時間（夜勤）</v>
          </cell>
          <cell r="E781">
            <v>0</v>
          </cell>
          <cell r="F781">
            <v>0</v>
          </cell>
          <cell r="G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</row>
        <row r="782">
          <cell r="B782">
            <v>9837691780</v>
          </cell>
          <cell r="C782" t="str">
            <v>振替計画・実績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</row>
        <row r="783">
          <cell r="C783" t="str">
            <v>在庫計画</v>
          </cell>
          <cell r="D783">
            <v>25</v>
          </cell>
          <cell r="E783">
            <v>25</v>
          </cell>
          <cell r="F783">
            <v>25</v>
          </cell>
          <cell r="G783">
            <v>29.5</v>
          </cell>
          <cell r="H783">
            <v>38.5</v>
          </cell>
          <cell r="I783">
            <v>29.5</v>
          </cell>
          <cell r="J783">
            <v>38.5</v>
          </cell>
          <cell r="K783">
            <v>25</v>
          </cell>
          <cell r="L783">
            <v>25</v>
          </cell>
          <cell r="M783">
            <v>25</v>
          </cell>
          <cell r="N783">
            <v>25</v>
          </cell>
          <cell r="O783">
            <v>25</v>
          </cell>
          <cell r="P783">
            <v>25</v>
          </cell>
          <cell r="Q783">
            <v>16</v>
          </cell>
          <cell r="R783">
            <v>16</v>
          </cell>
          <cell r="S783">
            <v>16</v>
          </cell>
          <cell r="T783">
            <v>16</v>
          </cell>
          <cell r="U783">
            <v>16</v>
          </cell>
          <cell r="V783">
            <v>7</v>
          </cell>
          <cell r="W783">
            <v>7</v>
          </cell>
          <cell r="X783">
            <v>7</v>
          </cell>
          <cell r="Y783">
            <v>7</v>
          </cell>
          <cell r="Z783">
            <v>7</v>
          </cell>
          <cell r="AA783">
            <v>7</v>
          </cell>
          <cell r="AB783">
            <v>7</v>
          </cell>
          <cell r="AC783">
            <v>7</v>
          </cell>
          <cell r="AD783">
            <v>7</v>
          </cell>
          <cell r="AE783">
            <v>7</v>
          </cell>
          <cell r="AF783">
            <v>7</v>
          </cell>
          <cell r="AG783">
            <v>7</v>
          </cell>
          <cell r="AH783">
            <v>7</v>
          </cell>
          <cell r="AI783">
            <v>7</v>
          </cell>
        </row>
        <row r="784">
          <cell r="C784" t="str">
            <v>在庫実績(社内)</v>
          </cell>
          <cell r="D784">
            <v>7</v>
          </cell>
          <cell r="E784">
            <v>7</v>
          </cell>
          <cell r="F784">
            <v>7</v>
          </cell>
          <cell r="G784">
            <v>7</v>
          </cell>
          <cell r="H784">
            <v>7</v>
          </cell>
          <cell r="I784">
            <v>7</v>
          </cell>
          <cell r="J784">
            <v>6</v>
          </cell>
          <cell r="K784">
            <v>6</v>
          </cell>
          <cell r="L784">
            <v>6</v>
          </cell>
          <cell r="M784">
            <v>6</v>
          </cell>
          <cell r="N784">
            <v>7</v>
          </cell>
          <cell r="O784">
            <v>7</v>
          </cell>
          <cell r="P784">
            <v>7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</row>
        <row r="785">
          <cell r="C785" t="str">
            <v>在庫実績(物流)</v>
          </cell>
          <cell r="D785">
            <v>18</v>
          </cell>
          <cell r="E785">
            <v>18</v>
          </cell>
          <cell r="F785">
            <v>18</v>
          </cell>
          <cell r="G785">
            <v>27</v>
          </cell>
          <cell r="H785">
            <v>36</v>
          </cell>
          <cell r="I785">
            <v>27</v>
          </cell>
          <cell r="J785">
            <v>36</v>
          </cell>
          <cell r="K785">
            <v>18</v>
          </cell>
          <cell r="L785">
            <v>18</v>
          </cell>
          <cell r="M785">
            <v>18</v>
          </cell>
          <cell r="N785">
            <v>18</v>
          </cell>
          <cell r="O785">
            <v>18</v>
          </cell>
          <cell r="P785">
            <v>18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</row>
        <row r="786">
          <cell r="C786" t="str">
            <v>差異</v>
          </cell>
          <cell r="D786">
            <v>-7</v>
          </cell>
          <cell r="E786">
            <v>0</v>
          </cell>
          <cell r="F786">
            <v>0</v>
          </cell>
          <cell r="G786">
            <v>4.5</v>
          </cell>
          <cell r="H786">
            <v>4.5</v>
          </cell>
          <cell r="I786">
            <v>4.5</v>
          </cell>
          <cell r="J786">
            <v>3.5</v>
          </cell>
          <cell r="K786">
            <v>-1</v>
          </cell>
          <cell r="L786">
            <v>-1</v>
          </cell>
          <cell r="M786">
            <v>-1</v>
          </cell>
          <cell r="N786">
            <v>0</v>
          </cell>
          <cell r="O786">
            <v>0</v>
          </cell>
          <cell r="P786">
            <v>0</v>
          </cell>
          <cell r="Q786">
            <v>-16</v>
          </cell>
          <cell r="R786">
            <v>-16</v>
          </cell>
          <cell r="S786">
            <v>-16</v>
          </cell>
          <cell r="T786">
            <v>-16</v>
          </cell>
          <cell r="U786">
            <v>-16</v>
          </cell>
          <cell r="V786">
            <v>-7</v>
          </cell>
          <cell r="W786">
            <v>-7</v>
          </cell>
          <cell r="X786">
            <v>-7</v>
          </cell>
          <cell r="Y786">
            <v>-7</v>
          </cell>
          <cell r="Z786">
            <v>-7</v>
          </cell>
          <cell r="AA786">
            <v>-7</v>
          </cell>
          <cell r="AB786">
            <v>-7</v>
          </cell>
          <cell r="AC786">
            <v>-7</v>
          </cell>
          <cell r="AD786">
            <v>-7</v>
          </cell>
          <cell r="AE786">
            <v>-7</v>
          </cell>
          <cell r="AF786">
            <v>-7</v>
          </cell>
          <cell r="AG786">
            <v>-7</v>
          </cell>
          <cell r="AH786">
            <v>-7</v>
          </cell>
          <cell r="AI786">
            <v>-7</v>
          </cell>
        </row>
        <row r="787">
          <cell r="C787" t="str">
            <v>ﾊﾞﾝﾆﾝｸﾞ計画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18</v>
          </cell>
          <cell r="J787">
            <v>0</v>
          </cell>
          <cell r="K787">
            <v>18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9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9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</row>
        <row r="788">
          <cell r="C788" t="str">
            <v>ｵｰﾀﾞｰ変更</v>
          </cell>
          <cell r="E788">
            <v>0</v>
          </cell>
          <cell r="F788">
            <v>0</v>
          </cell>
          <cell r="H788">
            <v>18</v>
          </cell>
          <cell r="I788">
            <v>0</v>
          </cell>
          <cell r="J788">
            <v>18</v>
          </cell>
          <cell r="L788">
            <v>0</v>
          </cell>
          <cell r="M788">
            <v>0</v>
          </cell>
          <cell r="N788">
            <v>0</v>
          </cell>
          <cell r="P788">
            <v>9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9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</row>
        <row r="789">
          <cell r="C789" t="str">
            <v>20日情報
(工場出荷)</v>
          </cell>
          <cell r="E789">
            <v>0</v>
          </cell>
          <cell r="F789">
            <v>0</v>
          </cell>
          <cell r="G789">
            <v>18</v>
          </cell>
          <cell r="H789">
            <v>0</v>
          </cell>
          <cell r="I789">
            <v>0</v>
          </cell>
          <cell r="J789">
            <v>18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9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9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</row>
        <row r="790">
          <cell r="B790">
            <v>9834577580</v>
          </cell>
          <cell r="C790" t="str">
            <v>梱包計画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</row>
        <row r="791">
          <cell r="C791" t="str">
            <v>(調整）</v>
          </cell>
        </row>
        <row r="792">
          <cell r="D792">
            <v>0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</row>
        <row r="793"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</row>
        <row r="794"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</row>
        <row r="795"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</row>
        <row r="796">
          <cell r="D796">
            <v>0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</row>
        <row r="797">
          <cell r="C797" t="str">
            <v>手直し等</v>
          </cell>
        </row>
        <row r="798">
          <cell r="C798" t="str">
            <v>出荷実績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</row>
        <row r="799">
          <cell r="C799" t="str">
            <v>停止時間（昼勤）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</row>
        <row r="800">
          <cell r="C800" t="str">
            <v>停止時間（夜勤）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</row>
        <row r="801">
          <cell r="B801">
            <v>9834577580</v>
          </cell>
          <cell r="C801" t="str">
            <v>振替計画・実績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</row>
        <row r="802">
          <cell r="C802" t="str">
            <v>在庫計画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</row>
        <row r="803">
          <cell r="C803" t="str">
            <v>在庫実績(社内)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</row>
        <row r="804">
          <cell r="C804" t="str">
            <v>在庫実績(物流)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</row>
        <row r="805">
          <cell r="C805" t="str">
            <v>差異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</row>
        <row r="806">
          <cell r="C806" t="str">
            <v>ﾊﾞﾝﾆﾝｸﾞ計画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</row>
        <row r="807">
          <cell r="C807" t="str">
            <v>ｵｰﾀﾞｰ変更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</row>
        <row r="808">
          <cell r="C808" t="str">
            <v>20日情報
(工場出荷)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</row>
        <row r="809">
          <cell r="B809">
            <v>9838184080</v>
          </cell>
          <cell r="C809" t="str">
            <v>梱包計画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</row>
        <row r="810">
          <cell r="C810" t="str">
            <v>(調整）</v>
          </cell>
        </row>
        <row r="811"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</row>
        <row r="812"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</row>
        <row r="813"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</row>
        <row r="814"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</row>
        <row r="815">
          <cell r="D815">
            <v>0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</row>
        <row r="816">
          <cell r="C816" t="str">
            <v>手直し等</v>
          </cell>
        </row>
        <row r="817">
          <cell r="C817" t="str">
            <v>出荷実績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</row>
        <row r="818">
          <cell r="C818" t="str">
            <v>停止時間（昼勤）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</row>
        <row r="819">
          <cell r="C819" t="str">
            <v>停止時間（夜勤）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</row>
        <row r="820">
          <cell r="B820">
            <v>9838184080</v>
          </cell>
          <cell r="C820" t="str">
            <v>振替計画・実績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</row>
        <row r="821">
          <cell r="C821" t="str">
            <v>在庫計画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</row>
        <row r="822">
          <cell r="C822" t="str">
            <v>在庫実績(社内)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</row>
        <row r="823">
          <cell r="C823" t="str">
            <v>在庫実績(物流)</v>
          </cell>
          <cell r="D823">
            <v>0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</row>
        <row r="824">
          <cell r="C824" t="str">
            <v>差異</v>
          </cell>
          <cell r="D824">
            <v>0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</row>
        <row r="825">
          <cell r="C825" t="str">
            <v>ﾊﾞﾝﾆﾝｸﾞ計画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</row>
        <row r="826">
          <cell r="C826" t="str">
            <v>ｵｰﾀﾞｰ変更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</row>
        <row r="827">
          <cell r="C827" t="str">
            <v>20日情報
(工場出荷)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</row>
        <row r="828">
          <cell r="B828">
            <v>9827156780</v>
          </cell>
          <cell r="C828" t="str">
            <v>梱包計画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6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</row>
        <row r="829">
          <cell r="C829" t="str">
            <v>(調整）</v>
          </cell>
          <cell r="N829">
            <v>6</v>
          </cell>
        </row>
        <row r="830">
          <cell r="D830">
            <v>0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</row>
        <row r="831"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</row>
        <row r="832"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</row>
        <row r="833">
          <cell r="E833">
            <v>0</v>
          </cell>
          <cell r="F833">
            <v>0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</row>
        <row r="834"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</row>
        <row r="835">
          <cell r="C835" t="str">
            <v>手直し等</v>
          </cell>
        </row>
        <row r="836">
          <cell r="C836" t="str">
            <v>出荷実績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</row>
        <row r="837">
          <cell r="C837" t="str">
            <v>停止時間（昼勤）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</row>
        <row r="838">
          <cell r="C838" t="str">
            <v>停止時間（夜勤）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</row>
        <row r="839">
          <cell r="B839">
            <v>9827156780</v>
          </cell>
          <cell r="C839" t="str">
            <v>振替計画・実績</v>
          </cell>
          <cell r="E839">
            <v>0</v>
          </cell>
          <cell r="F839">
            <v>0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5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1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</row>
        <row r="840">
          <cell r="C840" t="str">
            <v>在庫計画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3</v>
          </cell>
          <cell r="O840">
            <v>3</v>
          </cell>
          <cell r="P840">
            <v>3</v>
          </cell>
          <cell r="Q840">
            <v>6</v>
          </cell>
          <cell r="R840">
            <v>6</v>
          </cell>
          <cell r="S840">
            <v>6</v>
          </cell>
          <cell r="T840">
            <v>6</v>
          </cell>
          <cell r="U840">
            <v>1</v>
          </cell>
          <cell r="V840">
            <v>1</v>
          </cell>
          <cell r="W840">
            <v>1</v>
          </cell>
          <cell r="X840">
            <v>1</v>
          </cell>
          <cell r="Y840">
            <v>1</v>
          </cell>
          <cell r="Z840">
            <v>1</v>
          </cell>
          <cell r="AA840">
            <v>1</v>
          </cell>
          <cell r="AB840">
            <v>1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</row>
        <row r="841">
          <cell r="C841" t="str">
            <v>在庫実績(社内)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</row>
        <row r="842">
          <cell r="C842" t="str">
            <v>在庫実績(物流)</v>
          </cell>
          <cell r="D842">
            <v>0</v>
          </cell>
          <cell r="E842">
            <v>0</v>
          </cell>
          <cell r="F842">
            <v>0</v>
          </cell>
          <cell r="G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</row>
        <row r="843">
          <cell r="C843" t="str">
            <v>差異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-3</v>
          </cell>
          <cell r="O843">
            <v>-3</v>
          </cell>
          <cell r="P843">
            <v>-3</v>
          </cell>
          <cell r="Q843">
            <v>-6</v>
          </cell>
          <cell r="R843">
            <v>-6</v>
          </cell>
          <cell r="S843">
            <v>-6</v>
          </cell>
          <cell r="T843">
            <v>-6</v>
          </cell>
          <cell r="U843">
            <v>-1</v>
          </cell>
          <cell r="V843">
            <v>-1</v>
          </cell>
          <cell r="W843">
            <v>-1</v>
          </cell>
          <cell r="X843">
            <v>-1</v>
          </cell>
          <cell r="Y843">
            <v>-1</v>
          </cell>
          <cell r="Z843">
            <v>-1</v>
          </cell>
          <cell r="AA843">
            <v>-1</v>
          </cell>
          <cell r="AB843">
            <v>-1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</row>
        <row r="844">
          <cell r="C844" t="str">
            <v>ﾊﾞﾝﾆﾝｸﾞ計画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</row>
        <row r="845">
          <cell r="C845" t="str">
            <v>ｵｰﾀﾞｰ変更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</row>
        <row r="846">
          <cell r="C846" t="str">
            <v>20日情報
(工場出荷)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</row>
        <row r="847">
          <cell r="B847">
            <v>9830759680</v>
          </cell>
          <cell r="C847" t="str">
            <v>梱包計画</v>
          </cell>
          <cell r="D847">
            <v>108</v>
          </cell>
          <cell r="E847">
            <v>0</v>
          </cell>
          <cell r="F847">
            <v>0</v>
          </cell>
          <cell r="G847">
            <v>54</v>
          </cell>
          <cell r="H847">
            <v>54</v>
          </cell>
          <cell r="I847">
            <v>54</v>
          </cell>
          <cell r="J847">
            <v>54</v>
          </cell>
          <cell r="K847">
            <v>54</v>
          </cell>
          <cell r="L847">
            <v>0</v>
          </cell>
          <cell r="M847">
            <v>0</v>
          </cell>
          <cell r="N847">
            <v>45</v>
          </cell>
          <cell r="O847">
            <v>54</v>
          </cell>
          <cell r="P847">
            <v>54</v>
          </cell>
          <cell r="Q847">
            <v>54</v>
          </cell>
          <cell r="R847">
            <v>54</v>
          </cell>
          <cell r="S847">
            <v>0</v>
          </cell>
          <cell r="T847">
            <v>0</v>
          </cell>
          <cell r="U847">
            <v>54</v>
          </cell>
          <cell r="V847">
            <v>54</v>
          </cell>
          <cell r="W847">
            <v>54</v>
          </cell>
          <cell r="X847">
            <v>54</v>
          </cell>
          <cell r="Y847">
            <v>54</v>
          </cell>
          <cell r="Z847">
            <v>0</v>
          </cell>
          <cell r="AA847">
            <v>0</v>
          </cell>
          <cell r="AB847">
            <v>54</v>
          </cell>
          <cell r="AC847">
            <v>54</v>
          </cell>
          <cell r="AD847">
            <v>54</v>
          </cell>
          <cell r="AE847">
            <v>54</v>
          </cell>
          <cell r="AF847">
            <v>54</v>
          </cell>
          <cell r="AG847">
            <v>0</v>
          </cell>
          <cell r="AH847">
            <v>0</v>
          </cell>
          <cell r="AI847">
            <v>0</v>
          </cell>
        </row>
        <row r="848">
          <cell r="C848" t="str">
            <v>(調整）</v>
          </cell>
          <cell r="N848">
            <v>-9</v>
          </cell>
        </row>
        <row r="849">
          <cell r="D849">
            <v>342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</row>
        <row r="850"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</row>
        <row r="851"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</row>
        <row r="852"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</row>
        <row r="853">
          <cell r="D853">
            <v>342</v>
          </cell>
          <cell r="E853">
            <v>0</v>
          </cell>
          <cell r="F853">
            <v>0</v>
          </cell>
          <cell r="G853">
            <v>54</v>
          </cell>
          <cell r="H853">
            <v>18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</row>
        <row r="854">
          <cell r="C854" t="str">
            <v>手直し等</v>
          </cell>
        </row>
        <row r="855">
          <cell r="C855" t="str">
            <v>出荷実績</v>
          </cell>
          <cell r="E855">
            <v>0</v>
          </cell>
          <cell r="F855">
            <v>0</v>
          </cell>
          <cell r="G855">
            <v>63</v>
          </cell>
          <cell r="H855">
            <v>54</v>
          </cell>
          <cell r="I855">
            <v>54</v>
          </cell>
          <cell r="J855">
            <v>54</v>
          </cell>
          <cell r="K855">
            <v>63</v>
          </cell>
          <cell r="L855">
            <v>0</v>
          </cell>
          <cell r="M855">
            <v>0</v>
          </cell>
          <cell r="N855">
            <v>36</v>
          </cell>
          <cell r="O855">
            <v>63</v>
          </cell>
          <cell r="P855">
            <v>54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</row>
        <row r="856">
          <cell r="C856" t="str">
            <v>停止時間（昼勤）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</row>
        <row r="857">
          <cell r="C857" t="str">
            <v>停止時間（夜勤）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</row>
        <row r="858">
          <cell r="B858">
            <v>9830759680</v>
          </cell>
          <cell r="C858" t="str">
            <v>振替計画・実績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3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</row>
        <row r="859">
          <cell r="C859" t="str">
            <v>在庫計画</v>
          </cell>
          <cell r="D859">
            <v>612</v>
          </cell>
          <cell r="E859">
            <v>612</v>
          </cell>
          <cell r="F859">
            <v>612</v>
          </cell>
          <cell r="G859">
            <v>693</v>
          </cell>
          <cell r="H859">
            <v>747</v>
          </cell>
          <cell r="I859">
            <v>630</v>
          </cell>
          <cell r="J859">
            <v>684</v>
          </cell>
          <cell r="K859">
            <v>567</v>
          </cell>
          <cell r="L859">
            <v>567</v>
          </cell>
          <cell r="M859">
            <v>567</v>
          </cell>
          <cell r="N859">
            <v>616.5</v>
          </cell>
          <cell r="O859">
            <v>666</v>
          </cell>
          <cell r="P859">
            <v>549</v>
          </cell>
          <cell r="Q859">
            <v>603</v>
          </cell>
          <cell r="R859">
            <v>486</v>
          </cell>
          <cell r="S859">
            <v>486</v>
          </cell>
          <cell r="T859">
            <v>486</v>
          </cell>
          <cell r="U859">
            <v>537</v>
          </cell>
          <cell r="V859">
            <v>420</v>
          </cell>
          <cell r="W859">
            <v>474</v>
          </cell>
          <cell r="X859">
            <v>357</v>
          </cell>
          <cell r="Y859">
            <v>411</v>
          </cell>
          <cell r="Z859">
            <v>411</v>
          </cell>
          <cell r="AA859">
            <v>411</v>
          </cell>
          <cell r="AB859">
            <v>465</v>
          </cell>
          <cell r="AC859">
            <v>519</v>
          </cell>
          <cell r="AD859">
            <v>402</v>
          </cell>
          <cell r="AE859">
            <v>456</v>
          </cell>
          <cell r="AF859">
            <v>339</v>
          </cell>
          <cell r="AG859">
            <v>339</v>
          </cell>
          <cell r="AH859">
            <v>339</v>
          </cell>
          <cell r="AI859">
            <v>339</v>
          </cell>
        </row>
        <row r="860">
          <cell r="C860" t="str">
            <v>在庫実績(社内)</v>
          </cell>
          <cell r="D860">
            <v>0</v>
          </cell>
          <cell r="E860">
            <v>0</v>
          </cell>
          <cell r="F860">
            <v>0</v>
          </cell>
          <cell r="G860">
            <v>9</v>
          </cell>
          <cell r="H860">
            <v>0</v>
          </cell>
          <cell r="I860">
            <v>9</v>
          </cell>
          <cell r="J860">
            <v>9</v>
          </cell>
          <cell r="K860">
            <v>9</v>
          </cell>
          <cell r="L860">
            <v>9</v>
          </cell>
          <cell r="M860">
            <v>9</v>
          </cell>
          <cell r="N860">
            <v>9</v>
          </cell>
          <cell r="O860">
            <v>9</v>
          </cell>
          <cell r="P860">
            <v>9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</row>
        <row r="861">
          <cell r="C861" t="str">
            <v>在庫実績(物流)</v>
          </cell>
          <cell r="D861">
            <v>612</v>
          </cell>
          <cell r="E861">
            <v>612</v>
          </cell>
          <cell r="F861">
            <v>612</v>
          </cell>
          <cell r="G861">
            <v>675</v>
          </cell>
          <cell r="H861">
            <v>729</v>
          </cell>
          <cell r="I861">
            <v>612</v>
          </cell>
          <cell r="J861">
            <v>666</v>
          </cell>
          <cell r="K861">
            <v>558</v>
          </cell>
          <cell r="L861">
            <v>558</v>
          </cell>
          <cell r="M861">
            <v>558</v>
          </cell>
          <cell r="N861">
            <v>594</v>
          </cell>
          <cell r="O861">
            <v>657</v>
          </cell>
          <cell r="P861">
            <v>540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</row>
        <row r="862">
          <cell r="C862" t="str">
            <v>差異</v>
          </cell>
          <cell r="D862">
            <v>0</v>
          </cell>
          <cell r="E862">
            <v>0</v>
          </cell>
          <cell r="F862">
            <v>0</v>
          </cell>
          <cell r="G862">
            <v>-9</v>
          </cell>
          <cell r="H862">
            <v>-18</v>
          </cell>
          <cell r="I862">
            <v>-9</v>
          </cell>
          <cell r="J862">
            <v>-9</v>
          </cell>
          <cell r="K862">
            <v>0</v>
          </cell>
          <cell r="L862">
            <v>0</v>
          </cell>
          <cell r="M862">
            <v>0</v>
          </cell>
          <cell r="N862">
            <v>-13.5</v>
          </cell>
          <cell r="O862">
            <v>0</v>
          </cell>
          <cell r="P862">
            <v>0</v>
          </cell>
          <cell r="Q862">
            <v>-603</v>
          </cell>
          <cell r="R862">
            <v>-486</v>
          </cell>
          <cell r="S862">
            <v>-486</v>
          </cell>
          <cell r="T862">
            <v>-486</v>
          </cell>
          <cell r="U862">
            <v>-537</v>
          </cell>
          <cell r="V862">
            <v>-420</v>
          </cell>
          <cell r="W862">
            <v>-474</v>
          </cell>
          <cell r="X862">
            <v>-357</v>
          </cell>
          <cell r="Y862">
            <v>-411</v>
          </cell>
          <cell r="Z862">
            <v>-411</v>
          </cell>
          <cell r="AA862">
            <v>-411</v>
          </cell>
          <cell r="AB862">
            <v>-465</v>
          </cell>
          <cell r="AC862">
            <v>-519</v>
          </cell>
          <cell r="AD862">
            <v>-402</v>
          </cell>
          <cell r="AE862">
            <v>-456</v>
          </cell>
          <cell r="AF862">
            <v>-339</v>
          </cell>
          <cell r="AG862">
            <v>-339</v>
          </cell>
          <cell r="AH862">
            <v>-339</v>
          </cell>
          <cell r="AI862">
            <v>-339</v>
          </cell>
        </row>
        <row r="863">
          <cell r="C863" t="str">
            <v>ﾊﾞﾝﾆﾝｸﾞ計画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171</v>
          </cell>
          <cell r="J863">
            <v>0</v>
          </cell>
          <cell r="K863">
            <v>171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171</v>
          </cell>
          <cell r="Q863">
            <v>0</v>
          </cell>
          <cell r="R863">
            <v>171</v>
          </cell>
          <cell r="S863">
            <v>0</v>
          </cell>
          <cell r="T863">
            <v>0</v>
          </cell>
          <cell r="U863">
            <v>0</v>
          </cell>
          <cell r="V863">
            <v>171</v>
          </cell>
          <cell r="W863">
            <v>0</v>
          </cell>
          <cell r="X863">
            <v>171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171</v>
          </cell>
          <cell r="AE863">
            <v>0</v>
          </cell>
          <cell r="AF863">
            <v>171</v>
          </cell>
          <cell r="AG863">
            <v>0</v>
          </cell>
          <cell r="AH863">
            <v>0</v>
          </cell>
          <cell r="AI863">
            <v>0</v>
          </cell>
        </row>
        <row r="864">
          <cell r="C864" t="str">
            <v>ｵｰﾀﾞｰ変更</v>
          </cell>
          <cell r="E864">
            <v>0</v>
          </cell>
          <cell r="F864">
            <v>0</v>
          </cell>
          <cell r="H864">
            <v>171</v>
          </cell>
          <cell r="I864">
            <v>0</v>
          </cell>
          <cell r="J864">
            <v>171</v>
          </cell>
          <cell r="L864">
            <v>0</v>
          </cell>
          <cell r="M864">
            <v>0</v>
          </cell>
          <cell r="N864">
            <v>0</v>
          </cell>
          <cell r="O864">
            <v>171</v>
          </cell>
          <cell r="P864">
            <v>0</v>
          </cell>
          <cell r="Q864">
            <v>171</v>
          </cell>
          <cell r="R864">
            <v>0</v>
          </cell>
          <cell r="S864">
            <v>0</v>
          </cell>
          <cell r="T864">
            <v>0</v>
          </cell>
          <cell r="U864">
            <v>171</v>
          </cell>
          <cell r="V864">
            <v>0</v>
          </cell>
          <cell r="W864">
            <v>171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171</v>
          </cell>
          <cell r="AD864">
            <v>0</v>
          </cell>
          <cell r="AE864">
            <v>171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</row>
        <row r="865">
          <cell r="C865" t="str">
            <v>20日情報
(工場出荷)</v>
          </cell>
          <cell r="E865">
            <v>0</v>
          </cell>
          <cell r="F865">
            <v>0</v>
          </cell>
          <cell r="G865">
            <v>171</v>
          </cell>
          <cell r="H865">
            <v>0</v>
          </cell>
          <cell r="I865">
            <v>0</v>
          </cell>
          <cell r="J865">
            <v>171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171</v>
          </cell>
          <cell r="P865">
            <v>0</v>
          </cell>
          <cell r="Q865">
            <v>171</v>
          </cell>
          <cell r="R865">
            <v>0</v>
          </cell>
          <cell r="S865">
            <v>0</v>
          </cell>
          <cell r="T865">
            <v>0</v>
          </cell>
          <cell r="U865">
            <v>171</v>
          </cell>
          <cell r="V865">
            <v>0</v>
          </cell>
          <cell r="W865">
            <v>171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171</v>
          </cell>
          <cell r="AD865">
            <v>0</v>
          </cell>
          <cell r="AE865">
            <v>171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</row>
      </sheetData>
      <sheetData sheetId="9"/>
      <sheetData sheetId="10"/>
      <sheetData sheetId="11">
        <row r="20">
          <cell r="B20" t="str">
            <v>305108GA005</v>
          </cell>
        </row>
        <row r="21">
          <cell r="B21" t="str">
            <v>305108GA006</v>
          </cell>
        </row>
        <row r="22">
          <cell r="B22" t="str">
            <v>305108GA007</v>
          </cell>
        </row>
        <row r="23">
          <cell r="B23" t="str">
            <v>305108GA008</v>
          </cell>
        </row>
        <row r="24">
          <cell r="B24" t="str">
            <v>305108GA009</v>
          </cell>
        </row>
        <row r="25">
          <cell r="B25" t="str">
            <v>305108GA012</v>
          </cell>
        </row>
        <row r="26">
          <cell r="B26" t="str">
            <v>305108GA013</v>
          </cell>
        </row>
        <row r="27">
          <cell r="B27" t="str">
            <v>305108GA015</v>
          </cell>
        </row>
        <row r="28">
          <cell r="B28" t="str">
            <v>305108GA016</v>
          </cell>
        </row>
        <row r="29">
          <cell r="B29" t="str">
            <v>305108GA017</v>
          </cell>
        </row>
        <row r="30">
          <cell r="B30" t="str">
            <v>305108GA018</v>
          </cell>
        </row>
        <row r="31">
          <cell r="B31" t="str">
            <v>305108GA019</v>
          </cell>
        </row>
        <row r="32">
          <cell r="B32" t="str">
            <v>305108GA020</v>
          </cell>
        </row>
        <row r="33">
          <cell r="B33" t="str">
            <v>305108GA022</v>
          </cell>
        </row>
        <row r="34">
          <cell r="B34" t="str">
            <v>305108GA023</v>
          </cell>
        </row>
        <row r="35">
          <cell r="B35" t="str">
            <v>305108GA024</v>
          </cell>
        </row>
        <row r="36">
          <cell r="B36" t="str">
            <v>305108GA025</v>
          </cell>
        </row>
        <row r="37">
          <cell r="B37" t="str">
            <v>305108GA026</v>
          </cell>
        </row>
        <row r="38">
          <cell r="B38" t="str">
            <v>305108GA061</v>
          </cell>
        </row>
        <row r="39">
          <cell r="B39" t="str">
            <v>305108GA063</v>
          </cell>
        </row>
        <row r="40">
          <cell r="B40" t="str">
            <v>305108GA064</v>
          </cell>
        </row>
        <row r="41">
          <cell r="B41" t="str">
            <v>305108GA066</v>
          </cell>
        </row>
        <row r="42">
          <cell r="B42" t="str">
            <v>305108GA067</v>
          </cell>
        </row>
        <row r="43">
          <cell r="B43" t="str">
            <v>305108GA076</v>
          </cell>
        </row>
        <row r="44">
          <cell r="B44" t="str">
            <v>305108GA079</v>
          </cell>
        </row>
        <row r="45">
          <cell r="B45" t="str">
            <v>305108GA080</v>
          </cell>
        </row>
        <row r="46">
          <cell r="B46" t="str">
            <v>305108GA081</v>
          </cell>
        </row>
        <row r="47">
          <cell r="B47" t="str">
            <v>305108GA082</v>
          </cell>
        </row>
        <row r="48">
          <cell r="B48" t="str">
            <v>305108GA083</v>
          </cell>
        </row>
        <row r="49">
          <cell r="B49" t="str">
            <v>305108GA084</v>
          </cell>
        </row>
        <row r="50">
          <cell r="B50" t="str">
            <v>305108GA085</v>
          </cell>
        </row>
        <row r="51">
          <cell r="B51" t="str">
            <v>305108GA086</v>
          </cell>
        </row>
        <row r="52">
          <cell r="B52" t="str">
            <v>305108GA087</v>
          </cell>
        </row>
        <row r="53">
          <cell r="B53" t="str">
            <v>305108GA088</v>
          </cell>
        </row>
        <row r="54">
          <cell r="B54" t="str">
            <v>305108GA089</v>
          </cell>
        </row>
        <row r="55">
          <cell r="B55" t="str">
            <v>305108GA090</v>
          </cell>
        </row>
        <row r="56">
          <cell r="B56" t="str">
            <v>305108GA091</v>
          </cell>
        </row>
        <row r="57">
          <cell r="B57" t="str">
            <v>305108GA092</v>
          </cell>
        </row>
        <row r="58">
          <cell r="B58" t="str">
            <v>305108GA093</v>
          </cell>
        </row>
        <row r="59">
          <cell r="B59" t="str">
            <v>305108GA094</v>
          </cell>
        </row>
        <row r="60">
          <cell r="B60" t="str">
            <v>305108GA095</v>
          </cell>
        </row>
        <row r="61">
          <cell r="B61" t="str">
            <v>305108GA096</v>
          </cell>
        </row>
        <row r="62">
          <cell r="B62" t="str">
            <v>305108GA097</v>
          </cell>
        </row>
        <row r="63">
          <cell r="B63" t="str">
            <v>305108GA098</v>
          </cell>
        </row>
        <row r="64">
          <cell r="B64" t="str">
            <v>305108GA099</v>
          </cell>
        </row>
        <row r="65">
          <cell r="B65" t="str">
            <v>305108GA100</v>
          </cell>
        </row>
        <row r="66">
          <cell r="B66" t="str">
            <v>305108GA101</v>
          </cell>
        </row>
        <row r="67">
          <cell r="B67" t="str">
            <v>305108GA102</v>
          </cell>
        </row>
        <row r="68">
          <cell r="B68" t="str">
            <v>305108GA103</v>
          </cell>
        </row>
        <row r="69">
          <cell r="B69" t="str">
            <v>305108GA109</v>
          </cell>
        </row>
        <row r="70">
          <cell r="B70" t="str">
            <v>305108GA110</v>
          </cell>
        </row>
        <row r="71">
          <cell r="B71" t="str">
            <v>305108GA111</v>
          </cell>
        </row>
        <row r="72">
          <cell r="B72" t="str">
            <v>305108GA112</v>
          </cell>
        </row>
        <row r="73">
          <cell r="B73" t="str">
            <v>305108GA113</v>
          </cell>
        </row>
        <row r="74">
          <cell r="B74" t="str">
            <v>305108GA114</v>
          </cell>
        </row>
        <row r="75">
          <cell r="B75" t="str">
            <v>305108GA115</v>
          </cell>
        </row>
        <row r="76">
          <cell r="B76" t="str">
            <v>305108GA116</v>
          </cell>
        </row>
        <row r="77">
          <cell r="B77" t="str">
            <v>305108GA117</v>
          </cell>
        </row>
        <row r="78">
          <cell r="B78" t="str">
            <v>305108GA118</v>
          </cell>
        </row>
        <row r="79">
          <cell r="B79" t="str">
            <v>305108GA119</v>
          </cell>
        </row>
        <row r="80">
          <cell r="B80" t="str">
            <v>305108GA120</v>
          </cell>
        </row>
        <row r="81">
          <cell r="B81" t="str">
            <v>305108GA121</v>
          </cell>
        </row>
        <row r="82">
          <cell r="B82" t="str">
            <v>305108GA122</v>
          </cell>
        </row>
        <row r="83">
          <cell r="B83" t="str">
            <v>5A0604801</v>
          </cell>
        </row>
        <row r="84">
          <cell r="B84">
            <v>984420101</v>
          </cell>
        </row>
        <row r="85">
          <cell r="B85">
            <v>984420201</v>
          </cell>
        </row>
        <row r="86">
          <cell r="B86">
            <v>984420901</v>
          </cell>
        </row>
        <row r="87">
          <cell r="B87">
            <v>984421001</v>
          </cell>
        </row>
        <row r="88">
          <cell r="B88">
            <v>984421101</v>
          </cell>
        </row>
        <row r="89">
          <cell r="B89">
            <v>984421201</v>
          </cell>
        </row>
        <row r="90">
          <cell r="B90">
            <v>984421301</v>
          </cell>
        </row>
        <row r="91">
          <cell r="B91">
            <v>984421501</v>
          </cell>
        </row>
        <row r="92">
          <cell r="B92">
            <v>984421601</v>
          </cell>
        </row>
        <row r="93">
          <cell r="B93">
            <v>984421701</v>
          </cell>
        </row>
        <row r="94">
          <cell r="B94">
            <v>984421801</v>
          </cell>
        </row>
        <row r="95">
          <cell r="B95">
            <v>984422001</v>
          </cell>
        </row>
        <row r="96">
          <cell r="B96">
            <v>984422101</v>
          </cell>
        </row>
        <row r="97">
          <cell r="B97">
            <v>984422201</v>
          </cell>
        </row>
        <row r="98">
          <cell r="B98">
            <v>984422701</v>
          </cell>
        </row>
        <row r="99">
          <cell r="B99">
            <v>984423101</v>
          </cell>
        </row>
        <row r="100">
          <cell r="B100">
            <v>984423201</v>
          </cell>
        </row>
        <row r="101">
          <cell r="B101">
            <v>984423301</v>
          </cell>
        </row>
        <row r="102">
          <cell r="B102">
            <v>984423601</v>
          </cell>
        </row>
        <row r="103">
          <cell r="B103">
            <v>984423701</v>
          </cell>
        </row>
        <row r="104">
          <cell r="B104">
            <v>984423901</v>
          </cell>
        </row>
        <row r="105">
          <cell r="B105">
            <v>984424001</v>
          </cell>
        </row>
        <row r="106">
          <cell r="B106">
            <v>984424101</v>
          </cell>
        </row>
        <row r="107">
          <cell r="B107">
            <v>984424201</v>
          </cell>
        </row>
        <row r="108">
          <cell r="B108">
            <v>984424301</v>
          </cell>
        </row>
        <row r="109">
          <cell r="B109">
            <v>984424701</v>
          </cell>
        </row>
        <row r="110">
          <cell r="B110">
            <v>984431701</v>
          </cell>
        </row>
        <row r="111">
          <cell r="B111">
            <v>984433301</v>
          </cell>
        </row>
        <row r="112">
          <cell r="B112">
            <v>984434701</v>
          </cell>
        </row>
        <row r="113">
          <cell r="B113">
            <v>945504501</v>
          </cell>
        </row>
        <row r="114">
          <cell r="B114">
            <v>989484501</v>
          </cell>
        </row>
        <row r="115">
          <cell r="B115">
            <v>945501901</v>
          </cell>
        </row>
        <row r="116">
          <cell r="B116">
            <v>984424501</v>
          </cell>
        </row>
        <row r="117">
          <cell r="B117">
            <v>984421901</v>
          </cell>
        </row>
        <row r="118">
          <cell r="B118">
            <v>947031901</v>
          </cell>
        </row>
        <row r="119">
          <cell r="B119">
            <v>9823495680</v>
          </cell>
        </row>
        <row r="120">
          <cell r="B120">
            <v>9823499580</v>
          </cell>
        </row>
        <row r="121">
          <cell r="B121">
            <v>9824805580</v>
          </cell>
        </row>
        <row r="122">
          <cell r="B122">
            <v>9827156780</v>
          </cell>
          <cell r="S122">
            <v>5</v>
          </cell>
          <cell r="AA122">
            <v>1</v>
          </cell>
        </row>
        <row r="123">
          <cell r="B123">
            <v>9827187280</v>
          </cell>
        </row>
        <row r="124">
          <cell r="B124">
            <v>9828299780</v>
          </cell>
        </row>
        <row r="125">
          <cell r="B125">
            <v>9828330480</v>
          </cell>
        </row>
        <row r="126">
          <cell r="B126">
            <v>9830763580</v>
          </cell>
        </row>
        <row r="127">
          <cell r="B127">
            <v>9830763780</v>
          </cell>
          <cell r="S127">
            <v>12</v>
          </cell>
          <cell r="AA127">
            <v>1</v>
          </cell>
          <cell r="AD127">
            <v>21</v>
          </cell>
        </row>
        <row r="128">
          <cell r="B128">
            <v>9824806380</v>
          </cell>
        </row>
        <row r="129">
          <cell r="B129">
            <v>9838183280</v>
          </cell>
        </row>
        <row r="130">
          <cell r="B130">
            <v>9825292480</v>
          </cell>
        </row>
        <row r="131">
          <cell r="B131">
            <v>9825697280</v>
          </cell>
        </row>
        <row r="132">
          <cell r="B132">
            <v>9827962280</v>
          </cell>
          <cell r="I132">
            <v>1</v>
          </cell>
          <cell r="S132">
            <v>8</v>
          </cell>
          <cell r="AA132">
            <v>3</v>
          </cell>
          <cell r="AD132">
            <v>1</v>
          </cell>
        </row>
        <row r="133">
          <cell r="B133">
            <v>9827962380</v>
          </cell>
        </row>
        <row r="134">
          <cell r="B134">
            <v>9828300080</v>
          </cell>
        </row>
        <row r="135">
          <cell r="B135">
            <v>9828330680</v>
          </cell>
        </row>
        <row r="136">
          <cell r="B136">
            <v>9828330780</v>
          </cell>
        </row>
        <row r="137">
          <cell r="B137">
            <v>9825292580</v>
          </cell>
        </row>
        <row r="138">
          <cell r="B138">
            <v>9828330880</v>
          </cell>
        </row>
        <row r="139">
          <cell r="B139">
            <v>9829178180</v>
          </cell>
        </row>
        <row r="140">
          <cell r="B140">
            <v>9828330980</v>
          </cell>
        </row>
        <row r="141">
          <cell r="B141">
            <v>9830300280</v>
          </cell>
        </row>
        <row r="142">
          <cell r="B142">
            <v>9822373280</v>
          </cell>
        </row>
        <row r="143">
          <cell r="B143">
            <v>9823840780</v>
          </cell>
        </row>
        <row r="144">
          <cell r="B144">
            <v>9825292780</v>
          </cell>
        </row>
        <row r="145">
          <cell r="B145">
            <v>9830300280</v>
          </cell>
        </row>
        <row r="146">
          <cell r="B146">
            <v>9830759180</v>
          </cell>
        </row>
        <row r="147">
          <cell r="B147">
            <v>9830759480</v>
          </cell>
        </row>
        <row r="148">
          <cell r="B148">
            <v>9831759880</v>
          </cell>
        </row>
        <row r="149">
          <cell r="B149">
            <v>9831759980</v>
          </cell>
        </row>
        <row r="150">
          <cell r="B150">
            <v>9831760080</v>
          </cell>
        </row>
        <row r="151">
          <cell r="B151">
            <v>9825603180</v>
          </cell>
        </row>
        <row r="152">
          <cell r="B152">
            <v>9827962180</v>
          </cell>
        </row>
        <row r="153">
          <cell r="B153">
            <v>9823808980</v>
          </cell>
        </row>
        <row r="154">
          <cell r="B154">
            <v>9826627180</v>
          </cell>
        </row>
        <row r="155">
          <cell r="B155">
            <v>9830759780</v>
          </cell>
        </row>
        <row r="156">
          <cell r="B156">
            <v>9832770180</v>
          </cell>
        </row>
        <row r="157">
          <cell r="B157">
            <v>9830759280</v>
          </cell>
        </row>
        <row r="158">
          <cell r="B158">
            <v>9830759380</v>
          </cell>
        </row>
        <row r="159">
          <cell r="B159">
            <v>9830759880</v>
          </cell>
        </row>
        <row r="160">
          <cell r="B160">
            <v>9830759680</v>
          </cell>
          <cell r="S160">
            <v>3</v>
          </cell>
        </row>
        <row r="161">
          <cell r="B161">
            <v>9829177980</v>
          </cell>
        </row>
        <row r="162">
          <cell r="B162">
            <v>9830761080</v>
          </cell>
          <cell r="E162">
            <v>1</v>
          </cell>
        </row>
        <row r="163">
          <cell r="B163">
            <v>9834577580</v>
          </cell>
        </row>
        <row r="164">
          <cell r="B164">
            <v>9838184080</v>
          </cell>
        </row>
        <row r="165">
          <cell r="B165">
            <v>9828185180</v>
          </cell>
        </row>
        <row r="166">
          <cell r="B166">
            <v>9837259680</v>
          </cell>
        </row>
        <row r="167">
          <cell r="B167">
            <v>9837259780</v>
          </cell>
        </row>
        <row r="168">
          <cell r="B168">
            <v>9837691780</v>
          </cell>
        </row>
        <row r="169">
          <cell r="B169">
            <v>9838184280</v>
          </cell>
        </row>
      </sheetData>
      <sheetData sheetId="12">
        <row r="20">
          <cell r="B20" t="str">
            <v>305108GA005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B21" t="str">
            <v>305108GA006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B22" t="str">
            <v>305108GA007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B23" t="str">
            <v>305108GA008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B24" t="str">
            <v>305108GA009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B25" t="str">
            <v>305108GA012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B26" t="str">
            <v>305108GA013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B27" t="str">
            <v>305108GA015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B28" t="str">
            <v>305108GA016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B29" t="str">
            <v>305108GA017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B30" t="str">
            <v>305108GA018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B31" t="str">
            <v>305108GA019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B32" t="str">
            <v>305108GA020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B33" t="str">
            <v>305108GA022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B34" t="str">
            <v>305108GA023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B35" t="str">
            <v>305108GA024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B36" t="str">
            <v>305108GA025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B37" t="str">
            <v>305108GA026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B38" t="str">
            <v>305108GA061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B39" t="str">
            <v>305108GA063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B40" t="str">
            <v>305108GA064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B41" t="str">
            <v>305108GA066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B42" t="str">
            <v>305108GA067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B43" t="str">
            <v>305108GA076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B44" t="str">
            <v>305108GA079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B45" t="str">
            <v>305108GA080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B46" t="str">
            <v>305108GA081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B47" t="str">
            <v>305108GA082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B48" t="str">
            <v>305108GA083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B49" t="str">
            <v>305108GA084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B50" t="str">
            <v>305108GA085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L50">
            <v>0</v>
          </cell>
          <cell r="M50">
            <v>0</v>
          </cell>
          <cell r="N50">
            <v>0</v>
          </cell>
        </row>
        <row r="51">
          <cell r="B51" t="str">
            <v>305108GA086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B52" t="str">
            <v>305108GA087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B53" t="str">
            <v>305108GA088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L53">
            <v>0</v>
          </cell>
          <cell r="M53">
            <v>0</v>
          </cell>
          <cell r="N53">
            <v>0</v>
          </cell>
        </row>
        <row r="54">
          <cell r="B54" t="str">
            <v>305108GA089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L54">
            <v>0</v>
          </cell>
          <cell r="M54">
            <v>0</v>
          </cell>
          <cell r="N54">
            <v>0</v>
          </cell>
        </row>
        <row r="55">
          <cell r="B55" t="str">
            <v>305108GA090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B56" t="str">
            <v>305108GA091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L56">
            <v>0</v>
          </cell>
          <cell r="M56">
            <v>0</v>
          </cell>
          <cell r="N56">
            <v>0</v>
          </cell>
        </row>
        <row r="57">
          <cell r="B57" t="str">
            <v>305108GA092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L57">
            <v>0</v>
          </cell>
          <cell r="M57">
            <v>0</v>
          </cell>
          <cell r="N57">
            <v>0</v>
          </cell>
        </row>
        <row r="58">
          <cell r="B58" t="str">
            <v>305108GA093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B59" t="str">
            <v>305108GA094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L59">
            <v>0</v>
          </cell>
          <cell r="M59">
            <v>0</v>
          </cell>
          <cell r="N59">
            <v>0</v>
          </cell>
        </row>
        <row r="60">
          <cell r="B60" t="str">
            <v>305108GA095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L60">
            <v>0</v>
          </cell>
          <cell r="M60">
            <v>0</v>
          </cell>
          <cell r="N60">
            <v>0</v>
          </cell>
        </row>
        <row r="61">
          <cell r="B61" t="str">
            <v>305108GA096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L61">
            <v>0</v>
          </cell>
          <cell r="M61">
            <v>0</v>
          </cell>
          <cell r="N61">
            <v>0</v>
          </cell>
        </row>
        <row r="62">
          <cell r="B62" t="str">
            <v>305108GA097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B63" t="str">
            <v>305108GA098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L63">
            <v>0</v>
          </cell>
          <cell r="M63">
            <v>0</v>
          </cell>
          <cell r="N63">
            <v>0</v>
          </cell>
        </row>
        <row r="64">
          <cell r="B64" t="str">
            <v>305108GA099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L64">
            <v>0</v>
          </cell>
          <cell r="M64">
            <v>0</v>
          </cell>
          <cell r="N64">
            <v>0</v>
          </cell>
        </row>
        <row r="65">
          <cell r="B65" t="str">
            <v>305108GA100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L65">
            <v>0</v>
          </cell>
          <cell r="M65">
            <v>0</v>
          </cell>
          <cell r="N65">
            <v>0</v>
          </cell>
        </row>
        <row r="66">
          <cell r="B66" t="str">
            <v>305108GA101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L66">
            <v>0</v>
          </cell>
          <cell r="M66">
            <v>0</v>
          </cell>
          <cell r="N66">
            <v>0</v>
          </cell>
        </row>
        <row r="67">
          <cell r="B67" t="str">
            <v>305108GA102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L67">
            <v>0</v>
          </cell>
          <cell r="M67">
            <v>0</v>
          </cell>
          <cell r="N67">
            <v>0</v>
          </cell>
        </row>
        <row r="68">
          <cell r="B68" t="str">
            <v>305108GA103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L68">
            <v>0</v>
          </cell>
          <cell r="M68">
            <v>0</v>
          </cell>
          <cell r="N68">
            <v>0</v>
          </cell>
        </row>
        <row r="69">
          <cell r="B69" t="str">
            <v>305108GA109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L69">
            <v>0</v>
          </cell>
          <cell r="M69">
            <v>0</v>
          </cell>
          <cell r="N69">
            <v>0</v>
          </cell>
        </row>
        <row r="70">
          <cell r="B70" t="str">
            <v>305108GA110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B71" t="str">
            <v>305108GA111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L71">
            <v>0</v>
          </cell>
          <cell r="M71">
            <v>0</v>
          </cell>
          <cell r="N71">
            <v>0</v>
          </cell>
        </row>
        <row r="72">
          <cell r="B72" t="str">
            <v>305108GA112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L72">
            <v>0</v>
          </cell>
          <cell r="M72">
            <v>0</v>
          </cell>
          <cell r="N72">
            <v>0</v>
          </cell>
        </row>
        <row r="73">
          <cell r="B73" t="str">
            <v>305108GA113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B74" t="str">
            <v>305108GA114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L74">
            <v>0</v>
          </cell>
          <cell r="M74">
            <v>0</v>
          </cell>
          <cell r="N74">
            <v>0</v>
          </cell>
        </row>
        <row r="75">
          <cell r="B75" t="str">
            <v>305108GA115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B76" t="str">
            <v>305108GA116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B77" t="str">
            <v>305108GA117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B78" t="str">
            <v>305108GA118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B79" t="str">
            <v>305108GA119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L79">
            <v>0</v>
          </cell>
          <cell r="M79">
            <v>0</v>
          </cell>
          <cell r="N79">
            <v>0</v>
          </cell>
        </row>
        <row r="80">
          <cell r="B80" t="str">
            <v>305108GA120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B81" t="str">
            <v>305108GA121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B82" t="str">
            <v>305108GA122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B83" t="str">
            <v>5A0604801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B84">
            <v>984420101</v>
          </cell>
          <cell r="E84">
            <v>10</v>
          </cell>
          <cell r="F84">
            <v>5</v>
          </cell>
          <cell r="G84">
            <v>15</v>
          </cell>
          <cell r="H84">
            <v>10</v>
          </cell>
          <cell r="I84">
            <v>10</v>
          </cell>
          <cell r="L84">
            <v>10</v>
          </cell>
          <cell r="M84">
            <v>10</v>
          </cell>
          <cell r="N84">
            <v>10</v>
          </cell>
        </row>
        <row r="85">
          <cell r="B85">
            <v>984420201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B86">
            <v>984420901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B87">
            <v>984421001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B88">
            <v>984421101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B89">
            <v>984421201</v>
          </cell>
          <cell r="E89">
            <v>45</v>
          </cell>
          <cell r="F89">
            <v>55</v>
          </cell>
          <cell r="G89">
            <v>55</v>
          </cell>
          <cell r="H89">
            <v>60</v>
          </cell>
          <cell r="I89">
            <v>65</v>
          </cell>
          <cell r="L89">
            <v>55</v>
          </cell>
          <cell r="M89">
            <v>55</v>
          </cell>
          <cell r="N89">
            <v>55</v>
          </cell>
        </row>
        <row r="90">
          <cell r="B90">
            <v>984421301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B91">
            <v>984421501</v>
          </cell>
          <cell r="E91">
            <v>10</v>
          </cell>
          <cell r="F91">
            <v>10</v>
          </cell>
          <cell r="G91">
            <v>15</v>
          </cell>
          <cell r="H91">
            <v>15</v>
          </cell>
          <cell r="I91">
            <v>15</v>
          </cell>
          <cell r="L91">
            <v>20</v>
          </cell>
          <cell r="M91">
            <v>10</v>
          </cell>
          <cell r="N91">
            <v>20</v>
          </cell>
        </row>
        <row r="92">
          <cell r="B92">
            <v>984421601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B93">
            <v>984421701</v>
          </cell>
          <cell r="E93">
            <v>10</v>
          </cell>
          <cell r="F93">
            <v>10</v>
          </cell>
          <cell r="G93">
            <v>5</v>
          </cell>
          <cell r="H93">
            <v>15</v>
          </cell>
          <cell r="I93">
            <v>10</v>
          </cell>
          <cell r="L93">
            <v>10</v>
          </cell>
          <cell r="M93">
            <v>10</v>
          </cell>
          <cell r="N93">
            <v>10</v>
          </cell>
        </row>
        <row r="94">
          <cell r="B94">
            <v>984421801</v>
          </cell>
          <cell r="E94">
            <v>5</v>
          </cell>
          <cell r="F94">
            <v>5</v>
          </cell>
          <cell r="G94">
            <v>5</v>
          </cell>
          <cell r="H94">
            <v>5</v>
          </cell>
          <cell r="I94">
            <v>0</v>
          </cell>
          <cell r="L94">
            <v>10</v>
          </cell>
          <cell r="M94">
            <v>5</v>
          </cell>
          <cell r="N94">
            <v>5</v>
          </cell>
        </row>
        <row r="95">
          <cell r="B95">
            <v>984422001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B96">
            <v>984422101</v>
          </cell>
          <cell r="E96">
            <v>5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B97">
            <v>984422201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B98">
            <v>984422701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B99">
            <v>984423101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B100">
            <v>984423201</v>
          </cell>
          <cell r="E100">
            <v>10</v>
          </cell>
          <cell r="F100">
            <v>5</v>
          </cell>
          <cell r="G100">
            <v>5</v>
          </cell>
          <cell r="H100">
            <v>5</v>
          </cell>
          <cell r="I100">
            <v>5</v>
          </cell>
          <cell r="L100">
            <v>5</v>
          </cell>
          <cell r="M100">
            <v>5</v>
          </cell>
          <cell r="N100">
            <v>5</v>
          </cell>
        </row>
        <row r="101">
          <cell r="B101">
            <v>984423301</v>
          </cell>
          <cell r="E101">
            <v>20</v>
          </cell>
          <cell r="F101">
            <v>15</v>
          </cell>
          <cell r="G101">
            <v>20</v>
          </cell>
          <cell r="H101">
            <v>20</v>
          </cell>
          <cell r="I101">
            <v>20</v>
          </cell>
          <cell r="L101">
            <v>20</v>
          </cell>
          <cell r="M101">
            <v>20</v>
          </cell>
          <cell r="N101">
            <v>20</v>
          </cell>
        </row>
        <row r="102">
          <cell r="B102">
            <v>984423601</v>
          </cell>
          <cell r="E102">
            <v>15</v>
          </cell>
          <cell r="F102">
            <v>20</v>
          </cell>
          <cell r="G102">
            <v>10</v>
          </cell>
          <cell r="H102">
            <v>20</v>
          </cell>
          <cell r="I102">
            <v>15</v>
          </cell>
          <cell r="L102">
            <v>10</v>
          </cell>
          <cell r="M102">
            <v>10</v>
          </cell>
          <cell r="N102">
            <v>10</v>
          </cell>
        </row>
        <row r="103">
          <cell r="B103">
            <v>984423701</v>
          </cell>
          <cell r="E103">
            <v>30</v>
          </cell>
          <cell r="F103">
            <v>30</v>
          </cell>
          <cell r="G103">
            <v>30</v>
          </cell>
          <cell r="H103">
            <v>30</v>
          </cell>
          <cell r="I103">
            <v>30</v>
          </cell>
          <cell r="L103">
            <v>30</v>
          </cell>
          <cell r="M103">
            <v>45</v>
          </cell>
          <cell r="N103">
            <v>30</v>
          </cell>
        </row>
        <row r="104">
          <cell r="B104">
            <v>984423901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B105">
            <v>984424001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L105">
            <v>0</v>
          </cell>
          <cell r="M105">
            <v>0</v>
          </cell>
          <cell r="N105">
            <v>0</v>
          </cell>
        </row>
        <row r="106">
          <cell r="B106">
            <v>984424101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L106">
            <v>0</v>
          </cell>
          <cell r="M106">
            <v>0</v>
          </cell>
          <cell r="N106">
            <v>0</v>
          </cell>
        </row>
        <row r="107">
          <cell r="B107">
            <v>984424201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L107">
            <v>0</v>
          </cell>
          <cell r="M107">
            <v>0</v>
          </cell>
          <cell r="N107">
            <v>0</v>
          </cell>
        </row>
        <row r="108">
          <cell r="B108">
            <v>984424301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L108">
            <v>0</v>
          </cell>
          <cell r="M108">
            <v>0</v>
          </cell>
          <cell r="N108">
            <v>0</v>
          </cell>
        </row>
        <row r="109">
          <cell r="B109">
            <v>984424701</v>
          </cell>
          <cell r="E109">
            <v>45</v>
          </cell>
          <cell r="F109">
            <v>50</v>
          </cell>
          <cell r="G109">
            <v>50</v>
          </cell>
          <cell r="H109">
            <v>45</v>
          </cell>
          <cell r="I109">
            <v>50</v>
          </cell>
          <cell r="L109">
            <v>55</v>
          </cell>
          <cell r="M109">
            <v>45</v>
          </cell>
          <cell r="N109">
            <v>55</v>
          </cell>
        </row>
        <row r="110">
          <cell r="B110">
            <v>984431701</v>
          </cell>
          <cell r="E110">
            <v>55</v>
          </cell>
          <cell r="F110">
            <v>50</v>
          </cell>
          <cell r="G110">
            <v>60</v>
          </cell>
          <cell r="H110">
            <v>60</v>
          </cell>
          <cell r="I110">
            <v>60</v>
          </cell>
          <cell r="L110">
            <v>55</v>
          </cell>
          <cell r="M110">
            <v>60</v>
          </cell>
          <cell r="N110">
            <v>55</v>
          </cell>
        </row>
        <row r="111">
          <cell r="B111">
            <v>984433301</v>
          </cell>
          <cell r="E111">
            <v>75</v>
          </cell>
          <cell r="F111">
            <v>85</v>
          </cell>
          <cell r="G111">
            <v>80</v>
          </cell>
          <cell r="H111">
            <v>85</v>
          </cell>
          <cell r="I111">
            <v>85</v>
          </cell>
          <cell r="L111">
            <v>85</v>
          </cell>
          <cell r="M111">
            <v>85</v>
          </cell>
          <cell r="N111">
            <v>90</v>
          </cell>
        </row>
        <row r="112">
          <cell r="B112">
            <v>984434701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L112">
            <v>0</v>
          </cell>
          <cell r="M112">
            <v>0</v>
          </cell>
          <cell r="N112">
            <v>0</v>
          </cell>
        </row>
        <row r="113">
          <cell r="B113">
            <v>945504501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L113">
            <v>0</v>
          </cell>
          <cell r="M113">
            <v>0</v>
          </cell>
          <cell r="N113">
            <v>0</v>
          </cell>
        </row>
        <row r="114">
          <cell r="B114">
            <v>989484501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L114">
            <v>0</v>
          </cell>
          <cell r="M114">
            <v>0</v>
          </cell>
          <cell r="N114">
            <v>0</v>
          </cell>
        </row>
        <row r="115">
          <cell r="B115">
            <v>945501901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L115">
            <v>0</v>
          </cell>
          <cell r="M115">
            <v>0</v>
          </cell>
          <cell r="N115">
            <v>0</v>
          </cell>
        </row>
        <row r="116">
          <cell r="B116">
            <v>984424501</v>
          </cell>
          <cell r="E116">
            <v>80</v>
          </cell>
          <cell r="F116">
            <v>90</v>
          </cell>
          <cell r="G116">
            <v>85</v>
          </cell>
          <cell r="H116">
            <v>90</v>
          </cell>
          <cell r="I116">
            <v>90</v>
          </cell>
          <cell r="L116">
            <v>90</v>
          </cell>
          <cell r="M116">
            <v>85</v>
          </cell>
          <cell r="N116">
            <v>85</v>
          </cell>
        </row>
        <row r="117">
          <cell r="B117">
            <v>984421901</v>
          </cell>
          <cell r="E117">
            <v>5</v>
          </cell>
          <cell r="F117">
            <v>5</v>
          </cell>
          <cell r="G117">
            <v>5</v>
          </cell>
          <cell r="H117">
            <v>5</v>
          </cell>
          <cell r="I117">
            <v>5</v>
          </cell>
          <cell r="L117">
            <v>5</v>
          </cell>
          <cell r="M117">
            <v>5</v>
          </cell>
          <cell r="N117">
            <v>5</v>
          </cell>
        </row>
        <row r="118">
          <cell r="B118">
            <v>947031901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L118">
            <v>0</v>
          </cell>
          <cell r="M118">
            <v>0</v>
          </cell>
          <cell r="N118">
            <v>0</v>
          </cell>
        </row>
        <row r="119">
          <cell r="B119">
            <v>9823495680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L119">
            <v>0</v>
          </cell>
          <cell r="M119">
            <v>0</v>
          </cell>
          <cell r="N119">
            <v>0</v>
          </cell>
        </row>
        <row r="120">
          <cell r="B120">
            <v>9823499580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L120">
            <v>0</v>
          </cell>
          <cell r="M120">
            <v>0</v>
          </cell>
          <cell r="N120">
            <v>0</v>
          </cell>
        </row>
        <row r="121">
          <cell r="B121">
            <v>9824805580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L121">
            <v>0</v>
          </cell>
          <cell r="M121">
            <v>0</v>
          </cell>
          <cell r="N121">
            <v>0</v>
          </cell>
        </row>
        <row r="122">
          <cell r="B122">
            <v>9827156780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L122">
            <v>0</v>
          </cell>
          <cell r="M122">
            <v>0</v>
          </cell>
          <cell r="N122">
            <v>0</v>
          </cell>
        </row>
        <row r="123">
          <cell r="B123">
            <v>9827187280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L123">
            <v>0</v>
          </cell>
          <cell r="M123">
            <v>0</v>
          </cell>
          <cell r="N123">
            <v>0</v>
          </cell>
        </row>
        <row r="124">
          <cell r="B124">
            <v>9828299780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L124">
            <v>0</v>
          </cell>
          <cell r="M124">
            <v>0</v>
          </cell>
          <cell r="N124">
            <v>0</v>
          </cell>
        </row>
        <row r="125">
          <cell r="B125">
            <v>9828330480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L125">
            <v>0</v>
          </cell>
          <cell r="M125">
            <v>0</v>
          </cell>
          <cell r="N125">
            <v>0</v>
          </cell>
        </row>
        <row r="126">
          <cell r="B126">
            <v>9830763580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L126">
            <v>0</v>
          </cell>
          <cell r="M126">
            <v>0</v>
          </cell>
          <cell r="N126">
            <v>0</v>
          </cell>
        </row>
        <row r="127">
          <cell r="B127">
            <v>9830763780</v>
          </cell>
          <cell r="E127">
            <v>192</v>
          </cell>
          <cell r="F127">
            <v>240</v>
          </cell>
          <cell r="G127">
            <v>240</v>
          </cell>
          <cell r="H127">
            <v>256</v>
          </cell>
          <cell r="I127">
            <v>272</v>
          </cell>
          <cell r="L127">
            <v>224</v>
          </cell>
          <cell r="M127">
            <v>256</v>
          </cell>
          <cell r="N127">
            <v>248</v>
          </cell>
        </row>
        <row r="128">
          <cell r="B128">
            <v>9824806380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L128">
            <v>0</v>
          </cell>
          <cell r="M128">
            <v>0</v>
          </cell>
          <cell r="N128">
            <v>0</v>
          </cell>
        </row>
        <row r="129">
          <cell r="B129">
            <v>9838183280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L129">
            <v>0</v>
          </cell>
          <cell r="M129">
            <v>0</v>
          </cell>
          <cell r="N129">
            <v>0</v>
          </cell>
        </row>
        <row r="130">
          <cell r="B130">
            <v>9838184280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L130">
            <v>0</v>
          </cell>
          <cell r="M130">
            <v>0</v>
          </cell>
          <cell r="N130">
            <v>0</v>
          </cell>
        </row>
        <row r="131">
          <cell r="B131">
            <v>9825292480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L131">
            <v>0</v>
          </cell>
          <cell r="M131">
            <v>0</v>
          </cell>
          <cell r="N131">
            <v>0</v>
          </cell>
        </row>
        <row r="132">
          <cell r="B132">
            <v>9825697280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L132">
            <v>0</v>
          </cell>
          <cell r="M132">
            <v>0</v>
          </cell>
          <cell r="N132">
            <v>0</v>
          </cell>
        </row>
        <row r="133">
          <cell r="B133">
            <v>9827962280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1</v>
          </cell>
          <cell r="L133">
            <v>0</v>
          </cell>
          <cell r="M133">
            <v>0</v>
          </cell>
          <cell r="N133">
            <v>0</v>
          </cell>
        </row>
        <row r="134">
          <cell r="B134">
            <v>9827962380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L134">
            <v>0</v>
          </cell>
          <cell r="M134">
            <v>0</v>
          </cell>
          <cell r="N134">
            <v>0</v>
          </cell>
        </row>
        <row r="135">
          <cell r="B135">
            <v>9828300080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L135">
            <v>0</v>
          </cell>
          <cell r="M135">
            <v>0</v>
          </cell>
          <cell r="N135">
            <v>0</v>
          </cell>
        </row>
        <row r="136">
          <cell r="B136">
            <v>9828330680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L136">
            <v>0</v>
          </cell>
          <cell r="M136">
            <v>0</v>
          </cell>
          <cell r="N136">
            <v>0</v>
          </cell>
        </row>
        <row r="137">
          <cell r="B137">
            <v>9828330780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L137">
            <v>0</v>
          </cell>
          <cell r="M137">
            <v>0</v>
          </cell>
          <cell r="N137">
            <v>0</v>
          </cell>
        </row>
        <row r="138">
          <cell r="B138">
            <v>9825292580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L138">
            <v>0</v>
          </cell>
          <cell r="M138">
            <v>0</v>
          </cell>
          <cell r="N138">
            <v>0</v>
          </cell>
        </row>
        <row r="139">
          <cell r="B139">
            <v>9828330880</v>
          </cell>
          <cell r="E139">
            <v>18</v>
          </cell>
          <cell r="F139">
            <v>36</v>
          </cell>
          <cell r="G139">
            <v>36</v>
          </cell>
          <cell r="H139">
            <v>45</v>
          </cell>
          <cell r="I139">
            <v>36</v>
          </cell>
          <cell r="L139">
            <v>36</v>
          </cell>
          <cell r="M139">
            <v>36</v>
          </cell>
          <cell r="N139">
            <v>27</v>
          </cell>
        </row>
        <row r="140">
          <cell r="B140">
            <v>9829178180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L140">
            <v>0</v>
          </cell>
          <cell r="M140">
            <v>0</v>
          </cell>
          <cell r="N140">
            <v>0</v>
          </cell>
        </row>
        <row r="141">
          <cell r="B141">
            <v>9828330980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L141">
            <v>0</v>
          </cell>
          <cell r="M141">
            <v>0</v>
          </cell>
          <cell r="N141">
            <v>0</v>
          </cell>
        </row>
        <row r="142">
          <cell r="B142">
            <v>9830300280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L142">
            <v>0</v>
          </cell>
          <cell r="M142">
            <v>0</v>
          </cell>
          <cell r="N142">
            <v>0</v>
          </cell>
        </row>
        <row r="143">
          <cell r="B143">
            <v>9830759180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L143">
            <v>0</v>
          </cell>
          <cell r="M143">
            <v>0</v>
          </cell>
          <cell r="N143">
            <v>0</v>
          </cell>
        </row>
        <row r="144">
          <cell r="B144">
            <v>9822373280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L144">
            <v>0</v>
          </cell>
          <cell r="M144">
            <v>0</v>
          </cell>
          <cell r="N144">
            <v>0</v>
          </cell>
        </row>
        <row r="145">
          <cell r="B145">
            <v>9823840780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L145">
            <v>0</v>
          </cell>
          <cell r="M145">
            <v>0</v>
          </cell>
          <cell r="N145">
            <v>0</v>
          </cell>
        </row>
        <row r="146">
          <cell r="B146">
            <v>9825292780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L146">
            <v>0</v>
          </cell>
          <cell r="M146">
            <v>0</v>
          </cell>
          <cell r="N146">
            <v>0</v>
          </cell>
        </row>
        <row r="147">
          <cell r="B147">
            <v>9830300280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L147">
            <v>0</v>
          </cell>
          <cell r="M147">
            <v>0</v>
          </cell>
          <cell r="N147">
            <v>0</v>
          </cell>
        </row>
        <row r="148">
          <cell r="B148">
            <v>9830759280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L148">
            <v>0</v>
          </cell>
          <cell r="M148">
            <v>0</v>
          </cell>
          <cell r="N148">
            <v>0</v>
          </cell>
        </row>
        <row r="149">
          <cell r="B149">
            <v>9830759480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L149">
            <v>0</v>
          </cell>
          <cell r="M149">
            <v>0</v>
          </cell>
          <cell r="N149">
            <v>0</v>
          </cell>
        </row>
        <row r="150">
          <cell r="B150">
            <v>9831759880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L150">
            <v>0</v>
          </cell>
          <cell r="M150">
            <v>0</v>
          </cell>
          <cell r="N150">
            <v>0</v>
          </cell>
        </row>
        <row r="151">
          <cell r="B151">
            <v>9831759980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L151">
            <v>0</v>
          </cell>
          <cell r="M151">
            <v>0</v>
          </cell>
          <cell r="N151">
            <v>0</v>
          </cell>
        </row>
        <row r="152">
          <cell r="B152">
            <v>9831760080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L152">
            <v>0</v>
          </cell>
          <cell r="M152">
            <v>0</v>
          </cell>
          <cell r="N152">
            <v>0</v>
          </cell>
        </row>
        <row r="153">
          <cell r="B153">
            <v>9825603180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L153">
            <v>0</v>
          </cell>
          <cell r="M153">
            <v>0</v>
          </cell>
          <cell r="N153">
            <v>0</v>
          </cell>
        </row>
        <row r="154">
          <cell r="B154">
            <v>9827962180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L154">
            <v>0</v>
          </cell>
          <cell r="M154">
            <v>0</v>
          </cell>
          <cell r="N154">
            <v>0</v>
          </cell>
        </row>
        <row r="155">
          <cell r="B155">
            <v>9823808980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L155">
            <v>0</v>
          </cell>
          <cell r="M155">
            <v>0</v>
          </cell>
          <cell r="N155">
            <v>0</v>
          </cell>
        </row>
        <row r="156">
          <cell r="B156">
            <v>9826627180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L156">
            <v>0</v>
          </cell>
          <cell r="M156">
            <v>0</v>
          </cell>
          <cell r="N156">
            <v>0</v>
          </cell>
        </row>
        <row r="157">
          <cell r="B157">
            <v>9830759780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L157">
            <v>0</v>
          </cell>
          <cell r="M157">
            <v>0</v>
          </cell>
          <cell r="N157">
            <v>0</v>
          </cell>
        </row>
        <row r="158">
          <cell r="B158">
            <v>9832770180</v>
          </cell>
          <cell r="E158">
            <v>0</v>
          </cell>
          <cell r="F158">
            <v>0</v>
          </cell>
          <cell r="G158">
            <v>0</v>
          </cell>
          <cell r="H158">
            <v>9</v>
          </cell>
          <cell r="I158">
            <v>9</v>
          </cell>
          <cell r="L158">
            <v>9</v>
          </cell>
          <cell r="M158">
            <v>9</v>
          </cell>
          <cell r="N158">
            <v>9</v>
          </cell>
        </row>
        <row r="159">
          <cell r="B159">
            <v>9830759380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L159">
            <v>0</v>
          </cell>
          <cell r="M159">
            <v>0</v>
          </cell>
          <cell r="N159">
            <v>0</v>
          </cell>
        </row>
        <row r="160">
          <cell r="B160">
            <v>9830759880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L160">
            <v>0</v>
          </cell>
          <cell r="M160">
            <v>0</v>
          </cell>
          <cell r="N160">
            <v>0</v>
          </cell>
        </row>
        <row r="161">
          <cell r="B161">
            <v>9830759680</v>
          </cell>
          <cell r="E161">
            <v>63</v>
          </cell>
          <cell r="F161">
            <v>54</v>
          </cell>
          <cell r="G161">
            <v>54</v>
          </cell>
          <cell r="H161">
            <v>54</v>
          </cell>
          <cell r="I161">
            <v>63</v>
          </cell>
          <cell r="L161">
            <v>36</v>
          </cell>
          <cell r="M161">
            <v>63</v>
          </cell>
          <cell r="N161">
            <v>54</v>
          </cell>
        </row>
        <row r="162">
          <cell r="B162">
            <v>9829177980</v>
          </cell>
          <cell r="E162">
            <v>64</v>
          </cell>
          <cell r="F162">
            <v>88</v>
          </cell>
          <cell r="G162">
            <v>96</v>
          </cell>
          <cell r="H162">
            <v>96</v>
          </cell>
          <cell r="I162">
            <v>96</v>
          </cell>
          <cell r="L162">
            <v>88</v>
          </cell>
          <cell r="M162">
            <v>88</v>
          </cell>
          <cell r="N162">
            <v>96</v>
          </cell>
        </row>
        <row r="163">
          <cell r="B163">
            <v>9830761080</v>
          </cell>
          <cell r="E163">
            <v>128</v>
          </cell>
          <cell r="F163">
            <v>168</v>
          </cell>
          <cell r="G163">
            <v>160</v>
          </cell>
          <cell r="H163">
            <v>176</v>
          </cell>
          <cell r="I163">
            <v>168</v>
          </cell>
          <cell r="L163">
            <v>152</v>
          </cell>
          <cell r="M163">
            <v>168</v>
          </cell>
          <cell r="N163">
            <v>160</v>
          </cell>
        </row>
        <row r="164">
          <cell r="B164">
            <v>9834577580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L164">
            <v>0</v>
          </cell>
          <cell r="M164">
            <v>0</v>
          </cell>
          <cell r="N164">
            <v>0</v>
          </cell>
        </row>
        <row r="165">
          <cell r="B165">
            <v>9838184080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L165">
            <v>0</v>
          </cell>
          <cell r="M165">
            <v>0</v>
          </cell>
          <cell r="N165">
            <v>0</v>
          </cell>
        </row>
        <row r="166">
          <cell r="B166">
            <v>9837259680</v>
          </cell>
          <cell r="E166">
            <v>0</v>
          </cell>
          <cell r="F166">
            <v>0</v>
          </cell>
          <cell r="G166">
            <v>9</v>
          </cell>
          <cell r="H166">
            <v>9</v>
          </cell>
          <cell r="I166">
            <v>9</v>
          </cell>
          <cell r="L166">
            <v>0</v>
          </cell>
          <cell r="M166">
            <v>0</v>
          </cell>
          <cell r="N166">
            <v>0</v>
          </cell>
        </row>
        <row r="167">
          <cell r="B167">
            <v>9837259780</v>
          </cell>
          <cell r="E167">
            <v>9</v>
          </cell>
          <cell r="F167">
            <v>9</v>
          </cell>
          <cell r="G167">
            <v>0</v>
          </cell>
          <cell r="H167">
            <v>9</v>
          </cell>
          <cell r="I167">
            <v>9</v>
          </cell>
          <cell r="L167">
            <v>0</v>
          </cell>
          <cell r="M167">
            <v>0</v>
          </cell>
          <cell r="N167">
            <v>0</v>
          </cell>
        </row>
        <row r="168">
          <cell r="B168">
            <v>9837691780</v>
          </cell>
          <cell r="E168">
            <v>9</v>
          </cell>
          <cell r="F168">
            <v>9</v>
          </cell>
          <cell r="G168">
            <v>9</v>
          </cell>
          <cell r="H168">
            <v>9</v>
          </cell>
          <cell r="I168">
            <v>0</v>
          </cell>
          <cell r="L168">
            <v>0</v>
          </cell>
          <cell r="M168">
            <v>0</v>
          </cell>
          <cell r="N168">
            <v>0</v>
          </cell>
        </row>
        <row r="169">
          <cell r="B169">
            <v>9828185180</v>
          </cell>
          <cell r="E169">
            <v>16</v>
          </cell>
          <cell r="F169">
            <v>24</v>
          </cell>
          <cell r="G169">
            <v>32</v>
          </cell>
          <cell r="H169">
            <v>24</v>
          </cell>
          <cell r="I169">
            <v>24</v>
          </cell>
          <cell r="L169">
            <v>24</v>
          </cell>
          <cell r="M169">
            <v>24</v>
          </cell>
          <cell r="N169">
            <v>24</v>
          </cell>
        </row>
      </sheetData>
      <sheetData sheetId="13">
        <row r="20">
          <cell r="B20" t="str">
            <v>305108GA005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B21" t="str">
            <v>305108GA006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B22" t="str">
            <v>305108GA007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B23" t="str">
            <v>305108GA008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B24" t="str">
            <v>305108GA009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B25" t="str">
            <v>305108GA012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B26" t="str">
            <v>305108GA013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B27" t="str">
            <v>305108GA015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B28" t="str">
            <v>305108GA016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B29" t="str">
            <v>305108GA017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B30" t="str">
            <v>305108GA018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B31" t="str">
            <v>305108GA019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B32" t="str">
            <v>305108GA020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B33" t="str">
            <v>305108GA022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B34" t="str">
            <v>305108GA023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B35" t="str">
            <v>305108GA024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B36" t="str">
            <v>305108GA025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B37" t="str">
            <v>305108GA026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B38" t="str">
            <v>305108GA061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B39" t="str">
            <v>305108GA063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B40" t="str">
            <v>305108GA064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B41" t="str">
            <v>305108GA066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B42" t="str">
            <v>305108GA067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B43" t="str">
            <v>305108GA076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1</v>
          </cell>
          <cell r="N43">
            <v>1</v>
          </cell>
        </row>
        <row r="44">
          <cell r="B44" t="str">
            <v>305108GA079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B45" t="str">
            <v>305108GA080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B46" t="str">
            <v>305108GA081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B47" t="str">
            <v>305108GA082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B48" t="str">
            <v>305108GA083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B49" t="str">
            <v>305108GA084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  <row r="50">
          <cell r="B50" t="str">
            <v>305108GA085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</row>
        <row r="51">
          <cell r="B51" t="str">
            <v>305108GA086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</row>
        <row r="52">
          <cell r="B52" t="str">
            <v>305108GA087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</row>
        <row r="53">
          <cell r="B53" t="str">
            <v>305108GA088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</row>
        <row r="54">
          <cell r="B54" t="str">
            <v>305108GA089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</row>
        <row r="55">
          <cell r="B55" t="str">
            <v>305108GA090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</row>
        <row r="56">
          <cell r="B56" t="str">
            <v>305108GA091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</row>
        <row r="57">
          <cell r="B57" t="str">
            <v>305108GA092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2</v>
          </cell>
          <cell r="M57">
            <v>2</v>
          </cell>
          <cell r="N57">
            <v>2</v>
          </cell>
        </row>
        <row r="58">
          <cell r="B58" t="str">
            <v>305108GA093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</row>
        <row r="59">
          <cell r="B59" t="str">
            <v>305108GA094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</row>
        <row r="60">
          <cell r="B60" t="str">
            <v>305108GA095</v>
          </cell>
          <cell r="C60">
            <v>1</v>
          </cell>
          <cell r="D60">
            <v>1</v>
          </cell>
          <cell r="E60">
            <v>1</v>
          </cell>
          <cell r="F60">
            <v>1</v>
          </cell>
          <cell r="G60">
            <v>1</v>
          </cell>
          <cell r="H60">
            <v>1</v>
          </cell>
          <cell r="I60">
            <v>1</v>
          </cell>
          <cell r="J60">
            <v>1</v>
          </cell>
          <cell r="K60">
            <v>1</v>
          </cell>
          <cell r="L60">
            <v>1</v>
          </cell>
          <cell r="M60">
            <v>1</v>
          </cell>
          <cell r="N60">
            <v>1</v>
          </cell>
        </row>
        <row r="61">
          <cell r="B61" t="str">
            <v>305108GA096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</row>
        <row r="62">
          <cell r="B62" t="str">
            <v>305108GA097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3</v>
          </cell>
          <cell r="M62">
            <v>3</v>
          </cell>
          <cell r="N62">
            <v>3</v>
          </cell>
        </row>
        <row r="63">
          <cell r="B63" t="str">
            <v>305108GA098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</row>
        <row r="64">
          <cell r="B64" t="str">
            <v>305108GA099</v>
          </cell>
          <cell r="C64">
            <v>3</v>
          </cell>
          <cell r="D64">
            <v>3</v>
          </cell>
          <cell r="E64">
            <v>3</v>
          </cell>
          <cell r="F64">
            <v>3</v>
          </cell>
          <cell r="G64">
            <v>3</v>
          </cell>
          <cell r="H64">
            <v>3</v>
          </cell>
          <cell r="I64">
            <v>3</v>
          </cell>
          <cell r="J64">
            <v>3</v>
          </cell>
          <cell r="K64">
            <v>3</v>
          </cell>
          <cell r="L64">
            <v>3</v>
          </cell>
          <cell r="M64">
            <v>3</v>
          </cell>
          <cell r="N64">
            <v>3</v>
          </cell>
        </row>
        <row r="65">
          <cell r="B65" t="str">
            <v>305108GA100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</row>
        <row r="66">
          <cell r="B66" t="str">
            <v>305108GA101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</row>
        <row r="67">
          <cell r="B67" t="str">
            <v>305108GA102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</row>
        <row r="68">
          <cell r="B68" t="str">
            <v>305108GA103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1</v>
          </cell>
          <cell r="M68">
            <v>1</v>
          </cell>
          <cell r="N68">
            <v>1</v>
          </cell>
        </row>
        <row r="69">
          <cell r="B69" t="str">
            <v>305108GA109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</row>
        <row r="70">
          <cell r="B70" t="str">
            <v>305108GA110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B71" t="str">
            <v>305108GA111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</row>
        <row r="72">
          <cell r="B72" t="str">
            <v>305108GA112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</row>
        <row r="73">
          <cell r="B73" t="str">
            <v>305108GA113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</row>
        <row r="74">
          <cell r="B74" t="str">
            <v>305108GA114</v>
          </cell>
          <cell r="C74">
            <v>0</v>
          </cell>
          <cell r="D74">
            <v>0</v>
          </cell>
          <cell r="E74">
            <v>1</v>
          </cell>
          <cell r="F74">
            <v>1</v>
          </cell>
          <cell r="G74">
            <v>1</v>
          </cell>
          <cell r="H74">
            <v>1</v>
          </cell>
          <cell r="I74">
            <v>1</v>
          </cell>
          <cell r="J74">
            <v>1</v>
          </cell>
          <cell r="K74">
            <v>1</v>
          </cell>
          <cell r="L74">
            <v>1</v>
          </cell>
          <cell r="M74">
            <v>1</v>
          </cell>
          <cell r="N74">
            <v>1</v>
          </cell>
        </row>
        <row r="75">
          <cell r="B75" t="str">
            <v>305108GA115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B76" t="str">
            <v>305108GA116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</row>
        <row r="77">
          <cell r="B77" t="str">
            <v>305108GA117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</row>
        <row r="78">
          <cell r="B78" t="str">
            <v>305108GA118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</row>
        <row r="79">
          <cell r="B79" t="str">
            <v>305108GA119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1</v>
          </cell>
          <cell r="M79">
            <v>1</v>
          </cell>
          <cell r="N79">
            <v>1</v>
          </cell>
        </row>
        <row r="80">
          <cell r="B80" t="str">
            <v>305108GA120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</row>
        <row r="81">
          <cell r="B81" t="str">
            <v>305108GA121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</row>
        <row r="82">
          <cell r="B82" t="str">
            <v>305108GA122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</row>
        <row r="83">
          <cell r="B83" t="str">
            <v>5A0604801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B84">
            <v>984420101</v>
          </cell>
          <cell r="C84">
            <v>0</v>
          </cell>
          <cell r="D84">
            <v>0</v>
          </cell>
          <cell r="E84">
            <v>4</v>
          </cell>
          <cell r="F84">
            <v>4</v>
          </cell>
          <cell r="G84">
            <v>4</v>
          </cell>
          <cell r="H84">
            <v>4</v>
          </cell>
          <cell r="I84">
            <v>4</v>
          </cell>
          <cell r="J84">
            <v>4</v>
          </cell>
          <cell r="K84">
            <v>4</v>
          </cell>
          <cell r="L84">
            <v>4</v>
          </cell>
          <cell r="M84">
            <v>0</v>
          </cell>
          <cell r="N84">
            <v>0</v>
          </cell>
        </row>
        <row r="85">
          <cell r="B85">
            <v>984420201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86">
          <cell r="B86">
            <v>984420901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B87">
            <v>984421001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</row>
        <row r="88">
          <cell r="B88">
            <v>984421101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</row>
        <row r="89">
          <cell r="B89">
            <v>984421201</v>
          </cell>
          <cell r="C89">
            <v>5</v>
          </cell>
          <cell r="D89">
            <v>5</v>
          </cell>
          <cell r="E89">
            <v>5</v>
          </cell>
          <cell r="F89">
            <v>10</v>
          </cell>
          <cell r="G89">
            <v>5</v>
          </cell>
          <cell r="H89">
            <v>10</v>
          </cell>
          <cell r="I89">
            <v>5</v>
          </cell>
          <cell r="J89">
            <v>5</v>
          </cell>
          <cell r="K89">
            <v>5</v>
          </cell>
          <cell r="L89">
            <v>6</v>
          </cell>
          <cell r="M89">
            <v>11</v>
          </cell>
          <cell r="N89">
            <v>9</v>
          </cell>
        </row>
        <row r="90">
          <cell r="B90">
            <v>984421301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</row>
        <row r="91">
          <cell r="B91">
            <v>984421501</v>
          </cell>
          <cell r="C91">
            <v>0</v>
          </cell>
          <cell r="D91">
            <v>0</v>
          </cell>
          <cell r="E91">
            <v>0</v>
          </cell>
          <cell r="F91">
            <v>4</v>
          </cell>
          <cell r="G91">
            <v>3</v>
          </cell>
          <cell r="H91">
            <v>3</v>
          </cell>
          <cell r="I91">
            <v>3</v>
          </cell>
          <cell r="J91">
            <v>3</v>
          </cell>
          <cell r="K91">
            <v>3</v>
          </cell>
          <cell r="L91">
            <v>3</v>
          </cell>
          <cell r="M91">
            <v>3</v>
          </cell>
          <cell r="N91">
            <v>3</v>
          </cell>
        </row>
        <row r="92">
          <cell r="B92">
            <v>984421601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</row>
        <row r="93">
          <cell r="B93">
            <v>984421701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5</v>
          </cell>
          <cell r="M93">
            <v>5</v>
          </cell>
          <cell r="N93">
            <v>0</v>
          </cell>
        </row>
        <row r="94">
          <cell r="B94">
            <v>984421801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5</v>
          </cell>
          <cell r="J94">
            <v>5</v>
          </cell>
          <cell r="K94">
            <v>5</v>
          </cell>
          <cell r="L94">
            <v>0</v>
          </cell>
          <cell r="M94">
            <v>0</v>
          </cell>
          <cell r="N94">
            <v>0</v>
          </cell>
        </row>
        <row r="95">
          <cell r="B95">
            <v>984422001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</row>
        <row r="96">
          <cell r="B96">
            <v>984422101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</row>
        <row r="97">
          <cell r="B97">
            <v>984422201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</row>
        <row r="98">
          <cell r="B98">
            <v>984422701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</row>
        <row r="99">
          <cell r="B99">
            <v>984423101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00">
          <cell r="B100">
            <v>984423201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</row>
        <row r="101">
          <cell r="B101">
            <v>984423301</v>
          </cell>
          <cell r="C101">
            <v>0</v>
          </cell>
          <cell r="D101">
            <v>0</v>
          </cell>
          <cell r="E101">
            <v>0</v>
          </cell>
          <cell r="F101">
            <v>5</v>
          </cell>
          <cell r="G101">
            <v>9</v>
          </cell>
          <cell r="H101">
            <v>4</v>
          </cell>
          <cell r="I101">
            <v>8</v>
          </cell>
          <cell r="J101">
            <v>8</v>
          </cell>
          <cell r="K101">
            <v>8</v>
          </cell>
          <cell r="L101">
            <v>3</v>
          </cell>
          <cell r="M101">
            <v>3</v>
          </cell>
          <cell r="N101">
            <v>3</v>
          </cell>
        </row>
        <row r="102">
          <cell r="B102">
            <v>984423601</v>
          </cell>
          <cell r="C102">
            <v>4</v>
          </cell>
          <cell r="D102">
            <v>4</v>
          </cell>
          <cell r="E102">
            <v>4</v>
          </cell>
          <cell r="F102">
            <v>0</v>
          </cell>
          <cell r="G102">
            <v>5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</row>
        <row r="103">
          <cell r="B103">
            <v>984423701</v>
          </cell>
          <cell r="C103">
            <v>0</v>
          </cell>
          <cell r="D103">
            <v>0</v>
          </cell>
          <cell r="E103">
            <v>5</v>
          </cell>
          <cell r="F103">
            <v>5</v>
          </cell>
          <cell r="G103">
            <v>5</v>
          </cell>
          <cell r="H103">
            <v>5</v>
          </cell>
          <cell r="I103">
            <v>5</v>
          </cell>
          <cell r="J103">
            <v>5</v>
          </cell>
          <cell r="K103">
            <v>5</v>
          </cell>
          <cell r="L103">
            <v>10</v>
          </cell>
          <cell r="M103">
            <v>0</v>
          </cell>
          <cell r="N103">
            <v>5</v>
          </cell>
        </row>
        <row r="104">
          <cell r="B104">
            <v>984423901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B105">
            <v>984424001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</row>
        <row r="106">
          <cell r="B106">
            <v>984424101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</row>
        <row r="107">
          <cell r="B107">
            <v>984424201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</row>
        <row r="108">
          <cell r="B108">
            <v>984424301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9</v>
          </cell>
          <cell r="M108">
            <v>9</v>
          </cell>
          <cell r="N108">
            <v>9</v>
          </cell>
        </row>
        <row r="109">
          <cell r="B109">
            <v>984424701</v>
          </cell>
          <cell r="C109">
            <v>3</v>
          </cell>
          <cell r="D109">
            <v>3</v>
          </cell>
          <cell r="E109">
            <v>5</v>
          </cell>
          <cell r="F109">
            <v>10</v>
          </cell>
          <cell r="G109">
            <v>5</v>
          </cell>
          <cell r="H109">
            <v>5</v>
          </cell>
          <cell r="I109">
            <v>5</v>
          </cell>
          <cell r="J109">
            <v>5</v>
          </cell>
          <cell r="K109">
            <v>5</v>
          </cell>
          <cell r="L109">
            <v>5</v>
          </cell>
          <cell r="M109">
            <v>5</v>
          </cell>
          <cell r="N109">
            <v>8</v>
          </cell>
        </row>
        <row r="110">
          <cell r="B110">
            <v>984431701</v>
          </cell>
          <cell r="C110">
            <v>0</v>
          </cell>
          <cell r="D110">
            <v>0</v>
          </cell>
          <cell r="E110">
            <v>10</v>
          </cell>
          <cell r="F110">
            <v>15</v>
          </cell>
          <cell r="G110">
            <v>5</v>
          </cell>
          <cell r="H110">
            <v>5</v>
          </cell>
          <cell r="I110">
            <v>10</v>
          </cell>
          <cell r="J110">
            <v>10</v>
          </cell>
          <cell r="K110">
            <v>10</v>
          </cell>
          <cell r="L110">
            <v>0</v>
          </cell>
          <cell r="M110">
            <v>0</v>
          </cell>
          <cell r="N110">
            <v>5</v>
          </cell>
        </row>
        <row r="111">
          <cell r="B111">
            <v>984433301</v>
          </cell>
          <cell r="C111">
            <v>0</v>
          </cell>
          <cell r="D111">
            <v>0</v>
          </cell>
          <cell r="E111">
            <v>10</v>
          </cell>
          <cell r="F111">
            <v>10</v>
          </cell>
          <cell r="G111">
            <v>10</v>
          </cell>
          <cell r="H111">
            <v>5</v>
          </cell>
          <cell r="I111">
            <v>17</v>
          </cell>
          <cell r="J111">
            <v>17</v>
          </cell>
          <cell r="K111">
            <v>17</v>
          </cell>
          <cell r="L111">
            <v>15</v>
          </cell>
          <cell r="M111">
            <v>10</v>
          </cell>
          <cell r="N111">
            <v>10</v>
          </cell>
        </row>
        <row r="112">
          <cell r="B112">
            <v>984434701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</row>
        <row r="113">
          <cell r="B113">
            <v>945504501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</row>
        <row r="114">
          <cell r="B114">
            <v>989484501</v>
          </cell>
          <cell r="C114">
            <v>1</v>
          </cell>
          <cell r="D114">
            <v>1</v>
          </cell>
          <cell r="E114">
            <v>1</v>
          </cell>
          <cell r="F114">
            <v>1</v>
          </cell>
          <cell r="G114">
            <v>1</v>
          </cell>
          <cell r="H114">
            <v>1</v>
          </cell>
          <cell r="I114">
            <v>1</v>
          </cell>
          <cell r="J114">
            <v>1</v>
          </cell>
          <cell r="K114">
            <v>1</v>
          </cell>
          <cell r="L114">
            <v>1</v>
          </cell>
          <cell r="M114">
            <v>1</v>
          </cell>
          <cell r="N114">
            <v>1</v>
          </cell>
        </row>
        <row r="115">
          <cell r="B115">
            <v>945501901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</row>
        <row r="116">
          <cell r="B116">
            <v>984424501</v>
          </cell>
          <cell r="C116">
            <v>25</v>
          </cell>
          <cell r="D116">
            <v>25</v>
          </cell>
          <cell r="E116">
            <v>35</v>
          </cell>
          <cell r="F116">
            <v>30</v>
          </cell>
          <cell r="G116">
            <v>30</v>
          </cell>
          <cell r="H116">
            <v>30</v>
          </cell>
          <cell r="I116">
            <v>35</v>
          </cell>
          <cell r="J116">
            <v>35</v>
          </cell>
          <cell r="K116">
            <v>35</v>
          </cell>
          <cell r="L116">
            <v>30</v>
          </cell>
          <cell r="M116">
            <v>25</v>
          </cell>
          <cell r="N116">
            <v>35</v>
          </cell>
        </row>
        <row r="117">
          <cell r="B117">
            <v>984421901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</row>
        <row r="118">
          <cell r="B118">
            <v>947031901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</row>
        <row r="119">
          <cell r="B119">
            <v>9823495680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</row>
        <row r="120">
          <cell r="B120">
            <v>9823499580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</row>
        <row r="121">
          <cell r="B121">
            <v>9824805580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</row>
        <row r="122">
          <cell r="B122">
            <v>9827156780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</row>
        <row r="123">
          <cell r="B123">
            <v>9827187280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</row>
        <row r="124">
          <cell r="B124">
            <v>9828299780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</row>
        <row r="125">
          <cell r="B125">
            <v>9828330480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</row>
        <row r="126">
          <cell r="B126">
            <v>9830763580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</row>
        <row r="127">
          <cell r="B127">
            <v>9830763780</v>
          </cell>
          <cell r="C127">
            <v>0</v>
          </cell>
          <cell r="D127">
            <v>0</v>
          </cell>
          <cell r="E127">
            <v>32</v>
          </cell>
          <cell r="F127">
            <v>32</v>
          </cell>
          <cell r="G127">
            <v>32</v>
          </cell>
          <cell r="H127">
            <v>24</v>
          </cell>
          <cell r="I127">
            <v>37</v>
          </cell>
          <cell r="J127">
            <v>37</v>
          </cell>
          <cell r="K127">
            <v>37</v>
          </cell>
          <cell r="L127">
            <v>37</v>
          </cell>
          <cell r="M127">
            <v>32</v>
          </cell>
          <cell r="N127">
            <v>40</v>
          </cell>
        </row>
        <row r="128">
          <cell r="B128">
            <v>9824806380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</row>
        <row r="129">
          <cell r="B129">
            <v>9838183280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</row>
        <row r="130">
          <cell r="B130">
            <v>9838184280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</row>
        <row r="131">
          <cell r="B131">
            <v>9825292480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</row>
        <row r="132">
          <cell r="B132">
            <v>9825697280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</row>
        <row r="133">
          <cell r="B133">
            <v>9827962280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</row>
        <row r="134">
          <cell r="B134">
            <v>9827962380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</row>
        <row r="135">
          <cell r="B135">
            <v>9828300080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</row>
        <row r="136">
          <cell r="B136">
            <v>9828330680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</row>
        <row r="137">
          <cell r="B137">
            <v>9828330780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</row>
        <row r="138">
          <cell r="B138">
            <v>9825292580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</row>
        <row r="139">
          <cell r="B139">
            <v>9828330880</v>
          </cell>
          <cell r="C139">
            <v>0</v>
          </cell>
          <cell r="D139">
            <v>0</v>
          </cell>
          <cell r="E139">
            <v>9</v>
          </cell>
          <cell r="F139">
            <v>9</v>
          </cell>
          <cell r="G139">
            <v>18</v>
          </cell>
          <cell r="H139">
            <v>9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7</v>
          </cell>
        </row>
        <row r="140">
          <cell r="B140">
            <v>9829178180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</row>
        <row r="141">
          <cell r="B141">
            <v>9828330980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</row>
        <row r="142">
          <cell r="B142">
            <v>9830300280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</row>
        <row r="143">
          <cell r="B143">
            <v>9830759180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</row>
        <row r="144">
          <cell r="B144">
            <v>9822373280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</row>
        <row r="145">
          <cell r="B145">
            <v>9823840780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</row>
        <row r="146">
          <cell r="B146">
            <v>9825292780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</row>
        <row r="147">
          <cell r="B147">
            <v>9830300280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</row>
        <row r="148">
          <cell r="B148">
            <v>9830759280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</row>
        <row r="149">
          <cell r="B149">
            <v>9830759480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</row>
        <row r="150">
          <cell r="B150">
            <v>9831759880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</row>
        <row r="151">
          <cell r="B151">
            <v>9831759980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</row>
        <row r="152">
          <cell r="B152">
            <v>9831760080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</row>
        <row r="153">
          <cell r="B153">
            <v>9825603180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</row>
        <row r="154">
          <cell r="B154">
            <v>9827962180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</row>
        <row r="155">
          <cell r="B155">
            <v>9823808980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</row>
        <row r="156">
          <cell r="B156">
            <v>9826627180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</row>
        <row r="157">
          <cell r="B157">
            <v>9830759780</v>
          </cell>
          <cell r="C157">
            <v>0</v>
          </cell>
          <cell r="D157">
            <v>0</v>
          </cell>
          <cell r="E157">
            <v>2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2</v>
          </cell>
          <cell r="N157">
            <v>0</v>
          </cell>
        </row>
        <row r="158">
          <cell r="B158">
            <v>9832770180</v>
          </cell>
          <cell r="C158">
            <v>4</v>
          </cell>
          <cell r="D158">
            <v>4</v>
          </cell>
          <cell r="E158">
            <v>4</v>
          </cell>
          <cell r="F158">
            <v>4</v>
          </cell>
          <cell r="G158">
            <v>4</v>
          </cell>
          <cell r="H158">
            <v>4</v>
          </cell>
          <cell r="I158">
            <v>4</v>
          </cell>
          <cell r="J158">
            <v>4</v>
          </cell>
          <cell r="K158">
            <v>4</v>
          </cell>
          <cell r="L158">
            <v>3</v>
          </cell>
          <cell r="M158">
            <v>3</v>
          </cell>
          <cell r="N158">
            <v>3</v>
          </cell>
        </row>
        <row r="159">
          <cell r="B159">
            <v>9830759380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</row>
        <row r="160">
          <cell r="B160">
            <v>9830759880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</row>
        <row r="161">
          <cell r="B161">
            <v>9830759680</v>
          </cell>
          <cell r="C161">
            <v>0</v>
          </cell>
          <cell r="D161">
            <v>0</v>
          </cell>
          <cell r="E161">
            <v>9</v>
          </cell>
          <cell r="F161">
            <v>0</v>
          </cell>
          <cell r="G161">
            <v>9</v>
          </cell>
          <cell r="H161">
            <v>9</v>
          </cell>
          <cell r="I161">
            <v>9</v>
          </cell>
          <cell r="J161">
            <v>9</v>
          </cell>
          <cell r="K161">
            <v>9</v>
          </cell>
          <cell r="L161">
            <v>9</v>
          </cell>
          <cell r="M161">
            <v>9</v>
          </cell>
          <cell r="N161">
            <v>9</v>
          </cell>
        </row>
        <row r="162">
          <cell r="B162">
            <v>9829177980</v>
          </cell>
          <cell r="C162">
            <v>6</v>
          </cell>
          <cell r="D162">
            <v>6</v>
          </cell>
          <cell r="E162">
            <v>14</v>
          </cell>
          <cell r="F162">
            <v>21</v>
          </cell>
          <cell r="G162">
            <v>8</v>
          </cell>
          <cell r="H162">
            <v>22</v>
          </cell>
          <cell r="I162">
            <v>8</v>
          </cell>
          <cell r="J162">
            <v>8</v>
          </cell>
          <cell r="K162">
            <v>8</v>
          </cell>
          <cell r="L162">
            <v>8</v>
          </cell>
          <cell r="M162">
            <v>8</v>
          </cell>
          <cell r="N162">
            <v>8</v>
          </cell>
        </row>
        <row r="163">
          <cell r="B163">
            <v>9830761080</v>
          </cell>
          <cell r="C163">
            <v>0</v>
          </cell>
          <cell r="D163">
            <v>0</v>
          </cell>
          <cell r="E163">
            <v>24</v>
          </cell>
          <cell r="F163">
            <v>28</v>
          </cell>
          <cell r="G163">
            <v>16</v>
          </cell>
          <cell r="H163">
            <v>24</v>
          </cell>
          <cell r="I163">
            <v>13</v>
          </cell>
          <cell r="J163">
            <v>13</v>
          </cell>
          <cell r="K163">
            <v>13</v>
          </cell>
          <cell r="L163">
            <v>8</v>
          </cell>
          <cell r="M163">
            <v>16</v>
          </cell>
          <cell r="N163">
            <v>16</v>
          </cell>
        </row>
        <row r="164">
          <cell r="B164">
            <v>9834577580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</row>
        <row r="165">
          <cell r="B165">
            <v>9838184080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</row>
        <row r="166">
          <cell r="B166">
            <v>9837259680</v>
          </cell>
          <cell r="C166">
            <v>8</v>
          </cell>
          <cell r="D166">
            <v>8</v>
          </cell>
          <cell r="E166">
            <v>8</v>
          </cell>
          <cell r="F166">
            <v>8</v>
          </cell>
          <cell r="G166">
            <v>8</v>
          </cell>
          <cell r="H166">
            <v>8</v>
          </cell>
          <cell r="I166">
            <v>8</v>
          </cell>
          <cell r="J166">
            <v>8</v>
          </cell>
          <cell r="K166">
            <v>8</v>
          </cell>
          <cell r="L166">
            <v>8</v>
          </cell>
          <cell r="M166">
            <v>8</v>
          </cell>
          <cell r="N166">
            <v>8</v>
          </cell>
        </row>
        <row r="167">
          <cell r="B167">
            <v>9837259780</v>
          </cell>
          <cell r="C167">
            <v>2</v>
          </cell>
          <cell r="D167">
            <v>2</v>
          </cell>
          <cell r="E167">
            <v>0</v>
          </cell>
          <cell r="F167">
            <v>0</v>
          </cell>
          <cell r="G167">
            <v>2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2</v>
          </cell>
          <cell r="M167">
            <v>0</v>
          </cell>
          <cell r="N167">
            <v>2</v>
          </cell>
        </row>
        <row r="168">
          <cell r="B168">
            <v>9837691780</v>
          </cell>
          <cell r="C168">
            <v>7</v>
          </cell>
          <cell r="D168">
            <v>7</v>
          </cell>
          <cell r="E168">
            <v>7</v>
          </cell>
          <cell r="F168">
            <v>7</v>
          </cell>
          <cell r="G168">
            <v>7</v>
          </cell>
          <cell r="H168">
            <v>6</v>
          </cell>
          <cell r="I168">
            <v>6</v>
          </cell>
          <cell r="J168">
            <v>6</v>
          </cell>
          <cell r="K168">
            <v>6</v>
          </cell>
          <cell r="L168">
            <v>7</v>
          </cell>
          <cell r="M168">
            <v>7</v>
          </cell>
          <cell r="N168">
            <v>7</v>
          </cell>
        </row>
        <row r="169">
          <cell r="B169">
            <v>9828185180</v>
          </cell>
          <cell r="C169">
            <v>6</v>
          </cell>
          <cell r="D169">
            <v>6</v>
          </cell>
          <cell r="E169">
            <v>5</v>
          </cell>
          <cell r="F169">
            <v>5</v>
          </cell>
          <cell r="G169">
            <v>6</v>
          </cell>
          <cell r="H169">
            <v>6</v>
          </cell>
          <cell r="I169">
            <v>6</v>
          </cell>
          <cell r="J169">
            <v>6</v>
          </cell>
          <cell r="K169">
            <v>6</v>
          </cell>
          <cell r="L169">
            <v>5</v>
          </cell>
          <cell r="M169">
            <v>5</v>
          </cell>
          <cell r="N169">
            <v>5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稼働日"/>
      <sheetName val="可動時間2"/>
      <sheetName val="残業別稼働時間一覧表"/>
      <sheetName val="可動時間"/>
      <sheetName val="稼働ﾏｽﾀｰ"/>
      <sheetName val="可動時間 (2)"/>
      <sheetName val="99･00"/>
      <sheetName val="DATA"/>
      <sheetName val="calculation"/>
      <sheetName val="table 3"/>
      <sheetName val="9月度データ"/>
      <sheetName val="GM"/>
      <sheetName val="大宇"/>
      <sheetName val="顧客品番"/>
      <sheetName val="混流"/>
      <sheetName val="2001トヨタ"/>
      <sheetName val="99年短期計画ﾃﾞｰﾀ"/>
      <sheetName val="99･8月度"/>
      <sheetName val="生計Z"/>
    </sheetNames>
    <sheetDataSet>
      <sheetData sheetId="0" refreshError="1"/>
      <sheetData sheetId="1" refreshError="1">
        <row r="1">
          <cell r="A1" t="str">
            <v>可動時間設定</v>
          </cell>
        </row>
        <row r="2">
          <cell r="A2" t="str">
            <v>稼働時間</v>
          </cell>
          <cell r="B2" t="str">
            <v>可動時間</v>
          </cell>
        </row>
        <row r="3">
          <cell r="A3" t="str">
            <v>（時間）</v>
          </cell>
          <cell r="B3" t="str">
            <v>（分）</v>
          </cell>
        </row>
        <row r="4">
          <cell r="A4" t="str">
            <v>-</v>
          </cell>
          <cell r="B4">
            <v>0</v>
          </cell>
        </row>
        <row r="5">
          <cell r="A5">
            <v>0</v>
          </cell>
          <cell r="B5">
            <v>0</v>
          </cell>
        </row>
        <row r="6">
          <cell r="A6">
            <v>3</v>
          </cell>
          <cell r="B6">
            <v>159</v>
          </cell>
          <cell r="F6">
            <v>9</v>
          </cell>
          <cell r="G6">
            <v>2</v>
          </cell>
          <cell r="J6">
            <v>0.47916666666666669</v>
          </cell>
          <cell r="K6">
            <v>4.1666666666666664E-2</v>
          </cell>
        </row>
        <row r="7">
          <cell r="A7">
            <v>3.5</v>
          </cell>
          <cell r="B7">
            <v>189</v>
          </cell>
          <cell r="F7">
            <v>9</v>
          </cell>
          <cell r="G7">
            <v>2</v>
          </cell>
          <cell r="J7">
            <v>0.5</v>
          </cell>
          <cell r="K7">
            <v>6.25E-2</v>
          </cell>
        </row>
        <row r="8">
          <cell r="A8">
            <v>4</v>
          </cell>
          <cell r="B8">
            <v>209</v>
          </cell>
          <cell r="F8">
            <v>9</v>
          </cell>
          <cell r="G8">
            <v>2</v>
          </cell>
          <cell r="H8">
            <v>10</v>
          </cell>
          <cell r="J8">
            <v>0.51388888888888895</v>
          </cell>
          <cell r="K8">
            <v>7.6388888888888895E-2</v>
          </cell>
        </row>
        <row r="9">
          <cell r="A9">
            <v>4.5</v>
          </cell>
          <cell r="B9">
            <v>248</v>
          </cell>
          <cell r="F9">
            <v>9</v>
          </cell>
          <cell r="G9">
            <v>3</v>
          </cell>
          <cell r="J9">
            <v>0.58333333333333337</v>
          </cell>
          <cell r="K9">
            <v>0.14583333333333334</v>
          </cell>
        </row>
        <row r="10">
          <cell r="A10">
            <v>5</v>
          </cell>
          <cell r="B10">
            <v>278</v>
          </cell>
          <cell r="F10">
            <v>9</v>
          </cell>
          <cell r="G10">
            <v>3</v>
          </cell>
          <cell r="J10">
            <v>0.60416666666666663</v>
          </cell>
          <cell r="K10">
            <v>0.16666666666666666</v>
          </cell>
        </row>
        <row r="11">
          <cell r="A11">
            <v>5.5</v>
          </cell>
          <cell r="B11">
            <v>308</v>
          </cell>
          <cell r="F11">
            <v>9</v>
          </cell>
          <cell r="G11">
            <v>3</v>
          </cell>
          <cell r="J11">
            <v>0.625</v>
          </cell>
          <cell r="K11">
            <v>0.1875</v>
          </cell>
        </row>
        <row r="12">
          <cell r="A12">
            <v>6</v>
          </cell>
          <cell r="B12">
            <v>328</v>
          </cell>
          <cell r="F12">
            <v>9</v>
          </cell>
          <cell r="G12">
            <v>3</v>
          </cell>
          <cell r="J12">
            <v>0.63888888888888895</v>
          </cell>
          <cell r="K12">
            <v>0.20138888888888887</v>
          </cell>
        </row>
        <row r="13">
          <cell r="A13">
            <v>6.5</v>
          </cell>
          <cell r="B13">
            <v>347</v>
          </cell>
          <cell r="F13">
            <v>9</v>
          </cell>
          <cell r="G13">
            <v>4</v>
          </cell>
          <cell r="H13">
            <v>10</v>
          </cell>
          <cell r="J13">
            <v>0.65972222222222221</v>
          </cell>
          <cell r="K13">
            <v>0.22222222222222221</v>
          </cell>
        </row>
        <row r="14">
          <cell r="A14">
            <v>7</v>
          </cell>
          <cell r="B14">
            <v>377</v>
          </cell>
          <cell r="F14">
            <v>9</v>
          </cell>
          <cell r="G14">
            <v>4</v>
          </cell>
          <cell r="H14">
            <v>10</v>
          </cell>
          <cell r="J14">
            <v>0.68055555555555547</v>
          </cell>
          <cell r="K14">
            <v>0.24305555555555555</v>
          </cell>
        </row>
        <row r="15">
          <cell r="A15">
            <v>7.3</v>
          </cell>
          <cell r="B15">
            <v>0</v>
          </cell>
        </row>
        <row r="16">
          <cell r="A16">
            <v>7.5</v>
          </cell>
          <cell r="B16">
            <v>407</v>
          </cell>
          <cell r="F16">
            <v>9</v>
          </cell>
          <cell r="G16">
            <v>4</v>
          </cell>
          <cell r="H16">
            <v>10</v>
          </cell>
          <cell r="J16">
            <v>0.70138888888888884</v>
          </cell>
          <cell r="K16">
            <v>0.2638888888888889</v>
          </cell>
        </row>
        <row r="17">
          <cell r="A17">
            <v>8</v>
          </cell>
          <cell r="B17">
            <v>437</v>
          </cell>
          <cell r="F17">
            <v>9</v>
          </cell>
          <cell r="G17">
            <v>4</v>
          </cell>
          <cell r="H17">
            <v>10</v>
          </cell>
          <cell r="J17">
            <v>0.72222222222222221</v>
          </cell>
          <cell r="K17">
            <v>0.28472222222222221</v>
          </cell>
        </row>
        <row r="18">
          <cell r="A18">
            <v>8.3000000000000007</v>
          </cell>
          <cell r="B18">
            <v>0</v>
          </cell>
        </row>
        <row r="19">
          <cell r="A19">
            <v>8.5</v>
          </cell>
          <cell r="B19">
            <v>467</v>
          </cell>
          <cell r="F19">
            <v>9</v>
          </cell>
          <cell r="G19">
            <v>4</v>
          </cell>
          <cell r="H19">
            <v>10</v>
          </cell>
          <cell r="J19">
            <v>0.74305555555555547</v>
          </cell>
          <cell r="K19">
            <v>0.30555555555555552</v>
          </cell>
        </row>
        <row r="20">
          <cell r="A20">
            <v>9</v>
          </cell>
          <cell r="B20">
            <v>497</v>
          </cell>
          <cell r="F20">
            <v>9</v>
          </cell>
          <cell r="G20">
            <v>4</v>
          </cell>
          <cell r="H20">
            <v>10</v>
          </cell>
          <cell r="J20">
            <v>0.76388888888888884</v>
          </cell>
          <cell r="K20">
            <v>0.3263888888888889</v>
          </cell>
        </row>
        <row r="21">
          <cell r="A21">
            <v>9.3000000000000007</v>
          </cell>
          <cell r="B21">
            <v>0</v>
          </cell>
        </row>
        <row r="22">
          <cell r="A22">
            <v>9.5</v>
          </cell>
          <cell r="B22">
            <v>516</v>
          </cell>
          <cell r="F22">
            <v>9</v>
          </cell>
          <cell r="G22">
            <v>5</v>
          </cell>
          <cell r="H22">
            <v>10</v>
          </cell>
          <cell r="J22">
            <v>0.78472222222222221</v>
          </cell>
          <cell r="K22">
            <v>0.34722222222222227</v>
          </cell>
        </row>
        <row r="23">
          <cell r="A23">
            <v>10</v>
          </cell>
          <cell r="B23">
            <v>546</v>
          </cell>
          <cell r="F23">
            <v>9</v>
          </cell>
          <cell r="G23">
            <v>5</v>
          </cell>
          <cell r="H23">
            <v>10</v>
          </cell>
          <cell r="J23">
            <v>0.80555555555555547</v>
          </cell>
          <cell r="L23" t="str">
            <v>昼勤のみ</v>
          </cell>
        </row>
        <row r="24">
          <cell r="A24">
            <v>10.5</v>
          </cell>
          <cell r="B24">
            <v>565</v>
          </cell>
          <cell r="F24">
            <v>9</v>
          </cell>
          <cell r="G24">
            <v>6</v>
          </cell>
          <cell r="H24">
            <v>10</v>
          </cell>
          <cell r="J24">
            <v>0.82638888888888884</v>
          </cell>
          <cell r="L24" t="str">
            <v>昼勤のみ</v>
          </cell>
        </row>
        <row r="25">
          <cell r="A25">
            <v>11</v>
          </cell>
          <cell r="B25">
            <v>595</v>
          </cell>
          <cell r="F25">
            <v>9</v>
          </cell>
          <cell r="G25">
            <v>6</v>
          </cell>
          <cell r="H25">
            <v>10</v>
          </cell>
          <cell r="J25">
            <v>0.84722222222222221</v>
          </cell>
          <cell r="L25" t="str">
            <v>昼勤のみ</v>
          </cell>
        </row>
        <row r="26">
          <cell r="A26" t="str">
            <v>実施時間</v>
          </cell>
          <cell r="B26" t="str">
            <v>昼勤</v>
          </cell>
        </row>
        <row r="28">
          <cell r="B28" t="str">
            <v>夜勤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計図"/>
      <sheetName val="便建"/>
      <sheetName val="AI支給箱単価MST"/>
      <sheetName val="TANK"/>
      <sheetName val="納入便マスター"/>
      <sheetName val="除外マスター"/>
      <sheetName val="運送ｺｰﾄﾞ"/>
      <sheetName val="設定"/>
      <sheetName val="エラー一覧"/>
      <sheetName val="個建"/>
      <sheetName val="全データ"/>
      <sheetName val="MC030"/>
      <sheetName val="MC040"/>
      <sheetName val="運賃計算書作成ツール"/>
    </sheetNames>
    <sheetDataSet>
      <sheetData sheetId="0"/>
      <sheetData sheetId="1"/>
      <sheetData sheetId="2">
        <row r="2">
          <cell r="E2" t="str">
            <v>単価</v>
          </cell>
        </row>
      </sheetData>
      <sheetData sheetId="3"/>
      <sheetData sheetId="4">
        <row r="2">
          <cell r="E2" t="str">
            <v>単価</v>
          </cell>
        </row>
      </sheetData>
      <sheetData sheetId="5">
        <row r="3">
          <cell r="F3">
            <v>201701</v>
          </cell>
        </row>
      </sheetData>
      <sheetData sheetId="6">
        <row r="3">
          <cell r="F3">
            <v>201708</v>
          </cell>
        </row>
        <row r="5">
          <cell r="G5">
            <v>0</v>
          </cell>
        </row>
        <row r="6">
          <cell r="G6" t="str">
            <v>全部</v>
          </cell>
        </row>
        <row r="7">
          <cell r="G7" t="str">
            <v>カリツー</v>
          </cell>
        </row>
        <row r="8">
          <cell r="G8" t="str">
            <v>トヨタ輸送</v>
          </cell>
        </row>
        <row r="9">
          <cell r="G9" t="str">
            <v>ユーネットランス</v>
          </cell>
        </row>
        <row r="10">
          <cell r="G10" t="str">
            <v>寿陸運</v>
          </cell>
        </row>
        <row r="11">
          <cell r="G11" t="str">
            <v>池田運輸</v>
          </cell>
        </row>
        <row r="12">
          <cell r="G12" t="str">
            <v>日本プラスト運輸</v>
          </cell>
        </row>
        <row r="13">
          <cell r="G13" t="str">
            <v>日本梱包運輸倉庫</v>
          </cell>
        </row>
        <row r="14">
          <cell r="G14" t="str">
            <v>北港運輸</v>
          </cell>
        </row>
      </sheetData>
      <sheetData sheetId="7">
        <row r="3">
          <cell r="F3">
            <v>201801</v>
          </cell>
        </row>
      </sheetData>
      <sheetData sheetId="8">
        <row r="3">
          <cell r="F3">
            <v>201801</v>
          </cell>
        </row>
      </sheetData>
      <sheetData sheetId="9">
        <row r="3">
          <cell r="F3">
            <v>201708</v>
          </cell>
        </row>
      </sheetData>
      <sheetData sheetId="10"/>
      <sheetData sheetId="11"/>
      <sheetData sheetId="12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稼働日"/>
      <sheetName val="稼働ﾏｽﾀｰF++"/>
      <sheetName val="カレンダー"/>
      <sheetName val="設定"/>
      <sheetName val="一時貼付"/>
      <sheetName val="顧客M"/>
      <sheetName val="DATA貼付"/>
      <sheetName val="出荷ｽｹｼﾞｭｰﾙ集計"/>
      <sheetName val="月末在庫集計"/>
      <sheetName val="在庫元単位"/>
      <sheetName val="可動時間"/>
      <sheetName val="☆生計（E8)40秒前倒し"/>
      <sheetName val="☆生計（E8) 44秒前倒し"/>
      <sheetName val="☆生計（E8) (44秒)"/>
      <sheetName val="生計（E7) "/>
    </sheetNames>
    <sheetDataSet>
      <sheetData sheetId="0" refreshError="1"/>
      <sheetData sheetId="1" refreshError="1"/>
      <sheetData sheetId="2" refreshError="1">
        <row r="3">
          <cell r="A3" t="str">
            <v>2003/01</v>
          </cell>
          <cell r="B3">
            <v>21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1</v>
          </cell>
          <cell r="I3">
            <v>1</v>
          </cell>
          <cell r="J3">
            <v>1</v>
          </cell>
          <cell r="K3">
            <v>1</v>
          </cell>
          <cell r="L3">
            <v>1</v>
          </cell>
          <cell r="M3">
            <v>0</v>
          </cell>
          <cell r="N3">
            <v>0</v>
          </cell>
          <cell r="O3">
            <v>1</v>
          </cell>
          <cell r="P3">
            <v>1</v>
          </cell>
          <cell r="Q3">
            <v>1</v>
          </cell>
          <cell r="R3">
            <v>1</v>
          </cell>
          <cell r="S3">
            <v>1</v>
          </cell>
          <cell r="T3">
            <v>0.5</v>
          </cell>
          <cell r="U3">
            <v>0</v>
          </cell>
          <cell r="V3">
            <v>1</v>
          </cell>
          <cell r="W3">
            <v>1</v>
          </cell>
          <cell r="X3">
            <v>1</v>
          </cell>
          <cell r="Y3">
            <v>1</v>
          </cell>
          <cell r="Z3">
            <v>1</v>
          </cell>
          <cell r="AA3">
            <v>0.5</v>
          </cell>
          <cell r="AB3">
            <v>0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</row>
        <row r="4">
          <cell r="A4" t="str">
            <v>2003/02</v>
          </cell>
          <cell r="B4">
            <v>21</v>
          </cell>
          <cell r="C4">
            <v>0</v>
          </cell>
          <cell r="D4">
            <v>0</v>
          </cell>
          <cell r="E4">
            <v>1</v>
          </cell>
          <cell r="F4">
            <v>1</v>
          </cell>
          <cell r="G4">
            <v>1</v>
          </cell>
          <cell r="H4">
            <v>1</v>
          </cell>
          <cell r="I4">
            <v>1</v>
          </cell>
          <cell r="J4">
            <v>0</v>
          </cell>
          <cell r="K4">
            <v>0</v>
          </cell>
          <cell r="L4">
            <v>1</v>
          </cell>
          <cell r="M4">
            <v>1</v>
          </cell>
          <cell r="N4">
            <v>1</v>
          </cell>
          <cell r="O4">
            <v>1</v>
          </cell>
          <cell r="P4">
            <v>1</v>
          </cell>
          <cell r="Q4">
            <v>0.5</v>
          </cell>
          <cell r="R4">
            <v>0</v>
          </cell>
          <cell r="S4">
            <v>1</v>
          </cell>
          <cell r="T4">
            <v>1</v>
          </cell>
          <cell r="U4">
            <v>1</v>
          </cell>
          <cell r="V4">
            <v>1</v>
          </cell>
          <cell r="W4">
            <v>1</v>
          </cell>
          <cell r="X4">
            <v>0.5</v>
          </cell>
          <cell r="Y4">
            <v>0</v>
          </cell>
          <cell r="Z4">
            <v>1</v>
          </cell>
          <cell r="AA4">
            <v>1</v>
          </cell>
          <cell r="AB4">
            <v>1</v>
          </cell>
          <cell r="AC4">
            <v>1</v>
          </cell>
          <cell r="AD4">
            <v>1</v>
          </cell>
          <cell r="AE4">
            <v>0</v>
          </cell>
          <cell r="AF4">
            <v>0</v>
          </cell>
          <cell r="AG4">
            <v>0</v>
          </cell>
        </row>
        <row r="5">
          <cell r="A5" t="str">
            <v>2003/03</v>
          </cell>
          <cell r="B5">
            <v>22</v>
          </cell>
          <cell r="C5">
            <v>0</v>
          </cell>
          <cell r="D5">
            <v>0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0</v>
          </cell>
          <cell r="K5">
            <v>0</v>
          </cell>
          <cell r="L5">
            <v>1</v>
          </cell>
          <cell r="M5">
            <v>1</v>
          </cell>
          <cell r="N5">
            <v>1</v>
          </cell>
          <cell r="O5">
            <v>1</v>
          </cell>
          <cell r="P5">
            <v>1</v>
          </cell>
          <cell r="Q5">
            <v>0.5</v>
          </cell>
          <cell r="R5">
            <v>0</v>
          </cell>
          <cell r="S5">
            <v>1</v>
          </cell>
          <cell r="T5">
            <v>1</v>
          </cell>
          <cell r="U5">
            <v>1</v>
          </cell>
          <cell r="V5">
            <v>1</v>
          </cell>
          <cell r="W5">
            <v>1</v>
          </cell>
          <cell r="X5">
            <v>0.5</v>
          </cell>
          <cell r="Y5">
            <v>0</v>
          </cell>
          <cell r="Z5">
            <v>1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0</v>
          </cell>
          <cell r="AF5">
            <v>0</v>
          </cell>
          <cell r="AG5">
            <v>1</v>
          </cell>
        </row>
        <row r="6">
          <cell r="A6" t="str">
            <v>2003/04</v>
          </cell>
          <cell r="B6">
            <v>19</v>
          </cell>
          <cell r="C6">
            <v>1</v>
          </cell>
          <cell r="D6">
            <v>1</v>
          </cell>
          <cell r="E6">
            <v>1</v>
          </cell>
          <cell r="F6">
            <v>1</v>
          </cell>
          <cell r="G6">
            <v>0</v>
          </cell>
          <cell r="H6">
            <v>0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0</v>
          </cell>
          <cell r="O6">
            <v>0</v>
          </cell>
          <cell r="P6">
            <v>1</v>
          </cell>
          <cell r="Q6">
            <v>1</v>
          </cell>
          <cell r="R6">
            <v>1</v>
          </cell>
          <cell r="S6">
            <v>1</v>
          </cell>
          <cell r="T6">
            <v>1</v>
          </cell>
          <cell r="U6">
            <v>0</v>
          </cell>
          <cell r="V6">
            <v>0</v>
          </cell>
          <cell r="W6">
            <v>1</v>
          </cell>
          <cell r="X6">
            <v>1</v>
          </cell>
          <cell r="Y6">
            <v>1</v>
          </cell>
          <cell r="Z6">
            <v>1</v>
          </cell>
          <cell r="AA6">
            <v>1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</row>
        <row r="7">
          <cell r="A7" t="str">
            <v>2003/05</v>
          </cell>
          <cell r="B7">
            <v>19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0</v>
          </cell>
          <cell r="M7">
            <v>0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0</v>
          </cell>
          <cell r="T7">
            <v>0</v>
          </cell>
          <cell r="U7">
            <v>1</v>
          </cell>
          <cell r="V7">
            <v>1</v>
          </cell>
          <cell r="W7">
            <v>1</v>
          </cell>
          <cell r="X7">
            <v>1</v>
          </cell>
          <cell r="Y7">
            <v>1</v>
          </cell>
          <cell r="Z7">
            <v>0</v>
          </cell>
          <cell r="AA7">
            <v>0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F7">
            <v>1</v>
          </cell>
          <cell r="AG7">
            <v>0</v>
          </cell>
        </row>
        <row r="8">
          <cell r="A8" t="str">
            <v>2003/06</v>
          </cell>
          <cell r="B8">
            <v>21</v>
          </cell>
          <cell r="C8">
            <v>0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0</v>
          </cell>
          <cell r="J8">
            <v>0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0</v>
          </cell>
          <cell r="Q8">
            <v>0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0</v>
          </cell>
          <cell r="X8">
            <v>0</v>
          </cell>
          <cell r="Y8">
            <v>1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0</v>
          </cell>
          <cell r="AE8">
            <v>0</v>
          </cell>
          <cell r="AF8">
            <v>1</v>
          </cell>
          <cell r="AG8">
            <v>0</v>
          </cell>
        </row>
        <row r="9">
          <cell r="A9" t="str">
            <v>2003/07</v>
          </cell>
          <cell r="B9">
            <v>21</v>
          </cell>
          <cell r="C9">
            <v>1</v>
          </cell>
          <cell r="D9">
            <v>1</v>
          </cell>
          <cell r="E9">
            <v>1</v>
          </cell>
          <cell r="F9">
            <v>1</v>
          </cell>
          <cell r="G9">
            <v>0</v>
          </cell>
          <cell r="H9">
            <v>0</v>
          </cell>
          <cell r="I9">
            <v>1</v>
          </cell>
          <cell r="J9">
            <v>1</v>
          </cell>
          <cell r="K9">
            <v>1</v>
          </cell>
          <cell r="L9">
            <v>1</v>
          </cell>
          <cell r="M9">
            <v>1</v>
          </cell>
          <cell r="N9">
            <v>0</v>
          </cell>
          <cell r="O9">
            <v>0</v>
          </cell>
          <cell r="P9">
            <v>1</v>
          </cell>
          <cell r="Q9">
            <v>1</v>
          </cell>
          <cell r="R9">
            <v>1</v>
          </cell>
          <cell r="S9">
            <v>1</v>
          </cell>
          <cell r="T9">
            <v>1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1</v>
          </cell>
          <cell r="Z9">
            <v>1</v>
          </cell>
          <cell r="AA9">
            <v>1</v>
          </cell>
          <cell r="AB9">
            <v>0</v>
          </cell>
          <cell r="AC9">
            <v>0</v>
          </cell>
          <cell r="AD9">
            <v>1</v>
          </cell>
          <cell r="AE9">
            <v>1</v>
          </cell>
          <cell r="AF9">
            <v>1</v>
          </cell>
          <cell r="AG9">
            <v>1</v>
          </cell>
        </row>
        <row r="10">
          <cell r="A10" t="str">
            <v>2003/08</v>
          </cell>
          <cell r="B10">
            <v>16</v>
          </cell>
          <cell r="C10">
            <v>1</v>
          </cell>
          <cell r="D10">
            <v>0</v>
          </cell>
          <cell r="E10">
            <v>0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J10">
            <v>1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1</v>
          </cell>
          <cell r="U10">
            <v>1</v>
          </cell>
          <cell r="V10">
            <v>1</v>
          </cell>
          <cell r="W10">
            <v>1</v>
          </cell>
          <cell r="X10">
            <v>1</v>
          </cell>
          <cell r="Y10">
            <v>0</v>
          </cell>
          <cell r="Z10">
            <v>0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0</v>
          </cell>
          <cell r="AG10">
            <v>0</v>
          </cell>
        </row>
        <row r="11">
          <cell r="A11" t="str">
            <v>2003/09</v>
          </cell>
          <cell r="B11">
            <v>22</v>
          </cell>
          <cell r="C11">
            <v>1</v>
          </cell>
          <cell r="D11">
            <v>1</v>
          </cell>
          <cell r="E11">
            <v>1</v>
          </cell>
          <cell r="F11">
            <v>1</v>
          </cell>
          <cell r="G11">
            <v>1</v>
          </cell>
          <cell r="H11">
            <v>0</v>
          </cell>
          <cell r="I11">
            <v>0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0</v>
          </cell>
          <cell r="P11">
            <v>0</v>
          </cell>
          <cell r="Q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V11">
            <v>0</v>
          </cell>
          <cell r="W11">
            <v>0</v>
          </cell>
          <cell r="X11">
            <v>1</v>
          </cell>
          <cell r="Y11">
            <v>1</v>
          </cell>
          <cell r="Z11">
            <v>1</v>
          </cell>
          <cell r="AA11">
            <v>1</v>
          </cell>
          <cell r="AB11">
            <v>1</v>
          </cell>
          <cell r="AC11">
            <v>0</v>
          </cell>
          <cell r="AD11">
            <v>0</v>
          </cell>
          <cell r="AE11">
            <v>1</v>
          </cell>
          <cell r="AF11">
            <v>1</v>
          </cell>
          <cell r="AG11">
            <v>0</v>
          </cell>
        </row>
        <row r="12">
          <cell r="A12" t="str">
            <v>2003/10</v>
          </cell>
          <cell r="B12">
            <v>22</v>
          </cell>
          <cell r="C12">
            <v>1</v>
          </cell>
          <cell r="D12">
            <v>1</v>
          </cell>
          <cell r="E12">
            <v>1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0</v>
          </cell>
          <cell r="U12">
            <v>0</v>
          </cell>
          <cell r="V12">
            <v>1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0</v>
          </cell>
          <cell r="AB12">
            <v>0</v>
          </cell>
          <cell r="AC12">
            <v>1</v>
          </cell>
          <cell r="AD12">
            <v>1</v>
          </cell>
          <cell r="AE12">
            <v>1</v>
          </cell>
          <cell r="AF12">
            <v>1</v>
          </cell>
          <cell r="AG12">
            <v>1</v>
          </cell>
        </row>
        <row r="13">
          <cell r="A13" t="str">
            <v>2003/11</v>
          </cell>
          <cell r="B13">
            <v>20</v>
          </cell>
          <cell r="C13">
            <v>0</v>
          </cell>
          <cell r="D13">
            <v>0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0</v>
          </cell>
          <cell r="R13">
            <v>0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1</v>
          </cell>
          <cell r="X13">
            <v>0</v>
          </cell>
          <cell r="Y13">
            <v>0</v>
          </cell>
          <cell r="Z13">
            <v>1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0</v>
          </cell>
          <cell r="AF13">
            <v>0</v>
          </cell>
          <cell r="AG13">
            <v>0</v>
          </cell>
        </row>
        <row r="14">
          <cell r="A14" t="str">
            <v>2003/12</v>
          </cell>
          <cell r="B14">
            <v>19</v>
          </cell>
          <cell r="C14">
            <v>1</v>
          </cell>
          <cell r="D14">
            <v>1</v>
          </cell>
          <cell r="E14">
            <v>1</v>
          </cell>
          <cell r="F14">
            <v>1</v>
          </cell>
          <cell r="G14">
            <v>1</v>
          </cell>
          <cell r="H14">
            <v>0</v>
          </cell>
          <cell r="I14">
            <v>0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0</v>
          </cell>
          <cell r="P14">
            <v>0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V14">
            <v>0</v>
          </cell>
          <cell r="W14">
            <v>0</v>
          </cell>
          <cell r="X14">
            <v>1</v>
          </cell>
          <cell r="Y14">
            <v>1</v>
          </cell>
          <cell r="Z14">
            <v>1</v>
          </cell>
          <cell r="AA14">
            <v>1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</row>
        <row r="15">
          <cell r="A15" t="str">
            <v>2004/01</v>
          </cell>
          <cell r="B15">
            <v>20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0</v>
          </cell>
          <cell r="M15">
            <v>0</v>
          </cell>
          <cell r="N15">
            <v>1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0.5</v>
          </cell>
          <cell r="T15">
            <v>0</v>
          </cell>
          <cell r="U15">
            <v>1</v>
          </cell>
          <cell r="V15">
            <v>1</v>
          </cell>
          <cell r="W15">
            <v>1</v>
          </cell>
          <cell r="X15">
            <v>1</v>
          </cell>
          <cell r="Y15">
            <v>1</v>
          </cell>
          <cell r="Z15">
            <v>0.5</v>
          </cell>
          <cell r="AA15">
            <v>0</v>
          </cell>
          <cell r="AB15">
            <v>1</v>
          </cell>
          <cell r="AC15">
            <v>1</v>
          </cell>
          <cell r="AD15">
            <v>1</v>
          </cell>
          <cell r="AE15">
            <v>1</v>
          </cell>
          <cell r="AF15">
            <v>1</v>
          </cell>
          <cell r="AG15">
            <v>0</v>
          </cell>
        </row>
        <row r="16">
          <cell r="A16" t="str">
            <v>2004/02</v>
          </cell>
          <cell r="B16">
            <v>21</v>
          </cell>
          <cell r="C16">
            <v>0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0</v>
          </cell>
          <cell r="J16">
            <v>0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0.5</v>
          </cell>
          <cell r="Q16">
            <v>0</v>
          </cell>
          <cell r="R16">
            <v>1</v>
          </cell>
          <cell r="S16">
            <v>1</v>
          </cell>
          <cell r="T16">
            <v>1</v>
          </cell>
          <cell r="U16">
            <v>1</v>
          </cell>
          <cell r="V16">
            <v>1</v>
          </cell>
          <cell r="W16">
            <v>0.5</v>
          </cell>
          <cell r="X16">
            <v>0</v>
          </cell>
          <cell r="Y16">
            <v>1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</row>
        <row r="17">
          <cell r="A17" t="str">
            <v>2004/03</v>
          </cell>
          <cell r="B17">
            <v>24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0</v>
          </cell>
          <cell r="I17">
            <v>0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0.5</v>
          </cell>
          <cell r="P17">
            <v>0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V17">
            <v>0.5</v>
          </cell>
          <cell r="W17">
            <v>0</v>
          </cell>
          <cell r="X17">
            <v>1</v>
          </cell>
          <cell r="Y17">
            <v>1</v>
          </cell>
          <cell r="Z17">
            <v>1</v>
          </cell>
          <cell r="AA17">
            <v>1</v>
          </cell>
          <cell r="AB17">
            <v>1</v>
          </cell>
          <cell r="AC17">
            <v>0</v>
          </cell>
          <cell r="AD17">
            <v>0</v>
          </cell>
          <cell r="AE17">
            <v>1</v>
          </cell>
          <cell r="AF17">
            <v>1</v>
          </cell>
          <cell r="AG17">
            <v>1</v>
          </cell>
        </row>
        <row r="18">
          <cell r="A18" t="str">
            <v>2004/04</v>
          </cell>
          <cell r="B18">
            <v>20</v>
          </cell>
          <cell r="C18">
            <v>1</v>
          </cell>
          <cell r="D18">
            <v>1</v>
          </cell>
          <cell r="E18">
            <v>0</v>
          </cell>
          <cell r="F18">
            <v>0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1</v>
          </cell>
          <cell r="L18">
            <v>0</v>
          </cell>
          <cell r="M18">
            <v>0</v>
          </cell>
          <cell r="N18">
            <v>1</v>
          </cell>
          <cell r="O18">
            <v>1</v>
          </cell>
          <cell r="P18">
            <v>1</v>
          </cell>
          <cell r="Q18">
            <v>1</v>
          </cell>
          <cell r="R18">
            <v>1</v>
          </cell>
          <cell r="S18">
            <v>0</v>
          </cell>
          <cell r="T18">
            <v>0</v>
          </cell>
          <cell r="U18">
            <v>1</v>
          </cell>
          <cell r="V18">
            <v>1</v>
          </cell>
          <cell r="W18">
            <v>1</v>
          </cell>
          <cell r="X18">
            <v>1</v>
          </cell>
          <cell r="Y18">
            <v>1</v>
          </cell>
          <cell r="Z18">
            <v>0</v>
          </cell>
          <cell r="AA18">
            <v>0</v>
          </cell>
          <cell r="AB18">
            <v>1</v>
          </cell>
          <cell r="AC18">
            <v>1</v>
          </cell>
          <cell r="AD18">
            <v>1</v>
          </cell>
          <cell r="AE18">
            <v>0</v>
          </cell>
          <cell r="AF18">
            <v>0</v>
          </cell>
          <cell r="AG18">
            <v>0</v>
          </cell>
        </row>
        <row r="19">
          <cell r="A19" t="str">
            <v>2004/05</v>
          </cell>
          <cell r="B19">
            <v>18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0</v>
          </cell>
          <cell r="R19">
            <v>0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0</v>
          </cell>
          <cell r="Y19">
            <v>0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>
            <v>0</v>
          </cell>
          <cell r="AG19">
            <v>1</v>
          </cell>
        </row>
        <row r="20">
          <cell r="A20" t="str">
            <v>2004/06</v>
          </cell>
          <cell r="B20">
            <v>22</v>
          </cell>
          <cell r="C20">
            <v>1</v>
          </cell>
          <cell r="D20">
            <v>1</v>
          </cell>
          <cell r="E20">
            <v>1</v>
          </cell>
          <cell r="F20">
            <v>1</v>
          </cell>
          <cell r="G20">
            <v>0</v>
          </cell>
          <cell r="H20">
            <v>0</v>
          </cell>
          <cell r="I20">
            <v>1</v>
          </cell>
          <cell r="J20">
            <v>1</v>
          </cell>
          <cell r="K20">
            <v>1</v>
          </cell>
          <cell r="L20">
            <v>1</v>
          </cell>
          <cell r="M20">
            <v>1</v>
          </cell>
          <cell r="N20">
            <v>0</v>
          </cell>
          <cell r="O20">
            <v>0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>
            <v>1</v>
          </cell>
          <cell r="U20">
            <v>0</v>
          </cell>
          <cell r="V20">
            <v>0</v>
          </cell>
          <cell r="W20">
            <v>1</v>
          </cell>
          <cell r="X20">
            <v>1</v>
          </cell>
          <cell r="Y20">
            <v>1</v>
          </cell>
          <cell r="Z20">
            <v>1</v>
          </cell>
          <cell r="AA20">
            <v>1</v>
          </cell>
          <cell r="AB20">
            <v>0</v>
          </cell>
          <cell r="AC20">
            <v>0</v>
          </cell>
          <cell r="AD20">
            <v>1</v>
          </cell>
          <cell r="AE20">
            <v>1</v>
          </cell>
          <cell r="AF20">
            <v>1</v>
          </cell>
          <cell r="AG20">
            <v>0</v>
          </cell>
        </row>
        <row r="21">
          <cell r="A21" t="str">
            <v>2004/07</v>
          </cell>
          <cell r="B21">
            <v>21</v>
          </cell>
          <cell r="C21">
            <v>1</v>
          </cell>
          <cell r="D21">
            <v>1</v>
          </cell>
          <cell r="E21">
            <v>0</v>
          </cell>
          <cell r="F21">
            <v>0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K21">
            <v>1</v>
          </cell>
          <cell r="L21">
            <v>0</v>
          </cell>
          <cell r="M21">
            <v>0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0</v>
          </cell>
          <cell r="T21">
            <v>0</v>
          </cell>
          <cell r="U21">
            <v>0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0</v>
          </cell>
          <cell r="AA21">
            <v>0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0</v>
          </cell>
        </row>
        <row r="22">
          <cell r="A22" t="str">
            <v>2004/08</v>
          </cell>
          <cell r="B22">
            <v>17</v>
          </cell>
          <cell r="C22">
            <v>0</v>
          </cell>
          <cell r="D22">
            <v>1</v>
          </cell>
          <cell r="E22">
            <v>1</v>
          </cell>
          <cell r="F22">
            <v>1</v>
          </cell>
          <cell r="G22">
            <v>1</v>
          </cell>
          <cell r="H22">
            <v>1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1</v>
          </cell>
          <cell r="S22">
            <v>1</v>
          </cell>
          <cell r="T22">
            <v>1</v>
          </cell>
          <cell r="U22">
            <v>1</v>
          </cell>
          <cell r="V22">
            <v>1</v>
          </cell>
          <cell r="W22">
            <v>0</v>
          </cell>
          <cell r="X22">
            <v>0</v>
          </cell>
          <cell r="Y22">
            <v>1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0</v>
          </cell>
          <cell r="AE22">
            <v>0</v>
          </cell>
          <cell r="AF22">
            <v>1</v>
          </cell>
          <cell r="AG22">
            <v>1</v>
          </cell>
        </row>
        <row r="23">
          <cell r="A23" t="str">
            <v>2004/09</v>
          </cell>
          <cell r="B23">
            <v>22</v>
          </cell>
          <cell r="C23">
            <v>1</v>
          </cell>
          <cell r="D23">
            <v>1</v>
          </cell>
          <cell r="E23">
            <v>1</v>
          </cell>
          <cell r="F23">
            <v>0</v>
          </cell>
          <cell r="G23">
            <v>0</v>
          </cell>
          <cell r="H23">
            <v>1</v>
          </cell>
          <cell r="I23">
            <v>1</v>
          </cell>
          <cell r="J23">
            <v>1</v>
          </cell>
          <cell r="K23">
            <v>1</v>
          </cell>
          <cell r="L23">
            <v>1</v>
          </cell>
          <cell r="M23">
            <v>0</v>
          </cell>
          <cell r="N23">
            <v>0</v>
          </cell>
          <cell r="O23">
            <v>1</v>
          </cell>
          <cell r="P23">
            <v>1</v>
          </cell>
          <cell r="Q23">
            <v>1</v>
          </cell>
          <cell r="R23">
            <v>1</v>
          </cell>
          <cell r="S23">
            <v>1</v>
          </cell>
          <cell r="T23">
            <v>0</v>
          </cell>
          <cell r="U23">
            <v>0</v>
          </cell>
          <cell r="V23">
            <v>1</v>
          </cell>
          <cell r="W23">
            <v>1</v>
          </cell>
          <cell r="X23">
            <v>1</v>
          </cell>
          <cell r="Y23">
            <v>1</v>
          </cell>
          <cell r="Z23">
            <v>1</v>
          </cell>
          <cell r="AA23">
            <v>0</v>
          </cell>
          <cell r="AB23">
            <v>0</v>
          </cell>
          <cell r="AC23">
            <v>1</v>
          </cell>
          <cell r="AD23">
            <v>1</v>
          </cell>
          <cell r="AE23">
            <v>1</v>
          </cell>
          <cell r="AF23">
            <v>1</v>
          </cell>
          <cell r="AG23">
            <v>0</v>
          </cell>
        </row>
        <row r="24">
          <cell r="A24" t="str">
            <v>2004/10</v>
          </cell>
          <cell r="B24">
            <v>20</v>
          </cell>
          <cell r="C24">
            <v>1</v>
          </cell>
          <cell r="D24">
            <v>0</v>
          </cell>
          <cell r="E24">
            <v>0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1</v>
          </cell>
          <cell r="O24">
            <v>1</v>
          </cell>
          <cell r="P24">
            <v>1</v>
          </cell>
          <cell r="Q24">
            <v>1</v>
          </cell>
          <cell r="R24">
            <v>0</v>
          </cell>
          <cell r="S24">
            <v>0</v>
          </cell>
          <cell r="T24">
            <v>1</v>
          </cell>
          <cell r="U24">
            <v>1</v>
          </cell>
          <cell r="V24">
            <v>1</v>
          </cell>
          <cell r="W24">
            <v>1</v>
          </cell>
          <cell r="X24">
            <v>1</v>
          </cell>
          <cell r="Y24">
            <v>0</v>
          </cell>
          <cell r="Z24">
            <v>0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E24">
            <v>1</v>
          </cell>
          <cell r="AF24">
            <v>0</v>
          </cell>
          <cell r="AG24">
            <v>0</v>
          </cell>
        </row>
        <row r="25">
          <cell r="A25" t="str">
            <v>2004/11</v>
          </cell>
          <cell r="B25">
            <v>22</v>
          </cell>
          <cell r="C25">
            <v>1</v>
          </cell>
          <cell r="D25">
            <v>1</v>
          </cell>
          <cell r="E25">
            <v>1</v>
          </cell>
          <cell r="F25">
            <v>1</v>
          </cell>
          <cell r="G25">
            <v>1</v>
          </cell>
          <cell r="H25">
            <v>0</v>
          </cell>
          <cell r="I25">
            <v>0</v>
          </cell>
          <cell r="J25">
            <v>1</v>
          </cell>
          <cell r="K25">
            <v>1</v>
          </cell>
          <cell r="L25">
            <v>1</v>
          </cell>
          <cell r="M25">
            <v>1</v>
          </cell>
          <cell r="N25">
            <v>1</v>
          </cell>
          <cell r="O25">
            <v>0</v>
          </cell>
          <cell r="P25">
            <v>0</v>
          </cell>
          <cell r="Q25">
            <v>1</v>
          </cell>
          <cell r="R25">
            <v>1</v>
          </cell>
          <cell r="S25">
            <v>1</v>
          </cell>
          <cell r="T25">
            <v>1</v>
          </cell>
          <cell r="U25">
            <v>1</v>
          </cell>
          <cell r="V25">
            <v>0</v>
          </cell>
          <cell r="W25">
            <v>0</v>
          </cell>
          <cell r="X25">
            <v>1</v>
          </cell>
          <cell r="Y25">
            <v>1</v>
          </cell>
          <cell r="Z25">
            <v>1</v>
          </cell>
          <cell r="AA25">
            <v>1</v>
          </cell>
          <cell r="AB25">
            <v>1</v>
          </cell>
          <cell r="AC25">
            <v>0</v>
          </cell>
          <cell r="AD25">
            <v>0</v>
          </cell>
          <cell r="AE25">
            <v>1</v>
          </cell>
          <cell r="AF25">
            <v>1</v>
          </cell>
          <cell r="AG25">
            <v>0</v>
          </cell>
        </row>
        <row r="26">
          <cell r="A26" t="str">
            <v>2004/12</v>
          </cell>
          <cell r="B26">
            <v>18</v>
          </cell>
          <cell r="C26">
            <v>1</v>
          </cell>
          <cell r="D26">
            <v>1</v>
          </cell>
          <cell r="E26">
            <v>1</v>
          </cell>
          <cell r="F26">
            <v>0</v>
          </cell>
          <cell r="G26">
            <v>0</v>
          </cell>
          <cell r="H26">
            <v>1</v>
          </cell>
          <cell r="I26">
            <v>1</v>
          </cell>
          <cell r="J26">
            <v>1</v>
          </cell>
          <cell r="K26">
            <v>1</v>
          </cell>
          <cell r="L26">
            <v>1</v>
          </cell>
          <cell r="M26">
            <v>0</v>
          </cell>
          <cell r="N26">
            <v>0</v>
          </cell>
          <cell r="O26">
            <v>1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>
            <v>0</v>
          </cell>
          <cell r="U26">
            <v>0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A27" t="str">
            <v>2005/01</v>
          </cell>
          <cell r="B27">
            <v>19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  <cell r="J27">
            <v>0</v>
          </cell>
          <cell r="K27">
            <v>0</v>
          </cell>
          <cell r="L27">
            <v>1</v>
          </cell>
          <cell r="M27">
            <v>1</v>
          </cell>
          <cell r="N27">
            <v>1</v>
          </cell>
          <cell r="O27">
            <v>1</v>
          </cell>
          <cell r="P27">
            <v>1</v>
          </cell>
          <cell r="Q27">
            <v>0.5</v>
          </cell>
          <cell r="R27">
            <v>0</v>
          </cell>
          <cell r="S27">
            <v>1</v>
          </cell>
          <cell r="T27">
            <v>1</v>
          </cell>
          <cell r="U27">
            <v>1</v>
          </cell>
          <cell r="V27">
            <v>1</v>
          </cell>
          <cell r="W27">
            <v>1</v>
          </cell>
          <cell r="X27">
            <v>0.5</v>
          </cell>
          <cell r="Y27">
            <v>0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0</v>
          </cell>
          <cell r="AF27">
            <v>0</v>
          </cell>
          <cell r="AG27">
            <v>1</v>
          </cell>
        </row>
        <row r="28">
          <cell r="A28" t="str">
            <v>2005/02</v>
          </cell>
          <cell r="B28">
            <v>21</v>
          </cell>
          <cell r="C28">
            <v>1</v>
          </cell>
          <cell r="D28">
            <v>1</v>
          </cell>
          <cell r="E28">
            <v>1</v>
          </cell>
          <cell r="F28">
            <v>1</v>
          </cell>
          <cell r="G28">
            <v>0</v>
          </cell>
          <cell r="H28">
            <v>0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0.5</v>
          </cell>
          <cell r="O28">
            <v>0</v>
          </cell>
          <cell r="P28">
            <v>1</v>
          </cell>
          <cell r="Q28">
            <v>1</v>
          </cell>
          <cell r="R28">
            <v>1</v>
          </cell>
          <cell r="S28">
            <v>1</v>
          </cell>
          <cell r="T28">
            <v>1</v>
          </cell>
          <cell r="U28">
            <v>0.5</v>
          </cell>
          <cell r="V28">
            <v>0</v>
          </cell>
          <cell r="W28">
            <v>1</v>
          </cell>
          <cell r="X28">
            <v>1</v>
          </cell>
          <cell r="Y28">
            <v>1</v>
          </cell>
          <cell r="Z28">
            <v>1</v>
          </cell>
          <cell r="AA28">
            <v>1</v>
          </cell>
          <cell r="AB28">
            <v>0</v>
          </cell>
          <cell r="AC28">
            <v>0</v>
          </cell>
          <cell r="AD28">
            <v>1</v>
          </cell>
          <cell r="AE28">
            <v>0</v>
          </cell>
          <cell r="AF28">
            <v>0</v>
          </cell>
          <cell r="AG28">
            <v>0</v>
          </cell>
        </row>
        <row r="29">
          <cell r="A29" t="str">
            <v>2005/03</v>
          </cell>
          <cell r="B29">
            <v>24</v>
          </cell>
          <cell r="C29">
            <v>1</v>
          </cell>
          <cell r="D29">
            <v>1</v>
          </cell>
          <cell r="E29">
            <v>1</v>
          </cell>
          <cell r="F29">
            <v>1</v>
          </cell>
          <cell r="G29">
            <v>0</v>
          </cell>
          <cell r="H29">
            <v>0</v>
          </cell>
          <cell r="I29">
            <v>1</v>
          </cell>
          <cell r="J29">
            <v>1</v>
          </cell>
          <cell r="K29">
            <v>1</v>
          </cell>
          <cell r="L29">
            <v>1</v>
          </cell>
          <cell r="M29">
            <v>1</v>
          </cell>
          <cell r="N29">
            <v>0.5</v>
          </cell>
          <cell r="O29">
            <v>0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>
            <v>1</v>
          </cell>
          <cell r="U29">
            <v>0.5</v>
          </cell>
          <cell r="V29">
            <v>0</v>
          </cell>
          <cell r="W29">
            <v>1</v>
          </cell>
          <cell r="X29">
            <v>1</v>
          </cell>
          <cell r="Y29">
            <v>1</v>
          </cell>
          <cell r="Z29">
            <v>1</v>
          </cell>
          <cell r="AA29">
            <v>1</v>
          </cell>
          <cell r="AB29">
            <v>0</v>
          </cell>
          <cell r="AC29">
            <v>0</v>
          </cell>
          <cell r="AD29">
            <v>1</v>
          </cell>
          <cell r="AE29">
            <v>1</v>
          </cell>
          <cell r="AF29">
            <v>1</v>
          </cell>
          <cell r="AG29">
            <v>1</v>
          </cell>
        </row>
        <row r="30">
          <cell r="A30" t="str">
            <v>2005/04</v>
          </cell>
          <cell r="B30">
            <v>20</v>
          </cell>
          <cell r="C30">
            <v>1</v>
          </cell>
          <cell r="D30">
            <v>0</v>
          </cell>
          <cell r="E30">
            <v>0</v>
          </cell>
          <cell r="F30">
            <v>1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K30">
            <v>0</v>
          </cell>
          <cell r="L30">
            <v>0</v>
          </cell>
          <cell r="M30">
            <v>1</v>
          </cell>
          <cell r="N30">
            <v>1</v>
          </cell>
          <cell r="O30">
            <v>1</v>
          </cell>
          <cell r="P30">
            <v>1</v>
          </cell>
          <cell r="Q30">
            <v>1</v>
          </cell>
          <cell r="R30">
            <v>0</v>
          </cell>
          <cell r="S30">
            <v>0</v>
          </cell>
          <cell r="T30">
            <v>1</v>
          </cell>
          <cell r="U30">
            <v>1</v>
          </cell>
          <cell r="V30">
            <v>1</v>
          </cell>
          <cell r="W30">
            <v>1</v>
          </cell>
          <cell r="X30">
            <v>1</v>
          </cell>
          <cell r="Y30">
            <v>0</v>
          </cell>
          <cell r="Z30">
            <v>0</v>
          </cell>
          <cell r="AA30">
            <v>1</v>
          </cell>
          <cell r="AB30">
            <v>1</v>
          </cell>
          <cell r="AC30">
            <v>1</v>
          </cell>
          <cell r="AD30">
            <v>1</v>
          </cell>
          <cell r="AE30">
            <v>0</v>
          </cell>
          <cell r="AF30">
            <v>0</v>
          </cell>
          <cell r="AG30">
            <v>0</v>
          </cell>
        </row>
        <row r="31">
          <cell r="A31" t="str">
            <v>2005/05</v>
          </cell>
          <cell r="B31">
            <v>18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1</v>
          </cell>
          <cell r="I31">
            <v>1</v>
          </cell>
          <cell r="J31">
            <v>0</v>
          </cell>
          <cell r="K31">
            <v>0</v>
          </cell>
          <cell r="L31">
            <v>1</v>
          </cell>
          <cell r="M31">
            <v>1</v>
          </cell>
          <cell r="N31">
            <v>1</v>
          </cell>
          <cell r="O31">
            <v>1</v>
          </cell>
          <cell r="P31">
            <v>0</v>
          </cell>
          <cell r="Q31">
            <v>0</v>
          </cell>
          <cell r="R31">
            <v>1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W31">
            <v>0</v>
          </cell>
          <cell r="X31">
            <v>0</v>
          </cell>
          <cell r="Y31">
            <v>1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0</v>
          </cell>
          <cell r="AE31">
            <v>0</v>
          </cell>
          <cell r="AF31">
            <v>1</v>
          </cell>
          <cell r="AG31">
            <v>1</v>
          </cell>
        </row>
        <row r="32">
          <cell r="A32" t="str">
            <v>2005/06</v>
          </cell>
          <cell r="B32">
            <v>22</v>
          </cell>
          <cell r="C32">
            <v>1</v>
          </cell>
          <cell r="D32">
            <v>1</v>
          </cell>
          <cell r="E32">
            <v>1</v>
          </cell>
          <cell r="F32">
            <v>0</v>
          </cell>
          <cell r="G32">
            <v>0</v>
          </cell>
          <cell r="H32">
            <v>1</v>
          </cell>
          <cell r="I32">
            <v>1</v>
          </cell>
          <cell r="J32">
            <v>1</v>
          </cell>
          <cell r="K32">
            <v>1</v>
          </cell>
          <cell r="L32">
            <v>1</v>
          </cell>
          <cell r="M32">
            <v>0</v>
          </cell>
          <cell r="N32">
            <v>0</v>
          </cell>
          <cell r="O32">
            <v>1</v>
          </cell>
          <cell r="P32">
            <v>1</v>
          </cell>
          <cell r="Q32">
            <v>1</v>
          </cell>
          <cell r="R32">
            <v>1</v>
          </cell>
          <cell r="S32">
            <v>1</v>
          </cell>
          <cell r="T32">
            <v>0</v>
          </cell>
          <cell r="U32">
            <v>0</v>
          </cell>
          <cell r="V32">
            <v>1</v>
          </cell>
          <cell r="W32">
            <v>1</v>
          </cell>
          <cell r="X32">
            <v>1</v>
          </cell>
          <cell r="Y32">
            <v>1</v>
          </cell>
          <cell r="Z32">
            <v>1</v>
          </cell>
          <cell r="AA32">
            <v>0</v>
          </cell>
          <cell r="AB32">
            <v>0</v>
          </cell>
          <cell r="AC32">
            <v>1</v>
          </cell>
          <cell r="AD32">
            <v>1</v>
          </cell>
          <cell r="AE32">
            <v>1</v>
          </cell>
          <cell r="AF32">
            <v>1</v>
          </cell>
          <cell r="AG32">
            <v>0</v>
          </cell>
        </row>
        <row r="33">
          <cell r="A33" t="str">
            <v>2005/07</v>
          </cell>
          <cell r="B33">
            <v>20</v>
          </cell>
          <cell r="C33">
            <v>1</v>
          </cell>
          <cell r="D33">
            <v>0</v>
          </cell>
          <cell r="E33">
            <v>0</v>
          </cell>
          <cell r="F33">
            <v>1</v>
          </cell>
          <cell r="G33">
            <v>1</v>
          </cell>
          <cell r="H33">
            <v>1</v>
          </cell>
          <cell r="I33">
            <v>1</v>
          </cell>
          <cell r="J33">
            <v>1</v>
          </cell>
          <cell r="K33">
            <v>0</v>
          </cell>
          <cell r="L33">
            <v>0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0</v>
          </cell>
          <cell r="S33">
            <v>0</v>
          </cell>
          <cell r="T33">
            <v>0</v>
          </cell>
          <cell r="U33">
            <v>1</v>
          </cell>
          <cell r="V33">
            <v>1</v>
          </cell>
          <cell r="W33">
            <v>1</v>
          </cell>
          <cell r="X33">
            <v>1</v>
          </cell>
          <cell r="Y33">
            <v>0</v>
          </cell>
          <cell r="Z33">
            <v>0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0</v>
          </cell>
          <cell r="AG33">
            <v>0</v>
          </cell>
        </row>
        <row r="34">
          <cell r="A34" t="str">
            <v>2005/08</v>
          </cell>
          <cell r="B34">
            <v>16</v>
          </cell>
          <cell r="C34">
            <v>1</v>
          </cell>
          <cell r="D34">
            <v>1</v>
          </cell>
          <cell r="E34">
            <v>1</v>
          </cell>
          <cell r="F34">
            <v>1</v>
          </cell>
          <cell r="G34">
            <v>1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</v>
          </cell>
          <cell r="T34">
            <v>1</v>
          </cell>
          <cell r="U34">
            <v>1</v>
          </cell>
          <cell r="V34">
            <v>0</v>
          </cell>
          <cell r="W34">
            <v>0</v>
          </cell>
          <cell r="X34">
            <v>1</v>
          </cell>
          <cell r="Y34">
            <v>1</v>
          </cell>
          <cell r="Z34">
            <v>1</v>
          </cell>
          <cell r="AA34">
            <v>1</v>
          </cell>
          <cell r="AB34">
            <v>1</v>
          </cell>
          <cell r="AC34">
            <v>0</v>
          </cell>
          <cell r="AD34">
            <v>0</v>
          </cell>
          <cell r="AE34">
            <v>1</v>
          </cell>
          <cell r="AF34">
            <v>1</v>
          </cell>
          <cell r="AG34">
            <v>1</v>
          </cell>
        </row>
        <row r="35">
          <cell r="A35" t="str">
            <v>2005/09</v>
          </cell>
          <cell r="B35">
            <v>22</v>
          </cell>
          <cell r="C35">
            <v>1</v>
          </cell>
          <cell r="D35">
            <v>1</v>
          </cell>
          <cell r="E35">
            <v>0</v>
          </cell>
          <cell r="F35">
            <v>0</v>
          </cell>
          <cell r="G35">
            <v>1</v>
          </cell>
          <cell r="H35">
            <v>1</v>
          </cell>
          <cell r="I35">
            <v>1</v>
          </cell>
          <cell r="J35">
            <v>1</v>
          </cell>
          <cell r="K35">
            <v>1</v>
          </cell>
          <cell r="L35">
            <v>0</v>
          </cell>
          <cell r="M35">
            <v>0</v>
          </cell>
          <cell r="N35">
            <v>1</v>
          </cell>
          <cell r="O35">
            <v>1</v>
          </cell>
          <cell r="P35">
            <v>1</v>
          </cell>
          <cell r="Q35">
            <v>1</v>
          </cell>
          <cell r="R35">
            <v>1</v>
          </cell>
          <cell r="S35">
            <v>0</v>
          </cell>
          <cell r="T35">
            <v>0</v>
          </cell>
          <cell r="U35">
            <v>1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0</v>
          </cell>
          <cell r="AA35">
            <v>0</v>
          </cell>
          <cell r="AB35">
            <v>1</v>
          </cell>
          <cell r="AC35">
            <v>1</v>
          </cell>
          <cell r="AD35">
            <v>1</v>
          </cell>
          <cell r="AE35">
            <v>1</v>
          </cell>
          <cell r="AF35">
            <v>1</v>
          </cell>
          <cell r="AG35">
            <v>0</v>
          </cell>
        </row>
        <row r="36">
          <cell r="A36" t="str">
            <v>2005/10</v>
          </cell>
          <cell r="B36">
            <v>20</v>
          </cell>
          <cell r="C36">
            <v>0</v>
          </cell>
          <cell r="D36">
            <v>0</v>
          </cell>
          <cell r="E36">
            <v>1</v>
          </cell>
          <cell r="F36">
            <v>1</v>
          </cell>
          <cell r="G36">
            <v>1</v>
          </cell>
          <cell r="H36">
            <v>1</v>
          </cell>
          <cell r="I36">
            <v>1</v>
          </cell>
          <cell r="J36">
            <v>0</v>
          </cell>
          <cell r="K36">
            <v>0</v>
          </cell>
          <cell r="L36">
            <v>0</v>
          </cell>
          <cell r="M36">
            <v>1</v>
          </cell>
          <cell r="N36">
            <v>1</v>
          </cell>
          <cell r="O36">
            <v>1</v>
          </cell>
          <cell r="P36">
            <v>1</v>
          </cell>
          <cell r="Q36">
            <v>0</v>
          </cell>
          <cell r="R36">
            <v>0</v>
          </cell>
          <cell r="S36">
            <v>1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0</v>
          </cell>
          <cell r="Y36">
            <v>0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>
            <v>0</v>
          </cell>
          <cell r="AG36">
            <v>1</v>
          </cell>
        </row>
        <row r="37">
          <cell r="A37" t="str">
            <v>2005/11</v>
          </cell>
          <cell r="B37">
            <v>22</v>
          </cell>
          <cell r="C37">
            <v>1</v>
          </cell>
          <cell r="D37">
            <v>1</v>
          </cell>
          <cell r="E37">
            <v>1</v>
          </cell>
          <cell r="F37">
            <v>1</v>
          </cell>
          <cell r="G37">
            <v>0</v>
          </cell>
          <cell r="H37">
            <v>0</v>
          </cell>
          <cell r="I37">
            <v>1</v>
          </cell>
          <cell r="J37">
            <v>1</v>
          </cell>
          <cell r="K37">
            <v>1</v>
          </cell>
          <cell r="L37">
            <v>1</v>
          </cell>
          <cell r="M37">
            <v>1</v>
          </cell>
          <cell r="N37">
            <v>0</v>
          </cell>
          <cell r="O37">
            <v>0</v>
          </cell>
          <cell r="P37">
            <v>1</v>
          </cell>
          <cell r="Q37">
            <v>1</v>
          </cell>
          <cell r="R37">
            <v>1</v>
          </cell>
          <cell r="S37">
            <v>1</v>
          </cell>
          <cell r="T37">
            <v>1</v>
          </cell>
          <cell r="U37">
            <v>0</v>
          </cell>
          <cell r="V37">
            <v>0</v>
          </cell>
          <cell r="W37">
            <v>1</v>
          </cell>
          <cell r="X37">
            <v>1</v>
          </cell>
          <cell r="Y37">
            <v>1</v>
          </cell>
          <cell r="Z37">
            <v>1</v>
          </cell>
          <cell r="AA37">
            <v>1</v>
          </cell>
          <cell r="AB37">
            <v>0</v>
          </cell>
          <cell r="AC37">
            <v>0</v>
          </cell>
          <cell r="AD37">
            <v>1</v>
          </cell>
          <cell r="AE37">
            <v>1</v>
          </cell>
          <cell r="AF37">
            <v>1</v>
          </cell>
          <cell r="AG37">
            <v>0</v>
          </cell>
        </row>
        <row r="38">
          <cell r="A38" t="str">
            <v>2005/12</v>
          </cell>
          <cell r="B38">
            <v>20</v>
          </cell>
          <cell r="C38">
            <v>1</v>
          </cell>
          <cell r="D38">
            <v>1</v>
          </cell>
          <cell r="E38">
            <v>0</v>
          </cell>
          <cell r="F38">
            <v>0</v>
          </cell>
          <cell r="G38">
            <v>1</v>
          </cell>
          <cell r="H38">
            <v>1</v>
          </cell>
          <cell r="I38">
            <v>1</v>
          </cell>
          <cell r="J38">
            <v>1</v>
          </cell>
          <cell r="K38">
            <v>1</v>
          </cell>
          <cell r="L38">
            <v>0</v>
          </cell>
          <cell r="M38">
            <v>0</v>
          </cell>
          <cell r="N38">
            <v>1</v>
          </cell>
          <cell r="O38">
            <v>1</v>
          </cell>
          <cell r="P38">
            <v>1</v>
          </cell>
          <cell r="Q38">
            <v>1</v>
          </cell>
          <cell r="R38">
            <v>1</v>
          </cell>
          <cell r="S38">
            <v>0</v>
          </cell>
          <cell r="T38">
            <v>0</v>
          </cell>
          <cell r="U38">
            <v>1</v>
          </cell>
          <cell r="V38">
            <v>1</v>
          </cell>
          <cell r="W38">
            <v>1</v>
          </cell>
          <cell r="X38">
            <v>1</v>
          </cell>
          <cell r="Y38">
            <v>1</v>
          </cell>
          <cell r="Z38">
            <v>0</v>
          </cell>
          <cell r="AA38">
            <v>0</v>
          </cell>
          <cell r="AB38">
            <v>1</v>
          </cell>
          <cell r="AC38">
            <v>1</v>
          </cell>
          <cell r="AD38">
            <v>1</v>
          </cell>
          <cell r="AE38">
            <v>0</v>
          </cell>
          <cell r="AF38">
            <v>0</v>
          </cell>
          <cell r="AG38">
            <v>0</v>
          </cell>
        </row>
        <row r="39">
          <cell r="A39" t="str">
            <v>2006/01</v>
          </cell>
          <cell r="B39">
            <v>19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1</v>
          </cell>
          <cell r="J39">
            <v>0</v>
          </cell>
          <cell r="K39">
            <v>0</v>
          </cell>
          <cell r="L39">
            <v>1</v>
          </cell>
          <cell r="M39">
            <v>1</v>
          </cell>
          <cell r="N39">
            <v>1</v>
          </cell>
          <cell r="O39">
            <v>1</v>
          </cell>
          <cell r="P39">
            <v>0.5</v>
          </cell>
          <cell r="Q39">
            <v>0</v>
          </cell>
          <cell r="R39">
            <v>1</v>
          </cell>
          <cell r="S39">
            <v>1</v>
          </cell>
          <cell r="T39">
            <v>1</v>
          </cell>
          <cell r="U39">
            <v>1</v>
          </cell>
          <cell r="V39">
            <v>1</v>
          </cell>
          <cell r="W39">
            <v>0.5</v>
          </cell>
          <cell r="X39">
            <v>0</v>
          </cell>
          <cell r="Y39">
            <v>1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0</v>
          </cell>
          <cell r="AE39">
            <v>0</v>
          </cell>
          <cell r="AF39">
            <v>1</v>
          </cell>
          <cell r="AG39">
            <v>1</v>
          </cell>
        </row>
        <row r="40">
          <cell r="A40" t="str">
            <v>2006/02</v>
          </cell>
          <cell r="B40">
            <v>21</v>
          </cell>
          <cell r="C40">
            <v>1</v>
          </cell>
          <cell r="D40">
            <v>1</v>
          </cell>
          <cell r="E40">
            <v>1</v>
          </cell>
          <cell r="F40">
            <v>0</v>
          </cell>
          <cell r="G40">
            <v>0</v>
          </cell>
          <cell r="H40">
            <v>1</v>
          </cell>
          <cell r="I40">
            <v>1</v>
          </cell>
          <cell r="J40">
            <v>1</v>
          </cell>
          <cell r="K40">
            <v>1</v>
          </cell>
          <cell r="L40">
            <v>1</v>
          </cell>
          <cell r="M40">
            <v>0.5</v>
          </cell>
          <cell r="N40">
            <v>0</v>
          </cell>
          <cell r="O40">
            <v>1</v>
          </cell>
          <cell r="P40">
            <v>1</v>
          </cell>
          <cell r="Q40">
            <v>1</v>
          </cell>
          <cell r="R40">
            <v>1</v>
          </cell>
          <cell r="S40">
            <v>1</v>
          </cell>
          <cell r="T40">
            <v>0.5</v>
          </cell>
          <cell r="U40">
            <v>0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0</v>
          </cell>
          <cell r="AB40">
            <v>0</v>
          </cell>
          <cell r="AC40">
            <v>1</v>
          </cell>
          <cell r="AD40">
            <v>1</v>
          </cell>
          <cell r="AE40">
            <v>0</v>
          </cell>
          <cell r="AF40">
            <v>0</v>
          </cell>
          <cell r="AG40">
            <v>0</v>
          </cell>
        </row>
        <row r="41">
          <cell r="A41" t="str">
            <v>2006/03</v>
          </cell>
          <cell r="B41">
            <v>24</v>
          </cell>
          <cell r="C41">
            <v>1</v>
          </cell>
          <cell r="D41">
            <v>1</v>
          </cell>
          <cell r="E41">
            <v>1</v>
          </cell>
          <cell r="F41">
            <v>0</v>
          </cell>
          <cell r="G41">
            <v>0</v>
          </cell>
          <cell r="H41">
            <v>1</v>
          </cell>
          <cell r="I41">
            <v>1</v>
          </cell>
          <cell r="J41">
            <v>1</v>
          </cell>
          <cell r="K41">
            <v>1</v>
          </cell>
          <cell r="L41">
            <v>1</v>
          </cell>
          <cell r="M41">
            <v>0.5</v>
          </cell>
          <cell r="N41">
            <v>0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0.5</v>
          </cell>
          <cell r="U41">
            <v>0</v>
          </cell>
          <cell r="V41">
            <v>1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0</v>
          </cell>
          <cell r="AB41">
            <v>0</v>
          </cell>
          <cell r="AC41">
            <v>1</v>
          </cell>
          <cell r="AD41">
            <v>1</v>
          </cell>
          <cell r="AE41">
            <v>1</v>
          </cell>
          <cell r="AF41">
            <v>1</v>
          </cell>
          <cell r="AG41">
            <v>1</v>
          </cell>
        </row>
        <row r="42">
          <cell r="A42" t="str">
            <v>2006/04</v>
          </cell>
          <cell r="B42">
            <v>20</v>
          </cell>
          <cell r="C42">
            <v>0</v>
          </cell>
          <cell r="D42">
            <v>0</v>
          </cell>
          <cell r="E42">
            <v>1</v>
          </cell>
          <cell r="F42">
            <v>1</v>
          </cell>
          <cell r="G42">
            <v>1</v>
          </cell>
          <cell r="H42">
            <v>1</v>
          </cell>
          <cell r="I42">
            <v>1</v>
          </cell>
          <cell r="J42">
            <v>0</v>
          </cell>
          <cell r="K42">
            <v>0</v>
          </cell>
          <cell r="L42">
            <v>1</v>
          </cell>
          <cell r="M42">
            <v>1</v>
          </cell>
          <cell r="N42">
            <v>1</v>
          </cell>
          <cell r="O42">
            <v>1</v>
          </cell>
          <cell r="P42">
            <v>1</v>
          </cell>
          <cell r="Q42">
            <v>0</v>
          </cell>
          <cell r="R42">
            <v>0</v>
          </cell>
          <cell r="S42">
            <v>1</v>
          </cell>
          <cell r="T42">
            <v>1</v>
          </cell>
          <cell r="U42">
            <v>1</v>
          </cell>
          <cell r="V42">
            <v>1</v>
          </cell>
          <cell r="W42">
            <v>1</v>
          </cell>
          <cell r="X42">
            <v>0</v>
          </cell>
          <cell r="Y42">
            <v>0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E42">
            <v>0</v>
          </cell>
          <cell r="AF42">
            <v>0</v>
          </cell>
          <cell r="AG42">
            <v>0</v>
          </cell>
        </row>
        <row r="43">
          <cell r="A43" t="str">
            <v>2006/05</v>
          </cell>
          <cell r="B43">
            <v>18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1</v>
          </cell>
          <cell r="K43">
            <v>1</v>
          </cell>
          <cell r="L43">
            <v>1</v>
          </cell>
          <cell r="M43">
            <v>1</v>
          </cell>
          <cell r="N43">
            <v>1</v>
          </cell>
          <cell r="O43">
            <v>0</v>
          </cell>
          <cell r="P43">
            <v>0</v>
          </cell>
          <cell r="Q43">
            <v>1</v>
          </cell>
          <cell r="R43">
            <v>1</v>
          </cell>
          <cell r="S43">
            <v>1</v>
          </cell>
          <cell r="T43">
            <v>1</v>
          </cell>
          <cell r="U43">
            <v>1</v>
          </cell>
          <cell r="V43">
            <v>0</v>
          </cell>
          <cell r="W43">
            <v>0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  <cell r="AB43">
            <v>1</v>
          </cell>
          <cell r="AC43">
            <v>0</v>
          </cell>
          <cell r="AD43">
            <v>0</v>
          </cell>
          <cell r="AE43">
            <v>1</v>
          </cell>
          <cell r="AF43">
            <v>1</v>
          </cell>
          <cell r="AG43">
            <v>1</v>
          </cell>
        </row>
        <row r="44">
          <cell r="A44" t="str">
            <v>2006/06</v>
          </cell>
          <cell r="B44">
            <v>22</v>
          </cell>
          <cell r="C44">
            <v>1</v>
          </cell>
          <cell r="D44">
            <v>1</v>
          </cell>
          <cell r="E44">
            <v>0</v>
          </cell>
          <cell r="F44">
            <v>0</v>
          </cell>
          <cell r="G44">
            <v>1</v>
          </cell>
          <cell r="H44">
            <v>1</v>
          </cell>
          <cell r="I44">
            <v>1</v>
          </cell>
          <cell r="J44">
            <v>1</v>
          </cell>
          <cell r="K44">
            <v>1</v>
          </cell>
          <cell r="L44">
            <v>0</v>
          </cell>
          <cell r="M44">
            <v>0</v>
          </cell>
          <cell r="N44">
            <v>1</v>
          </cell>
          <cell r="O44">
            <v>1</v>
          </cell>
          <cell r="P44">
            <v>1</v>
          </cell>
          <cell r="Q44">
            <v>1</v>
          </cell>
          <cell r="R44">
            <v>1</v>
          </cell>
          <cell r="S44">
            <v>0</v>
          </cell>
          <cell r="T44">
            <v>0</v>
          </cell>
          <cell r="U44">
            <v>1</v>
          </cell>
          <cell r="V44">
            <v>1</v>
          </cell>
          <cell r="W44">
            <v>1</v>
          </cell>
          <cell r="X44">
            <v>1</v>
          </cell>
          <cell r="Y44">
            <v>1</v>
          </cell>
          <cell r="Z44">
            <v>0</v>
          </cell>
          <cell r="AA44">
            <v>0</v>
          </cell>
          <cell r="AB44">
            <v>1</v>
          </cell>
          <cell r="AC44">
            <v>1</v>
          </cell>
          <cell r="AD44">
            <v>1</v>
          </cell>
          <cell r="AE44">
            <v>1</v>
          </cell>
          <cell r="AF44">
            <v>1</v>
          </cell>
          <cell r="AG44">
            <v>0</v>
          </cell>
        </row>
        <row r="45">
          <cell r="A45" t="str">
            <v>2006/07</v>
          </cell>
          <cell r="B45">
            <v>20</v>
          </cell>
          <cell r="C45">
            <v>0</v>
          </cell>
          <cell r="D45">
            <v>0</v>
          </cell>
          <cell r="E45">
            <v>1</v>
          </cell>
          <cell r="F45">
            <v>1</v>
          </cell>
          <cell r="G45">
            <v>1</v>
          </cell>
          <cell r="H45">
            <v>1</v>
          </cell>
          <cell r="I45">
            <v>1</v>
          </cell>
          <cell r="J45">
            <v>0</v>
          </cell>
          <cell r="K45">
            <v>0</v>
          </cell>
          <cell r="L45">
            <v>1</v>
          </cell>
          <cell r="M45">
            <v>1</v>
          </cell>
          <cell r="N45">
            <v>1</v>
          </cell>
          <cell r="O45">
            <v>1</v>
          </cell>
          <cell r="P45">
            <v>1</v>
          </cell>
          <cell r="Q45">
            <v>0</v>
          </cell>
          <cell r="R45">
            <v>0</v>
          </cell>
          <cell r="S45">
            <v>0</v>
          </cell>
          <cell r="T45">
            <v>1</v>
          </cell>
          <cell r="U45">
            <v>1</v>
          </cell>
          <cell r="V45">
            <v>1</v>
          </cell>
          <cell r="W45">
            <v>1</v>
          </cell>
          <cell r="X45">
            <v>0</v>
          </cell>
          <cell r="Y45">
            <v>0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0</v>
          </cell>
          <cell r="AF45">
            <v>0</v>
          </cell>
          <cell r="AG45">
            <v>1</v>
          </cell>
        </row>
        <row r="46">
          <cell r="A46" t="str">
            <v>2006/08</v>
          </cell>
          <cell r="B46">
            <v>18</v>
          </cell>
          <cell r="C46">
            <v>1</v>
          </cell>
          <cell r="D46">
            <v>1</v>
          </cell>
          <cell r="E46">
            <v>1</v>
          </cell>
          <cell r="F46">
            <v>1</v>
          </cell>
          <cell r="G46">
            <v>0</v>
          </cell>
          <cell r="H46">
            <v>0</v>
          </cell>
          <cell r="I46">
            <v>1</v>
          </cell>
          <cell r="J46">
            <v>1</v>
          </cell>
          <cell r="K46">
            <v>1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B46">
            <v>0</v>
          </cell>
          <cell r="AC46">
            <v>0</v>
          </cell>
          <cell r="AD46">
            <v>1</v>
          </cell>
          <cell r="AE46">
            <v>1</v>
          </cell>
          <cell r="AF46">
            <v>1</v>
          </cell>
          <cell r="AG46">
            <v>1</v>
          </cell>
        </row>
        <row r="47">
          <cell r="A47" t="str">
            <v>2006/09</v>
          </cell>
          <cell r="B47">
            <v>21</v>
          </cell>
          <cell r="C47">
            <v>1</v>
          </cell>
          <cell r="D47">
            <v>0</v>
          </cell>
          <cell r="E47">
            <v>0</v>
          </cell>
          <cell r="F47">
            <v>1</v>
          </cell>
          <cell r="G47">
            <v>1</v>
          </cell>
          <cell r="H47">
            <v>1</v>
          </cell>
          <cell r="I47">
            <v>1</v>
          </cell>
          <cell r="J47">
            <v>1</v>
          </cell>
          <cell r="K47">
            <v>0</v>
          </cell>
          <cell r="L47">
            <v>0</v>
          </cell>
          <cell r="M47">
            <v>1</v>
          </cell>
          <cell r="N47">
            <v>1</v>
          </cell>
          <cell r="O47">
            <v>1</v>
          </cell>
          <cell r="P47">
            <v>1</v>
          </cell>
          <cell r="Q47">
            <v>1</v>
          </cell>
          <cell r="R47">
            <v>0</v>
          </cell>
          <cell r="S47">
            <v>0</v>
          </cell>
          <cell r="T47">
            <v>1</v>
          </cell>
          <cell r="U47">
            <v>1</v>
          </cell>
          <cell r="V47">
            <v>1</v>
          </cell>
          <cell r="W47">
            <v>1</v>
          </cell>
          <cell r="X47">
            <v>1</v>
          </cell>
          <cell r="Y47">
            <v>0</v>
          </cell>
          <cell r="Z47">
            <v>0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1</v>
          </cell>
          <cell r="AF47">
            <v>0</v>
          </cell>
          <cell r="AG47">
            <v>0</v>
          </cell>
        </row>
        <row r="48">
          <cell r="A48" t="str">
            <v>2006/10</v>
          </cell>
          <cell r="B48">
            <v>21</v>
          </cell>
          <cell r="C48">
            <v>0</v>
          </cell>
          <cell r="D48">
            <v>1</v>
          </cell>
          <cell r="E48">
            <v>1</v>
          </cell>
          <cell r="F48">
            <v>1</v>
          </cell>
          <cell r="G48">
            <v>1</v>
          </cell>
          <cell r="H48">
            <v>1</v>
          </cell>
          <cell r="I48">
            <v>0</v>
          </cell>
          <cell r="J48">
            <v>0</v>
          </cell>
          <cell r="K48">
            <v>0</v>
          </cell>
          <cell r="L48">
            <v>1</v>
          </cell>
          <cell r="M48">
            <v>1</v>
          </cell>
          <cell r="N48">
            <v>1</v>
          </cell>
          <cell r="O48">
            <v>1</v>
          </cell>
          <cell r="P48">
            <v>0</v>
          </cell>
          <cell r="Q48">
            <v>0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V48">
            <v>1</v>
          </cell>
          <cell r="W48">
            <v>0</v>
          </cell>
          <cell r="X48">
            <v>0</v>
          </cell>
          <cell r="Y48">
            <v>1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0</v>
          </cell>
          <cell r="AE48">
            <v>0</v>
          </cell>
          <cell r="AF48">
            <v>1</v>
          </cell>
          <cell r="AG48">
            <v>1</v>
          </cell>
        </row>
        <row r="49">
          <cell r="A49" t="str">
            <v>2006/11</v>
          </cell>
          <cell r="B49">
            <v>22</v>
          </cell>
          <cell r="C49">
            <v>1</v>
          </cell>
          <cell r="D49">
            <v>1</v>
          </cell>
          <cell r="E49">
            <v>1</v>
          </cell>
          <cell r="F49">
            <v>0</v>
          </cell>
          <cell r="G49">
            <v>0</v>
          </cell>
          <cell r="H49">
            <v>1</v>
          </cell>
          <cell r="I49">
            <v>1</v>
          </cell>
          <cell r="J49">
            <v>1</v>
          </cell>
          <cell r="K49">
            <v>1</v>
          </cell>
          <cell r="L49">
            <v>1</v>
          </cell>
          <cell r="M49">
            <v>0</v>
          </cell>
          <cell r="N49">
            <v>0</v>
          </cell>
          <cell r="O49">
            <v>1</v>
          </cell>
          <cell r="P49">
            <v>1</v>
          </cell>
          <cell r="Q49">
            <v>1</v>
          </cell>
          <cell r="R49">
            <v>1</v>
          </cell>
          <cell r="S49">
            <v>1</v>
          </cell>
          <cell r="T49">
            <v>0</v>
          </cell>
          <cell r="U49">
            <v>0</v>
          </cell>
          <cell r="V49">
            <v>1</v>
          </cell>
          <cell r="W49">
            <v>1</v>
          </cell>
          <cell r="X49">
            <v>1</v>
          </cell>
          <cell r="Y49">
            <v>1</v>
          </cell>
          <cell r="Z49">
            <v>1</v>
          </cell>
          <cell r="AA49">
            <v>0</v>
          </cell>
          <cell r="AB49">
            <v>0</v>
          </cell>
          <cell r="AC49">
            <v>1</v>
          </cell>
          <cell r="AD49">
            <v>1</v>
          </cell>
          <cell r="AE49">
            <v>1</v>
          </cell>
          <cell r="AF49">
            <v>1</v>
          </cell>
          <cell r="AG49">
            <v>0</v>
          </cell>
        </row>
        <row r="50">
          <cell r="A50" t="str">
            <v>2006/12</v>
          </cell>
          <cell r="B50">
            <v>19</v>
          </cell>
          <cell r="C50">
            <v>1</v>
          </cell>
          <cell r="D50">
            <v>0</v>
          </cell>
          <cell r="E50">
            <v>0</v>
          </cell>
          <cell r="F50">
            <v>1</v>
          </cell>
          <cell r="G50">
            <v>1</v>
          </cell>
          <cell r="H50">
            <v>1</v>
          </cell>
          <cell r="I50">
            <v>1</v>
          </cell>
          <cell r="J50">
            <v>1</v>
          </cell>
          <cell r="K50">
            <v>0</v>
          </cell>
          <cell r="L50">
            <v>0</v>
          </cell>
          <cell r="M50">
            <v>1</v>
          </cell>
          <cell r="N50">
            <v>1</v>
          </cell>
          <cell r="O50">
            <v>1</v>
          </cell>
          <cell r="P50">
            <v>1</v>
          </cell>
          <cell r="Q50">
            <v>1</v>
          </cell>
          <cell r="R50">
            <v>0</v>
          </cell>
          <cell r="S50">
            <v>0</v>
          </cell>
          <cell r="T50">
            <v>1</v>
          </cell>
          <cell r="U50">
            <v>1</v>
          </cell>
          <cell r="V50">
            <v>1</v>
          </cell>
          <cell r="W50">
            <v>1</v>
          </cell>
          <cell r="X50">
            <v>1</v>
          </cell>
          <cell r="Y50">
            <v>0</v>
          </cell>
          <cell r="Z50">
            <v>0</v>
          </cell>
          <cell r="AA50">
            <v>1</v>
          </cell>
          <cell r="AB50">
            <v>1</v>
          </cell>
          <cell r="AC50">
            <v>1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</row>
        <row r="51">
          <cell r="A51" t="str">
            <v>2007/01</v>
          </cell>
          <cell r="B51">
            <v>19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1</v>
          </cell>
          <cell r="K51">
            <v>1</v>
          </cell>
          <cell r="L51">
            <v>1</v>
          </cell>
          <cell r="M51">
            <v>1</v>
          </cell>
          <cell r="N51">
            <v>1</v>
          </cell>
          <cell r="O51">
            <v>0</v>
          </cell>
          <cell r="P51">
            <v>0</v>
          </cell>
          <cell r="Q51">
            <v>1</v>
          </cell>
          <cell r="R51">
            <v>1</v>
          </cell>
          <cell r="S51">
            <v>1</v>
          </cell>
          <cell r="T51">
            <v>1</v>
          </cell>
          <cell r="U51">
            <v>1</v>
          </cell>
          <cell r="V51">
            <v>0.5</v>
          </cell>
          <cell r="W51">
            <v>0</v>
          </cell>
          <cell r="X51">
            <v>1</v>
          </cell>
          <cell r="Y51">
            <v>1</v>
          </cell>
          <cell r="Z51">
            <v>1</v>
          </cell>
          <cell r="AA51">
            <v>1</v>
          </cell>
          <cell r="AB51">
            <v>1</v>
          </cell>
          <cell r="AC51">
            <v>0.5</v>
          </cell>
          <cell r="AD51">
            <v>0</v>
          </cell>
          <cell r="AE51">
            <v>1</v>
          </cell>
          <cell r="AF51">
            <v>1</v>
          </cell>
          <cell r="AG51">
            <v>1</v>
          </cell>
        </row>
        <row r="52">
          <cell r="A52" t="str">
            <v>2007/02</v>
          </cell>
          <cell r="B52">
            <v>21</v>
          </cell>
          <cell r="C52">
            <v>1</v>
          </cell>
          <cell r="D52">
            <v>1</v>
          </cell>
          <cell r="E52">
            <v>0</v>
          </cell>
          <cell r="F52">
            <v>0</v>
          </cell>
          <cell r="G52">
            <v>1</v>
          </cell>
          <cell r="H52">
            <v>1</v>
          </cell>
          <cell r="I52">
            <v>1</v>
          </cell>
          <cell r="J52">
            <v>1</v>
          </cell>
          <cell r="K52">
            <v>1</v>
          </cell>
          <cell r="L52">
            <v>0</v>
          </cell>
          <cell r="M52">
            <v>0</v>
          </cell>
          <cell r="N52">
            <v>1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>
            <v>0.5</v>
          </cell>
          <cell r="T52">
            <v>0</v>
          </cell>
          <cell r="U52">
            <v>1</v>
          </cell>
          <cell r="V52">
            <v>1</v>
          </cell>
          <cell r="W52">
            <v>1</v>
          </cell>
          <cell r="X52">
            <v>1</v>
          </cell>
          <cell r="Y52">
            <v>1</v>
          </cell>
          <cell r="Z52">
            <v>0.5</v>
          </cell>
          <cell r="AA52">
            <v>0</v>
          </cell>
          <cell r="AB52">
            <v>1</v>
          </cell>
          <cell r="AC52">
            <v>1</v>
          </cell>
          <cell r="AD52">
            <v>1</v>
          </cell>
          <cell r="AE52">
            <v>0</v>
          </cell>
          <cell r="AF52">
            <v>0</v>
          </cell>
          <cell r="AG52">
            <v>0</v>
          </cell>
        </row>
        <row r="53">
          <cell r="A53" t="str">
            <v>2007/03</v>
          </cell>
          <cell r="B53">
            <v>23</v>
          </cell>
          <cell r="C53">
            <v>1</v>
          </cell>
          <cell r="D53">
            <v>1</v>
          </cell>
          <cell r="E53">
            <v>0</v>
          </cell>
          <cell r="F53">
            <v>0</v>
          </cell>
          <cell r="G53">
            <v>1</v>
          </cell>
          <cell r="H53">
            <v>1</v>
          </cell>
          <cell r="I53">
            <v>1</v>
          </cell>
          <cell r="J53">
            <v>1</v>
          </cell>
          <cell r="K53">
            <v>1</v>
          </cell>
          <cell r="L53">
            <v>0</v>
          </cell>
          <cell r="M53">
            <v>0</v>
          </cell>
          <cell r="N53">
            <v>1</v>
          </cell>
          <cell r="O53">
            <v>1</v>
          </cell>
          <cell r="P53">
            <v>1</v>
          </cell>
          <cell r="Q53">
            <v>1</v>
          </cell>
          <cell r="R53">
            <v>1</v>
          </cell>
          <cell r="S53">
            <v>0.5</v>
          </cell>
          <cell r="T53">
            <v>0</v>
          </cell>
          <cell r="U53">
            <v>1</v>
          </cell>
          <cell r="V53">
            <v>1</v>
          </cell>
          <cell r="W53">
            <v>1</v>
          </cell>
          <cell r="X53">
            <v>1</v>
          </cell>
          <cell r="Y53">
            <v>1</v>
          </cell>
          <cell r="Z53">
            <v>0.5</v>
          </cell>
          <cell r="AA53">
            <v>0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  <cell r="AF53">
            <v>1</v>
          </cell>
          <cell r="AG53">
            <v>0</v>
          </cell>
        </row>
        <row r="54">
          <cell r="A54" t="str">
            <v>2007/04</v>
          </cell>
          <cell r="B54">
            <v>19</v>
          </cell>
          <cell r="C54">
            <v>0</v>
          </cell>
          <cell r="D54">
            <v>1</v>
          </cell>
          <cell r="E54">
            <v>1</v>
          </cell>
          <cell r="F54">
            <v>1</v>
          </cell>
          <cell r="G54">
            <v>1</v>
          </cell>
          <cell r="H54">
            <v>1</v>
          </cell>
          <cell r="I54">
            <v>0</v>
          </cell>
          <cell r="J54">
            <v>0</v>
          </cell>
          <cell r="K54">
            <v>1</v>
          </cell>
          <cell r="L54">
            <v>1</v>
          </cell>
          <cell r="M54">
            <v>1</v>
          </cell>
          <cell r="N54">
            <v>1</v>
          </cell>
          <cell r="O54">
            <v>1</v>
          </cell>
          <cell r="P54">
            <v>0</v>
          </cell>
          <cell r="Q54">
            <v>0</v>
          </cell>
          <cell r="R54">
            <v>1</v>
          </cell>
          <cell r="S54">
            <v>1</v>
          </cell>
          <cell r="T54">
            <v>1</v>
          </cell>
          <cell r="U54">
            <v>1</v>
          </cell>
          <cell r="V54">
            <v>1</v>
          </cell>
          <cell r="W54">
            <v>0</v>
          </cell>
          <cell r="X54">
            <v>0</v>
          </cell>
          <cell r="Y54">
            <v>1</v>
          </cell>
          <cell r="Z54">
            <v>1</v>
          </cell>
          <cell r="AA54">
            <v>1</v>
          </cell>
          <cell r="AB54">
            <v>1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A55" t="str">
            <v>2007/05</v>
          </cell>
          <cell r="B55">
            <v>19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1</v>
          </cell>
          <cell r="J55">
            <v>1</v>
          </cell>
          <cell r="K55">
            <v>1</v>
          </cell>
          <cell r="L55">
            <v>1</v>
          </cell>
          <cell r="M55">
            <v>1</v>
          </cell>
          <cell r="N55">
            <v>0</v>
          </cell>
          <cell r="O55">
            <v>0</v>
          </cell>
          <cell r="P55">
            <v>1</v>
          </cell>
          <cell r="Q55">
            <v>1</v>
          </cell>
          <cell r="R55">
            <v>1</v>
          </cell>
          <cell r="S55">
            <v>1</v>
          </cell>
          <cell r="T55">
            <v>1</v>
          </cell>
          <cell r="U55">
            <v>0</v>
          </cell>
          <cell r="V55">
            <v>0</v>
          </cell>
          <cell r="W55">
            <v>1</v>
          </cell>
          <cell r="X55">
            <v>1</v>
          </cell>
          <cell r="Y55">
            <v>1</v>
          </cell>
          <cell r="Z55">
            <v>1</v>
          </cell>
          <cell r="AA55">
            <v>1</v>
          </cell>
          <cell r="AB55">
            <v>0</v>
          </cell>
          <cell r="AC55">
            <v>0</v>
          </cell>
          <cell r="AD55">
            <v>1</v>
          </cell>
          <cell r="AE55">
            <v>1</v>
          </cell>
          <cell r="AF55">
            <v>1</v>
          </cell>
          <cell r="AG55">
            <v>1</v>
          </cell>
        </row>
        <row r="56">
          <cell r="A56" t="str">
            <v>2007/06</v>
          </cell>
          <cell r="B56">
            <v>21</v>
          </cell>
          <cell r="C56">
            <v>1</v>
          </cell>
          <cell r="D56">
            <v>0</v>
          </cell>
          <cell r="E56">
            <v>0</v>
          </cell>
          <cell r="F56">
            <v>1</v>
          </cell>
          <cell r="G56">
            <v>1</v>
          </cell>
          <cell r="H56">
            <v>1</v>
          </cell>
          <cell r="I56">
            <v>1</v>
          </cell>
          <cell r="J56">
            <v>1</v>
          </cell>
          <cell r="K56">
            <v>0</v>
          </cell>
          <cell r="L56">
            <v>0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R56">
            <v>0</v>
          </cell>
          <cell r="S56">
            <v>0</v>
          </cell>
          <cell r="T56">
            <v>1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0</v>
          </cell>
          <cell r="Z56">
            <v>0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0</v>
          </cell>
          <cell r="AG56">
            <v>0</v>
          </cell>
        </row>
        <row r="57">
          <cell r="A57" t="str">
            <v>2007/07</v>
          </cell>
          <cell r="B57">
            <v>21</v>
          </cell>
          <cell r="C57">
            <v>0</v>
          </cell>
          <cell r="D57">
            <v>1</v>
          </cell>
          <cell r="E57">
            <v>1</v>
          </cell>
          <cell r="F57">
            <v>1</v>
          </cell>
          <cell r="G57">
            <v>1</v>
          </cell>
          <cell r="H57">
            <v>1</v>
          </cell>
          <cell r="I57">
            <v>0</v>
          </cell>
          <cell r="J57">
            <v>0</v>
          </cell>
          <cell r="K57">
            <v>1</v>
          </cell>
          <cell r="L57">
            <v>1</v>
          </cell>
          <cell r="M57">
            <v>1</v>
          </cell>
          <cell r="N57">
            <v>1</v>
          </cell>
          <cell r="O57">
            <v>1</v>
          </cell>
          <cell r="P57">
            <v>0</v>
          </cell>
          <cell r="Q57">
            <v>0</v>
          </cell>
          <cell r="R57">
            <v>0</v>
          </cell>
          <cell r="S57">
            <v>1</v>
          </cell>
          <cell r="T57">
            <v>1</v>
          </cell>
          <cell r="U57">
            <v>1</v>
          </cell>
          <cell r="V57">
            <v>1</v>
          </cell>
          <cell r="W57">
            <v>0</v>
          </cell>
          <cell r="X57">
            <v>0</v>
          </cell>
          <cell r="Y57">
            <v>1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0</v>
          </cell>
          <cell r="AE57">
            <v>0</v>
          </cell>
          <cell r="AF57">
            <v>1</v>
          </cell>
          <cell r="AG57">
            <v>1</v>
          </cell>
        </row>
        <row r="58">
          <cell r="A58" t="str">
            <v>2007/08</v>
          </cell>
          <cell r="B58">
            <v>18</v>
          </cell>
          <cell r="C58">
            <v>1</v>
          </cell>
          <cell r="D58">
            <v>1</v>
          </cell>
          <cell r="E58">
            <v>1</v>
          </cell>
          <cell r="F58">
            <v>0</v>
          </cell>
          <cell r="G58">
            <v>0</v>
          </cell>
          <cell r="H58">
            <v>1</v>
          </cell>
          <cell r="I58">
            <v>1</v>
          </cell>
          <cell r="J58">
            <v>1</v>
          </cell>
          <cell r="K58">
            <v>1</v>
          </cell>
          <cell r="L58">
            <v>1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1</v>
          </cell>
          <cell r="W58">
            <v>1</v>
          </cell>
          <cell r="X58">
            <v>1</v>
          </cell>
          <cell r="Y58">
            <v>1</v>
          </cell>
          <cell r="Z58">
            <v>1</v>
          </cell>
          <cell r="AA58">
            <v>0</v>
          </cell>
          <cell r="AB58">
            <v>0</v>
          </cell>
          <cell r="AC58">
            <v>1</v>
          </cell>
          <cell r="AD58">
            <v>1</v>
          </cell>
          <cell r="AE58">
            <v>1</v>
          </cell>
          <cell r="AF58">
            <v>1</v>
          </cell>
          <cell r="AG58">
            <v>1</v>
          </cell>
        </row>
        <row r="59">
          <cell r="A59" t="str">
            <v>2007/09</v>
          </cell>
          <cell r="B59">
            <v>20</v>
          </cell>
          <cell r="C59">
            <v>0</v>
          </cell>
          <cell r="D59">
            <v>0</v>
          </cell>
          <cell r="E59">
            <v>1</v>
          </cell>
          <cell r="F59">
            <v>1</v>
          </cell>
          <cell r="G59">
            <v>1</v>
          </cell>
          <cell r="H59">
            <v>1</v>
          </cell>
          <cell r="I59">
            <v>1</v>
          </cell>
          <cell r="J59">
            <v>0</v>
          </cell>
          <cell r="K59">
            <v>0</v>
          </cell>
          <cell r="L59">
            <v>1</v>
          </cell>
          <cell r="M59">
            <v>1</v>
          </cell>
          <cell r="N59">
            <v>1</v>
          </cell>
          <cell r="O59">
            <v>1</v>
          </cell>
          <cell r="P59">
            <v>1</v>
          </cell>
          <cell r="Q59">
            <v>0</v>
          </cell>
          <cell r="R59">
            <v>0</v>
          </cell>
          <cell r="S59">
            <v>1</v>
          </cell>
          <cell r="T59">
            <v>1</v>
          </cell>
          <cell r="U59">
            <v>1</v>
          </cell>
          <cell r="V59">
            <v>1</v>
          </cell>
          <cell r="W59">
            <v>1</v>
          </cell>
          <cell r="X59">
            <v>0</v>
          </cell>
          <cell r="Y59">
            <v>0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0</v>
          </cell>
          <cell r="AF59">
            <v>0</v>
          </cell>
          <cell r="AG59">
            <v>0</v>
          </cell>
        </row>
        <row r="60">
          <cell r="A60" t="str">
            <v>2007/10</v>
          </cell>
          <cell r="B60">
            <v>22</v>
          </cell>
          <cell r="C60">
            <v>1</v>
          </cell>
          <cell r="D60">
            <v>1</v>
          </cell>
          <cell r="E60">
            <v>1</v>
          </cell>
          <cell r="F60">
            <v>1</v>
          </cell>
          <cell r="G60">
            <v>1</v>
          </cell>
          <cell r="H60">
            <v>0</v>
          </cell>
          <cell r="I60">
            <v>0</v>
          </cell>
          <cell r="J60">
            <v>0</v>
          </cell>
          <cell r="K60">
            <v>1</v>
          </cell>
          <cell r="L60">
            <v>1</v>
          </cell>
          <cell r="M60">
            <v>1</v>
          </cell>
          <cell r="N60">
            <v>1</v>
          </cell>
          <cell r="O60">
            <v>0</v>
          </cell>
          <cell r="P60">
            <v>0</v>
          </cell>
          <cell r="Q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V60">
            <v>0</v>
          </cell>
          <cell r="W60">
            <v>0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0</v>
          </cell>
          <cell r="AD60">
            <v>0</v>
          </cell>
          <cell r="AE60">
            <v>1</v>
          </cell>
          <cell r="AF60">
            <v>1</v>
          </cell>
          <cell r="AG60">
            <v>1</v>
          </cell>
        </row>
        <row r="61">
          <cell r="A61" t="str">
            <v>2007/11</v>
          </cell>
          <cell r="B61">
            <v>21</v>
          </cell>
          <cell r="C61">
            <v>1</v>
          </cell>
          <cell r="D61">
            <v>1</v>
          </cell>
          <cell r="E61">
            <v>0</v>
          </cell>
          <cell r="F61">
            <v>0</v>
          </cell>
          <cell r="G61">
            <v>1</v>
          </cell>
          <cell r="H61">
            <v>1</v>
          </cell>
          <cell r="I61">
            <v>1</v>
          </cell>
          <cell r="J61">
            <v>1</v>
          </cell>
          <cell r="K61">
            <v>1</v>
          </cell>
          <cell r="L61">
            <v>0</v>
          </cell>
          <cell r="M61">
            <v>0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0</v>
          </cell>
          <cell r="T61">
            <v>0</v>
          </cell>
          <cell r="U61">
            <v>1</v>
          </cell>
          <cell r="V61">
            <v>1</v>
          </cell>
          <cell r="W61">
            <v>1</v>
          </cell>
          <cell r="X61">
            <v>1</v>
          </cell>
          <cell r="Y61">
            <v>0</v>
          </cell>
          <cell r="Z61">
            <v>0</v>
          </cell>
          <cell r="AA61">
            <v>0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F61">
            <v>1</v>
          </cell>
          <cell r="AG61">
            <v>0</v>
          </cell>
        </row>
        <row r="62">
          <cell r="A62" t="str">
            <v>2007/12</v>
          </cell>
          <cell r="B62">
            <v>19</v>
          </cell>
          <cell r="C62">
            <v>0</v>
          </cell>
          <cell r="D62">
            <v>0</v>
          </cell>
          <cell r="E62">
            <v>1</v>
          </cell>
          <cell r="F62">
            <v>1</v>
          </cell>
          <cell r="G62">
            <v>1</v>
          </cell>
          <cell r="H62">
            <v>1</v>
          </cell>
          <cell r="I62">
            <v>1</v>
          </cell>
          <cell r="J62">
            <v>0</v>
          </cell>
          <cell r="K62">
            <v>0</v>
          </cell>
          <cell r="L62">
            <v>1</v>
          </cell>
          <cell r="M62">
            <v>1</v>
          </cell>
          <cell r="N62">
            <v>1</v>
          </cell>
          <cell r="O62">
            <v>1</v>
          </cell>
          <cell r="P62">
            <v>1</v>
          </cell>
          <cell r="Q62">
            <v>0</v>
          </cell>
          <cell r="R62">
            <v>0</v>
          </cell>
          <cell r="S62">
            <v>1</v>
          </cell>
          <cell r="T62">
            <v>1</v>
          </cell>
          <cell r="U62">
            <v>1</v>
          </cell>
          <cell r="V62">
            <v>1</v>
          </cell>
          <cell r="W62">
            <v>1</v>
          </cell>
          <cell r="X62">
            <v>0</v>
          </cell>
          <cell r="Y62">
            <v>0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</row>
        <row r="63">
          <cell r="A63" t="str">
            <v>2008/01</v>
          </cell>
          <cell r="B63">
            <v>20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1</v>
          </cell>
          <cell r="J63">
            <v>1</v>
          </cell>
          <cell r="K63">
            <v>1</v>
          </cell>
          <cell r="L63">
            <v>1</v>
          </cell>
          <cell r="M63">
            <v>1</v>
          </cell>
          <cell r="N63">
            <v>0</v>
          </cell>
          <cell r="O63">
            <v>0</v>
          </cell>
          <cell r="P63">
            <v>1</v>
          </cell>
          <cell r="Q63">
            <v>1</v>
          </cell>
          <cell r="R63">
            <v>1</v>
          </cell>
          <cell r="S63">
            <v>1</v>
          </cell>
          <cell r="T63">
            <v>1</v>
          </cell>
          <cell r="U63">
            <v>0.5</v>
          </cell>
          <cell r="V63">
            <v>0</v>
          </cell>
          <cell r="W63">
            <v>1</v>
          </cell>
          <cell r="X63">
            <v>1</v>
          </cell>
          <cell r="Y63">
            <v>1</v>
          </cell>
          <cell r="Z63">
            <v>1</v>
          </cell>
          <cell r="AA63">
            <v>1</v>
          </cell>
          <cell r="AB63">
            <v>0.5</v>
          </cell>
          <cell r="AC63">
            <v>0</v>
          </cell>
          <cell r="AD63">
            <v>1</v>
          </cell>
          <cell r="AE63">
            <v>1</v>
          </cell>
          <cell r="AF63">
            <v>1</v>
          </cell>
          <cell r="AG63">
            <v>1</v>
          </cell>
        </row>
        <row r="64">
          <cell r="A64" t="str">
            <v>2008/02</v>
          </cell>
          <cell r="B64">
            <v>22</v>
          </cell>
          <cell r="C64">
            <v>1</v>
          </cell>
          <cell r="D64">
            <v>0</v>
          </cell>
          <cell r="E64">
            <v>0</v>
          </cell>
          <cell r="F64">
            <v>1</v>
          </cell>
          <cell r="G64">
            <v>1</v>
          </cell>
          <cell r="H64">
            <v>1</v>
          </cell>
          <cell r="I64">
            <v>1</v>
          </cell>
          <cell r="J64">
            <v>1</v>
          </cell>
          <cell r="K64">
            <v>0</v>
          </cell>
          <cell r="L64">
            <v>0</v>
          </cell>
          <cell r="M64">
            <v>1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0.5</v>
          </cell>
          <cell r="S64">
            <v>0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>
            <v>1</v>
          </cell>
          <cell r="Y64">
            <v>0.5</v>
          </cell>
          <cell r="Z64">
            <v>0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E64">
            <v>1</v>
          </cell>
          <cell r="AF64">
            <v>0</v>
          </cell>
          <cell r="AG64">
            <v>0</v>
          </cell>
        </row>
        <row r="65">
          <cell r="A65" t="str">
            <v>2008/03</v>
          </cell>
          <cell r="B65">
            <v>22</v>
          </cell>
          <cell r="C65">
            <v>0</v>
          </cell>
          <cell r="D65">
            <v>0</v>
          </cell>
          <cell r="E65">
            <v>1</v>
          </cell>
          <cell r="F65">
            <v>1</v>
          </cell>
          <cell r="G65">
            <v>1</v>
          </cell>
          <cell r="H65">
            <v>1</v>
          </cell>
          <cell r="I65">
            <v>1</v>
          </cell>
          <cell r="J65">
            <v>0</v>
          </cell>
          <cell r="K65">
            <v>0</v>
          </cell>
          <cell r="L65">
            <v>1</v>
          </cell>
          <cell r="M65">
            <v>1</v>
          </cell>
          <cell r="N65">
            <v>1</v>
          </cell>
          <cell r="O65">
            <v>1</v>
          </cell>
          <cell r="P65">
            <v>1</v>
          </cell>
          <cell r="Q65">
            <v>0.5</v>
          </cell>
          <cell r="R65">
            <v>0</v>
          </cell>
          <cell r="S65">
            <v>1</v>
          </cell>
          <cell r="T65">
            <v>1</v>
          </cell>
          <cell r="U65">
            <v>1</v>
          </cell>
          <cell r="V65">
            <v>1</v>
          </cell>
          <cell r="W65">
            <v>1</v>
          </cell>
          <cell r="X65">
            <v>0.5</v>
          </cell>
          <cell r="Y65">
            <v>0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0</v>
          </cell>
          <cell r="AF65">
            <v>0</v>
          </cell>
          <cell r="AG65">
            <v>1</v>
          </cell>
        </row>
        <row r="66">
          <cell r="A66" t="str">
            <v>2008/04</v>
          </cell>
          <cell r="B66">
            <v>19</v>
          </cell>
          <cell r="C66">
            <v>1</v>
          </cell>
          <cell r="D66">
            <v>1</v>
          </cell>
          <cell r="E66">
            <v>1</v>
          </cell>
          <cell r="F66">
            <v>1</v>
          </cell>
          <cell r="G66">
            <v>0</v>
          </cell>
          <cell r="H66">
            <v>0</v>
          </cell>
          <cell r="I66">
            <v>1</v>
          </cell>
          <cell r="J66">
            <v>1</v>
          </cell>
          <cell r="K66">
            <v>1</v>
          </cell>
          <cell r="L66">
            <v>1</v>
          </cell>
          <cell r="M66">
            <v>1</v>
          </cell>
          <cell r="N66">
            <v>0</v>
          </cell>
          <cell r="O66">
            <v>0</v>
          </cell>
          <cell r="P66">
            <v>1</v>
          </cell>
          <cell r="Q66">
            <v>1</v>
          </cell>
          <cell r="R66">
            <v>1</v>
          </cell>
          <cell r="S66">
            <v>1</v>
          </cell>
          <cell r="T66">
            <v>1</v>
          </cell>
          <cell r="U66">
            <v>0</v>
          </cell>
          <cell r="V66">
            <v>0</v>
          </cell>
          <cell r="W66">
            <v>1</v>
          </cell>
          <cell r="X66">
            <v>1</v>
          </cell>
          <cell r="Y66">
            <v>1</v>
          </cell>
          <cell r="Z66">
            <v>1</v>
          </cell>
          <cell r="AA66">
            <v>1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7">
          <cell r="A67" t="str">
            <v>2008/05</v>
          </cell>
          <cell r="B67">
            <v>19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1</v>
          </cell>
          <cell r="I67">
            <v>1</v>
          </cell>
          <cell r="J67">
            <v>1</v>
          </cell>
          <cell r="K67">
            <v>1</v>
          </cell>
          <cell r="L67">
            <v>0</v>
          </cell>
          <cell r="M67">
            <v>0</v>
          </cell>
          <cell r="N67">
            <v>1</v>
          </cell>
          <cell r="O67">
            <v>1</v>
          </cell>
          <cell r="P67">
            <v>1</v>
          </cell>
          <cell r="Q67">
            <v>1</v>
          </cell>
          <cell r="R67">
            <v>1</v>
          </cell>
          <cell r="S67">
            <v>0</v>
          </cell>
          <cell r="T67">
            <v>0</v>
          </cell>
          <cell r="U67">
            <v>1</v>
          </cell>
          <cell r="V67">
            <v>1</v>
          </cell>
          <cell r="W67">
            <v>1</v>
          </cell>
          <cell r="X67">
            <v>1</v>
          </cell>
          <cell r="Y67">
            <v>1</v>
          </cell>
          <cell r="Z67">
            <v>0</v>
          </cell>
          <cell r="AA67">
            <v>0</v>
          </cell>
          <cell r="AB67">
            <v>1</v>
          </cell>
          <cell r="AC67">
            <v>1</v>
          </cell>
          <cell r="AD67">
            <v>1</v>
          </cell>
          <cell r="AE67">
            <v>1</v>
          </cell>
          <cell r="AF67">
            <v>1</v>
          </cell>
          <cell r="AG67">
            <v>0</v>
          </cell>
        </row>
        <row r="68">
          <cell r="A68" t="str">
            <v>2008/06</v>
          </cell>
          <cell r="B68">
            <v>21</v>
          </cell>
          <cell r="C68">
            <v>0</v>
          </cell>
          <cell r="D68">
            <v>1</v>
          </cell>
          <cell r="E68">
            <v>1</v>
          </cell>
          <cell r="F68">
            <v>1</v>
          </cell>
          <cell r="G68">
            <v>1</v>
          </cell>
          <cell r="H68">
            <v>1</v>
          </cell>
          <cell r="I68">
            <v>0</v>
          </cell>
          <cell r="J68">
            <v>0</v>
          </cell>
          <cell r="K68">
            <v>1</v>
          </cell>
          <cell r="L68">
            <v>1</v>
          </cell>
          <cell r="M68">
            <v>1</v>
          </cell>
          <cell r="N68">
            <v>1</v>
          </cell>
          <cell r="O68">
            <v>1</v>
          </cell>
          <cell r="P68">
            <v>0</v>
          </cell>
          <cell r="Q68">
            <v>0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V68">
            <v>1</v>
          </cell>
          <cell r="W68">
            <v>0</v>
          </cell>
          <cell r="X68">
            <v>0</v>
          </cell>
          <cell r="Y68">
            <v>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0</v>
          </cell>
          <cell r="AE68">
            <v>0</v>
          </cell>
          <cell r="AF68">
            <v>1</v>
          </cell>
          <cell r="AG68">
            <v>0</v>
          </cell>
        </row>
        <row r="69">
          <cell r="A69" t="str">
            <v>2008/07</v>
          </cell>
          <cell r="B69">
            <v>22</v>
          </cell>
          <cell r="C69">
            <v>1</v>
          </cell>
          <cell r="D69">
            <v>1</v>
          </cell>
          <cell r="E69">
            <v>1</v>
          </cell>
          <cell r="F69">
            <v>1</v>
          </cell>
          <cell r="G69">
            <v>0</v>
          </cell>
          <cell r="H69">
            <v>0</v>
          </cell>
          <cell r="I69">
            <v>1</v>
          </cell>
          <cell r="J69">
            <v>1</v>
          </cell>
          <cell r="K69">
            <v>1</v>
          </cell>
          <cell r="L69">
            <v>1</v>
          </cell>
          <cell r="M69">
            <v>1</v>
          </cell>
          <cell r="N69">
            <v>0</v>
          </cell>
          <cell r="O69">
            <v>0</v>
          </cell>
          <cell r="P69">
            <v>1</v>
          </cell>
          <cell r="Q69">
            <v>1</v>
          </cell>
          <cell r="R69">
            <v>1</v>
          </cell>
          <cell r="S69">
            <v>1</v>
          </cell>
          <cell r="T69">
            <v>1</v>
          </cell>
          <cell r="U69">
            <v>0</v>
          </cell>
          <cell r="V69">
            <v>0</v>
          </cell>
          <cell r="W69">
            <v>0</v>
          </cell>
          <cell r="X69">
            <v>1</v>
          </cell>
          <cell r="Y69">
            <v>1</v>
          </cell>
          <cell r="Z69">
            <v>1</v>
          </cell>
          <cell r="AA69">
            <v>1</v>
          </cell>
          <cell r="AB69">
            <v>0</v>
          </cell>
          <cell r="AC69">
            <v>0</v>
          </cell>
          <cell r="AD69">
            <v>1</v>
          </cell>
          <cell r="AE69">
            <v>1</v>
          </cell>
          <cell r="AF69">
            <v>1</v>
          </cell>
          <cell r="AG69">
            <v>1</v>
          </cell>
        </row>
        <row r="70">
          <cell r="A70" t="str">
            <v>2008/08</v>
          </cell>
          <cell r="B70">
            <v>16</v>
          </cell>
          <cell r="C70">
            <v>1</v>
          </cell>
          <cell r="D70">
            <v>0</v>
          </cell>
          <cell r="E70">
            <v>0</v>
          </cell>
          <cell r="F70">
            <v>1</v>
          </cell>
          <cell r="G70">
            <v>1</v>
          </cell>
          <cell r="H70">
            <v>1</v>
          </cell>
          <cell r="I70">
            <v>1</v>
          </cell>
          <cell r="J70">
            <v>1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</v>
          </cell>
          <cell r="Y70">
            <v>0</v>
          </cell>
          <cell r="Z70">
            <v>0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F70">
            <v>0</v>
          </cell>
          <cell r="AG70">
            <v>0</v>
          </cell>
        </row>
        <row r="71">
          <cell r="A71" t="str">
            <v>2008/09</v>
          </cell>
          <cell r="B71">
            <v>22</v>
          </cell>
          <cell r="C71">
            <v>1</v>
          </cell>
          <cell r="D71">
            <v>1</v>
          </cell>
          <cell r="E71">
            <v>1</v>
          </cell>
          <cell r="F71">
            <v>1</v>
          </cell>
          <cell r="G71">
            <v>1</v>
          </cell>
          <cell r="H71">
            <v>0</v>
          </cell>
          <cell r="I71">
            <v>0</v>
          </cell>
          <cell r="J71">
            <v>1</v>
          </cell>
          <cell r="K71">
            <v>1</v>
          </cell>
          <cell r="L71">
            <v>1</v>
          </cell>
          <cell r="M71">
            <v>1</v>
          </cell>
          <cell r="N71">
            <v>1</v>
          </cell>
          <cell r="O71">
            <v>0</v>
          </cell>
          <cell r="P71">
            <v>0</v>
          </cell>
          <cell r="Q71">
            <v>1</v>
          </cell>
          <cell r="R71">
            <v>1</v>
          </cell>
          <cell r="S71">
            <v>1</v>
          </cell>
          <cell r="T71">
            <v>1</v>
          </cell>
          <cell r="U71">
            <v>1</v>
          </cell>
          <cell r="V71">
            <v>0</v>
          </cell>
          <cell r="W71">
            <v>0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B71">
            <v>1</v>
          </cell>
          <cell r="AC71">
            <v>0</v>
          </cell>
          <cell r="AD71">
            <v>0</v>
          </cell>
          <cell r="AE71">
            <v>1</v>
          </cell>
          <cell r="AF71">
            <v>1</v>
          </cell>
          <cell r="AG71">
            <v>0</v>
          </cell>
        </row>
        <row r="72">
          <cell r="A72" t="str">
            <v>2008/10</v>
          </cell>
          <cell r="B72">
            <v>22</v>
          </cell>
          <cell r="C72">
            <v>1</v>
          </cell>
          <cell r="D72">
            <v>1</v>
          </cell>
          <cell r="E72">
            <v>1</v>
          </cell>
          <cell r="F72">
            <v>0</v>
          </cell>
          <cell r="G72">
            <v>0</v>
          </cell>
          <cell r="H72">
            <v>1</v>
          </cell>
          <cell r="I72">
            <v>1</v>
          </cell>
          <cell r="J72">
            <v>1</v>
          </cell>
          <cell r="K72">
            <v>1</v>
          </cell>
          <cell r="L72">
            <v>1</v>
          </cell>
          <cell r="M72">
            <v>0</v>
          </cell>
          <cell r="N72">
            <v>0</v>
          </cell>
          <cell r="O72">
            <v>0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0</v>
          </cell>
          <cell r="U72">
            <v>0</v>
          </cell>
          <cell r="V72">
            <v>1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0</v>
          </cell>
          <cell r="AB72">
            <v>0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</row>
        <row r="73">
          <cell r="A73" t="str">
            <v>2008/11</v>
          </cell>
          <cell r="B73">
            <v>20</v>
          </cell>
          <cell r="C73">
            <v>0</v>
          </cell>
          <cell r="D73">
            <v>0</v>
          </cell>
          <cell r="E73">
            <v>1</v>
          </cell>
          <cell r="F73">
            <v>1</v>
          </cell>
          <cell r="G73">
            <v>1</v>
          </cell>
          <cell r="H73">
            <v>1</v>
          </cell>
          <cell r="I73">
            <v>1</v>
          </cell>
          <cell r="J73">
            <v>0</v>
          </cell>
          <cell r="K73">
            <v>0</v>
          </cell>
          <cell r="L73">
            <v>1</v>
          </cell>
          <cell r="M73">
            <v>1</v>
          </cell>
          <cell r="N73">
            <v>1</v>
          </cell>
          <cell r="O73">
            <v>1</v>
          </cell>
          <cell r="P73">
            <v>1</v>
          </cell>
          <cell r="Q73">
            <v>0</v>
          </cell>
          <cell r="R73">
            <v>0</v>
          </cell>
          <cell r="S73">
            <v>1</v>
          </cell>
          <cell r="T73">
            <v>1</v>
          </cell>
          <cell r="U73">
            <v>1</v>
          </cell>
          <cell r="V73">
            <v>1</v>
          </cell>
          <cell r="W73">
            <v>1</v>
          </cell>
          <cell r="X73">
            <v>0</v>
          </cell>
          <cell r="Y73">
            <v>0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0</v>
          </cell>
          <cell r="AF73">
            <v>0</v>
          </cell>
          <cell r="AG73">
            <v>0</v>
          </cell>
        </row>
        <row r="74">
          <cell r="A74" t="str">
            <v>2008/12</v>
          </cell>
          <cell r="B74">
            <v>19</v>
          </cell>
          <cell r="C74">
            <v>1</v>
          </cell>
          <cell r="D74">
            <v>1</v>
          </cell>
          <cell r="E74">
            <v>1</v>
          </cell>
          <cell r="F74">
            <v>1</v>
          </cell>
          <cell r="G74">
            <v>1</v>
          </cell>
          <cell r="H74">
            <v>0</v>
          </cell>
          <cell r="I74">
            <v>0</v>
          </cell>
          <cell r="J74">
            <v>1</v>
          </cell>
          <cell r="K74">
            <v>1</v>
          </cell>
          <cell r="L74">
            <v>1</v>
          </cell>
          <cell r="M74">
            <v>1</v>
          </cell>
          <cell r="N74">
            <v>1</v>
          </cell>
          <cell r="O74">
            <v>0</v>
          </cell>
          <cell r="P74">
            <v>0</v>
          </cell>
          <cell r="Q74">
            <v>1</v>
          </cell>
          <cell r="R74">
            <v>1</v>
          </cell>
          <cell r="S74">
            <v>1</v>
          </cell>
          <cell r="T74">
            <v>1</v>
          </cell>
          <cell r="U74">
            <v>1</v>
          </cell>
          <cell r="V74">
            <v>0</v>
          </cell>
          <cell r="W74">
            <v>0</v>
          </cell>
          <cell r="X74">
            <v>1</v>
          </cell>
          <cell r="Y74">
            <v>1</v>
          </cell>
          <cell r="Z74">
            <v>1</v>
          </cell>
          <cell r="AA74">
            <v>1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</row>
        <row r="75">
          <cell r="A75" t="str">
            <v>2009/01</v>
          </cell>
          <cell r="B75">
            <v>18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1</v>
          </cell>
          <cell r="I75">
            <v>1</v>
          </cell>
          <cell r="J75">
            <v>1</v>
          </cell>
          <cell r="K75">
            <v>1</v>
          </cell>
          <cell r="L75">
            <v>0</v>
          </cell>
          <cell r="M75">
            <v>0</v>
          </cell>
          <cell r="N75">
            <v>1</v>
          </cell>
          <cell r="O75">
            <v>1</v>
          </cell>
          <cell r="P75">
            <v>1</v>
          </cell>
          <cell r="Q75">
            <v>1</v>
          </cell>
          <cell r="R75">
            <v>1</v>
          </cell>
          <cell r="S75">
            <v>0</v>
          </cell>
          <cell r="T75">
            <v>0</v>
          </cell>
          <cell r="U75">
            <v>1</v>
          </cell>
          <cell r="V75">
            <v>1</v>
          </cell>
          <cell r="W75">
            <v>1</v>
          </cell>
          <cell r="X75">
            <v>1</v>
          </cell>
          <cell r="Y75">
            <v>1</v>
          </cell>
          <cell r="Z75">
            <v>0</v>
          </cell>
          <cell r="AA75">
            <v>0</v>
          </cell>
          <cell r="AB75">
            <v>1</v>
          </cell>
          <cell r="AC75">
            <v>1</v>
          </cell>
          <cell r="AD75">
            <v>1</v>
          </cell>
          <cell r="AE75">
            <v>1</v>
          </cell>
          <cell r="AF75">
            <v>0</v>
          </cell>
          <cell r="AG75">
            <v>0</v>
          </cell>
        </row>
        <row r="76">
          <cell r="A76" t="str">
            <v>2009/02</v>
          </cell>
          <cell r="B76">
            <v>17</v>
          </cell>
          <cell r="C76">
            <v>0</v>
          </cell>
          <cell r="D76">
            <v>1</v>
          </cell>
          <cell r="E76">
            <v>1</v>
          </cell>
          <cell r="F76">
            <v>1</v>
          </cell>
          <cell r="G76">
            <v>1</v>
          </cell>
          <cell r="H76">
            <v>0</v>
          </cell>
          <cell r="I76">
            <v>0</v>
          </cell>
          <cell r="J76">
            <v>0</v>
          </cell>
          <cell r="K76">
            <v>1</v>
          </cell>
          <cell r="L76">
            <v>1</v>
          </cell>
          <cell r="M76">
            <v>1</v>
          </cell>
          <cell r="N76">
            <v>1</v>
          </cell>
          <cell r="O76">
            <v>0</v>
          </cell>
          <cell r="P76">
            <v>0</v>
          </cell>
          <cell r="Q76">
            <v>0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V76">
            <v>0</v>
          </cell>
          <cell r="W76">
            <v>0</v>
          </cell>
          <cell r="X76">
            <v>0</v>
          </cell>
          <cell r="Y76">
            <v>1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</row>
        <row r="77">
          <cell r="A77" t="str">
            <v>2009/03</v>
          </cell>
          <cell r="B77">
            <v>19</v>
          </cell>
          <cell r="C77">
            <v>0</v>
          </cell>
          <cell r="D77">
            <v>0</v>
          </cell>
          <cell r="E77">
            <v>1</v>
          </cell>
          <cell r="F77">
            <v>1</v>
          </cell>
          <cell r="G77">
            <v>1</v>
          </cell>
          <cell r="H77">
            <v>1</v>
          </cell>
          <cell r="I77">
            <v>0</v>
          </cell>
          <cell r="J77">
            <v>0</v>
          </cell>
          <cell r="K77">
            <v>1</v>
          </cell>
          <cell r="L77">
            <v>1</v>
          </cell>
          <cell r="M77">
            <v>1</v>
          </cell>
          <cell r="N77">
            <v>1</v>
          </cell>
          <cell r="O77">
            <v>0</v>
          </cell>
          <cell r="P77">
            <v>0</v>
          </cell>
          <cell r="Q77">
            <v>0</v>
          </cell>
          <cell r="R77">
            <v>1</v>
          </cell>
          <cell r="S77">
            <v>1</v>
          </cell>
          <cell r="T77">
            <v>1</v>
          </cell>
          <cell r="U77">
            <v>1</v>
          </cell>
          <cell r="V77">
            <v>0</v>
          </cell>
          <cell r="W77">
            <v>0</v>
          </cell>
          <cell r="X77">
            <v>0</v>
          </cell>
          <cell r="Y77">
            <v>1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0</v>
          </cell>
          <cell r="AE77">
            <v>0</v>
          </cell>
          <cell r="AF77">
            <v>1</v>
          </cell>
          <cell r="AG77">
            <v>1</v>
          </cell>
        </row>
        <row r="78">
          <cell r="A78" t="str">
            <v>2009/04</v>
          </cell>
          <cell r="B78">
            <v>20</v>
          </cell>
          <cell r="C78">
            <v>1</v>
          </cell>
          <cell r="D78">
            <v>1</v>
          </cell>
          <cell r="E78">
            <v>1</v>
          </cell>
          <cell r="F78">
            <v>0</v>
          </cell>
          <cell r="G78">
            <v>0</v>
          </cell>
          <cell r="H78">
            <v>1</v>
          </cell>
          <cell r="I78">
            <v>1</v>
          </cell>
          <cell r="J78">
            <v>1</v>
          </cell>
          <cell r="K78">
            <v>1</v>
          </cell>
          <cell r="L78">
            <v>1</v>
          </cell>
          <cell r="M78">
            <v>0</v>
          </cell>
          <cell r="N78">
            <v>0</v>
          </cell>
          <cell r="O78">
            <v>1</v>
          </cell>
          <cell r="P78">
            <v>1</v>
          </cell>
          <cell r="Q78">
            <v>1</v>
          </cell>
          <cell r="R78">
            <v>1</v>
          </cell>
          <cell r="S78">
            <v>1</v>
          </cell>
          <cell r="T78">
            <v>0</v>
          </cell>
          <cell r="U78">
            <v>0</v>
          </cell>
          <cell r="V78">
            <v>1</v>
          </cell>
          <cell r="W78">
            <v>1</v>
          </cell>
          <cell r="X78">
            <v>1</v>
          </cell>
          <cell r="Y78">
            <v>1</v>
          </cell>
          <cell r="Z78">
            <v>1</v>
          </cell>
          <cell r="AA78">
            <v>0</v>
          </cell>
          <cell r="AB78">
            <v>0</v>
          </cell>
          <cell r="AC78">
            <v>1</v>
          </cell>
          <cell r="AD78">
            <v>1</v>
          </cell>
          <cell r="AE78">
            <v>0</v>
          </cell>
          <cell r="AF78">
            <v>0</v>
          </cell>
          <cell r="AG78">
            <v>0</v>
          </cell>
        </row>
        <row r="79">
          <cell r="A79" t="str">
            <v>2009/05</v>
          </cell>
          <cell r="B79">
            <v>18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1</v>
          </cell>
          <cell r="I79">
            <v>1</v>
          </cell>
          <cell r="J79">
            <v>1</v>
          </cell>
          <cell r="K79">
            <v>0</v>
          </cell>
          <cell r="L79">
            <v>0</v>
          </cell>
          <cell r="M79">
            <v>1</v>
          </cell>
          <cell r="N79">
            <v>1</v>
          </cell>
          <cell r="O79">
            <v>1</v>
          </cell>
          <cell r="P79">
            <v>1</v>
          </cell>
          <cell r="Q79">
            <v>1</v>
          </cell>
          <cell r="R79">
            <v>0</v>
          </cell>
          <cell r="S79">
            <v>0</v>
          </cell>
          <cell r="T79">
            <v>1</v>
          </cell>
          <cell r="U79">
            <v>1</v>
          </cell>
          <cell r="V79">
            <v>1</v>
          </cell>
          <cell r="W79">
            <v>1</v>
          </cell>
          <cell r="X79">
            <v>1</v>
          </cell>
          <cell r="Y79">
            <v>0</v>
          </cell>
          <cell r="Z79">
            <v>0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  <cell r="AF79">
            <v>0</v>
          </cell>
          <cell r="AG79">
            <v>0</v>
          </cell>
        </row>
        <row r="80">
          <cell r="A80" t="str">
            <v>2009/06</v>
          </cell>
          <cell r="B80">
            <v>22</v>
          </cell>
          <cell r="C80">
            <v>1</v>
          </cell>
          <cell r="D80">
            <v>1</v>
          </cell>
          <cell r="E80">
            <v>1</v>
          </cell>
          <cell r="F80">
            <v>1</v>
          </cell>
          <cell r="G80">
            <v>1</v>
          </cell>
          <cell r="H80">
            <v>0</v>
          </cell>
          <cell r="I80">
            <v>0</v>
          </cell>
          <cell r="J80">
            <v>1</v>
          </cell>
          <cell r="K80">
            <v>1</v>
          </cell>
          <cell r="L80">
            <v>1</v>
          </cell>
          <cell r="M80">
            <v>1</v>
          </cell>
          <cell r="N80">
            <v>1</v>
          </cell>
          <cell r="O80">
            <v>0</v>
          </cell>
          <cell r="P80">
            <v>0</v>
          </cell>
          <cell r="Q80">
            <v>1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  <cell r="V80">
            <v>0</v>
          </cell>
          <cell r="W80">
            <v>0</v>
          </cell>
          <cell r="X80">
            <v>1</v>
          </cell>
          <cell r="Y80">
            <v>1</v>
          </cell>
          <cell r="Z80">
            <v>1</v>
          </cell>
          <cell r="AA80">
            <v>1</v>
          </cell>
          <cell r="AB80">
            <v>1</v>
          </cell>
          <cell r="AC80">
            <v>0</v>
          </cell>
          <cell r="AD80">
            <v>0</v>
          </cell>
          <cell r="AE80">
            <v>1</v>
          </cell>
          <cell r="AF80">
            <v>1</v>
          </cell>
          <cell r="AG80">
            <v>0</v>
          </cell>
        </row>
        <row r="81">
          <cell r="A81" t="str">
            <v>2009/07</v>
          </cell>
          <cell r="B81">
            <v>22</v>
          </cell>
          <cell r="C81">
            <v>1</v>
          </cell>
          <cell r="D81">
            <v>1</v>
          </cell>
          <cell r="E81">
            <v>1</v>
          </cell>
          <cell r="F81">
            <v>0</v>
          </cell>
          <cell r="G81">
            <v>0</v>
          </cell>
          <cell r="H81">
            <v>1</v>
          </cell>
          <cell r="I81">
            <v>1</v>
          </cell>
          <cell r="J81">
            <v>1</v>
          </cell>
          <cell r="K81">
            <v>1</v>
          </cell>
          <cell r="L81">
            <v>1</v>
          </cell>
          <cell r="M81">
            <v>0</v>
          </cell>
          <cell r="N81">
            <v>0</v>
          </cell>
          <cell r="O81">
            <v>1</v>
          </cell>
          <cell r="P81">
            <v>1</v>
          </cell>
          <cell r="Q81">
            <v>1</v>
          </cell>
          <cell r="R81">
            <v>1</v>
          </cell>
          <cell r="S81">
            <v>1</v>
          </cell>
          <cell r="T81">
            <v>0</v>
          </cell>
          <cell r="U81">
            <v>0</v>
          </cell>
          <cell r="V81">
            <v>0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0</v>
          </cell>
          <cell r="AB81">
            <v>0</v>
          </cell>
          <cell r="AC81">
            <v>1</v>
          </cell>
          <cell r="AD81">
            <v>1</v>
          </cell>
          <cell r="AE81">
            <v>1</v>
          </cell>
          <cell r="AF81">
            <v>1</v>
          </cell>
          <cell r="AG81">
            <v>1</v>
          </cell>
        </row>
        <row r="82">
          <cell r="A82" t="str">
            <v>2009/08</v>
          </cell>
          <cell r="B82">
            <v>16</v>
          </cell>
          <cell r="C82">
            <v>0</v>
          </cell>
          <cell r="D82">
            <v>0</v>
          </cell>
          <cell r="E82">
            <v>1</v>
          </cell>
          <cell r="F82">
            <v>1</v>
          </cell>
          <cell r="G82">
            <v>1</v>
          </cell>
          <cell r="H82">
            <v>1</v>
          </cell>
          <cell r="I82">
            <v>1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1</v>
          </cell>
          <cell r="T82">
            <v>1</v>
          </cell>
          <cell r="U82">
            <v>1</v>
          </cell>
          <cell r="V82">
            <v>1</v>
          </cell>
          <cell r="W82">
            <v>1</v>
          </cell>
          <cell r="X82">
            <v>0</v>
          </cell>
          <cell r="Y82">
            <v>0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E82">
            <v>0</v>
          </cell>
          <cell r="AF82">
            <v>0</v>
          </cell>
          <cell r="AG82">
            <v>1</v>
          </cell>
        </row>
        <row r="83">
          <cell r="A83" t="str">
            <v>2009/09</v>
          </cell>
          <cell r="B83">
            <v>22</v>
          </cell>
          <cell r="C83">
            <v>1</v>
          </cell>
          <cell r="D83">
            <v>1</v>
          </cell>
          <cell r="E83">
            <v>1</v>
          </cell>
          <cell r="F83">
            <v>1</v>
          </cell>
          <cell r="G83">
            <v>0</v>
          </cell>
          <cell r="H83">
            <v>0</v>
          </cell>
          <cell r="I83">
            <v>1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0</v>
          </cell>
          <cell r="O83">
            <v>0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0</v>
          </cell>
          <cell r="V83">
            <v>0</v>
          </cell>
          <cell r="W83">
            <v>1</v>
          </cell>
          <cell r="X83">
            <v>1</v>
          </cell>
          <cell r="Y83">
            <v>1</v>
          </cell>
          <cell r="Z83">
            <v>1</v>
          </cell>
          <cell r="AA83">
            <v>1</v>
          </cell>
          <cell r="AB83">
            <v>0</v>
          </cell>
          <cell r="AC83">
            <v>0</v>
          </cell>
          <cell r="AD83">
            <v>1</v>
          </cell>
          <cell r="AE83">
            <v>1</v>
          </cell>
          <cell r="AF83">
            <v>1</v>
          </cell>
          <cell r="AG83">
            <v>0</v>
          </cell>
        </row>
        <row r="84">
          <cell r="A84" t="str">
            <v>2009/10</v>
          </cell>
          <cell r="B84">
            <v>21</v>
          </cell>
          <cell r="C84">
            <v>1</v>
          </cell>
          <cell r="D84">
            <v>1</v>
          </cell>
          <cell r="E84">
            <v>0</v>
          </cell>
          <cell r="F84">
            <v>0</v>
          </cell>
          <cell r="G84">
            <v>1</v>
          </cell>
          <cell r="H84">
            <v>1</v>
          </cell>
          <cell r="I84">
            <v>1</v>
          </cell>
          <cell r="J84">
            <v>1</v>
          </cell>
          <cell r="K84">
            <v>1</v>
          </cell>
          <cell r="L84">
            <v>0</v>
          </cell>
          <cell r="M84">
            <v>0</v>
          </cell>
          <cell r="N84">
            <v>0</v>
          </cell>
          <cell r="O84">
            <v>1</v>
          </cell>
          <cell r="P84">
            <v>1</v>
          </cell>
          <cell r="Q84">
            <v>1</v>
          </cell>
          <cell r="R84">
            <v>1</v>
          </cell>
          <cell r="S84">
            <v>0</v>
          </cell>
          <cell r="T84">
            <v>0</v>
          </cell>
          <cell r="U84">
            <v>1</v>
          </cell>
          <cell r="V84">
            <v>1</v>
          </cell>
          <cell r="W84">
            <v>1</v>
          </cell>
          <cell r="X84">
            <v>1</v>
          </cell>
          <cell r="Y84">
            <v>1</v>
          </cell>
          <cell r="Z84">
            <v>0</v>
          </cell>
          <cell r="AA84">
            <v>0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0</v>
          </cell>
        </row>
        <row r="85">
          <cell r="A85" t="str">
            <v>2009/11</v>
          </cell>
          <cell r="B85">
            <v>21</v>
          </cell>
          <cell r="C85">
            <v>0</v>
          </cell>
          <cell r="D85">
            <v>1</v>
          </cell>
          <cell r="E85">
            <v>1</v>
          </cell>
          <cell r="F85">
            <v>1</v>
          </cell>
          <cell r="G85">
            <v>1</v>
          </cell>
          <cell r="H85">
            <v>1</v>
          </cell>
          <cell r="I85">
            <v>0</v>
          </cell>
          <cell r="J85">
            <v>0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0</v>
          </cell>
          <cell r="Q85">
            <v>0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V85">
            <v>1</v>
          </cell>
          <cell r="W85">
            <v>0</v>
          </cell>
          <cell r="X85">
            <v>0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0</v>
          </cell>
          <cell r="AE85">
            <v>0</v>
          </cell>
          <cell r="AF85">
            <v>1</v>
          </cell>
          <cell r="AG85">
            <v>0</v>
          </cell>
        </row>
        <row r="86">
          <cell r="A86" t="str">
            <v>2009/12</v>
          </cell>
          <cell r="B86">
            <v>19</v>
          </cell>
          <cell r="C86">
            <v>1</v>
          </cell>
          <cell r="D86">
            <v>1</v>
          </cell>
          <cell r="E86">
            <v>1</v>
          </cell>
          <cell r="F86">
            <v>1</v>
          </cell>
          <cell r="G86">
            <v>0</v>
          </cell>
          <cell r="H86">
            <v>0</v>
          </cell>
          <cell r="I86">
            <v>1</v>
          </cell>
          <cell r="J86">
            <v>1</v>
          </cell>
          <cell r="K86">
            <v>1</v>
          </cell>
          <cell r="L86">
            <v>1</v>
          </cell>
          <cell r="M86">
            <v>1</v>
          </cell>
          <cell r="N86">
            <v>0</v>
          </cell>
          <cell r="O86">
            <v>0</v>
          </cell>
          <cell r="P86">
            <v>1</v>
          </cell>
          <cell r="Q86">
            <v>1</v>
          </cell>
          <cell r="R86">
            <v>1</v>
          </cell>
          <cell r="S86">
            <v>1</v>
          </cell>
          <cell r="T86">
            <v>1</v>
          </cell>
          <cell r="U86">
            <v>0</v>
          </cell>
          <cell r="V86">
            <v>0</v>
          </cell>
          <cell r="W86">
            <v>1</v>
          </cell>
          <cell r="X86">
            <v>1</v>
          </cell>
          <cell r="Y86">
            <v>1</v>
          </cell>
          <cell r="Z86">
            <v>1</v>
          </cell>
          <cell r="AA86">
            <v>1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A87" t="str">
            <v>2010/01</v>
          </cell>
          <cell r="B87">
            <v>18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1</v>
          </cell>
          <cell r="J87">
            <v>1</v>
          </cell>
          <cell r="K87">
            <v>0</v>
          </cell>
          <cell r="L87">
            <v>0</v>
          </cell>
          <cell r="M87">
            <v>1</v>
          </cell>
          <cell r="N87">
            <v>1</v>
          </cell>
          <cell r="O87">
            <v>1</v>
          </cell>
          <cell r="P87">
            <v>1</v>
          </cell>
          <cell r="Q87">
            <v>1</v>
          </cell>
          <cell r="R87">
            <v>0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</v>
          </cell>
          <cell r="Y87">
            <v>0</v>
          </cell>
          <cell r="Z87">
            <v>0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  <cell r="AF87">
            <v>0</v>
          </cell>
          <cell r="AG87">
            <v>0</v>
          </cell>
        </row>
        <row r="88">
          <cell r="A88" t="str">
            <v>2010/02</v>
          </cell>
          <cell r="B88">
            <v>21</v>
          </cell>
          <cell r="C88">
            <v>1</v>
          </cell>
          <cell r="D88">
            <v>1</v>
          </cell>
          <cell r="E88">
            <v>1</v>
          </cell>
          <cell r="F88">
            <v>1</v>
          </cell>
          <cell r="G88">
            <v>1</v>
          </cell>
          <cell r="H88">
            <v>0</v>
          </cell>
          <cell r="I88">
            <v>0</v>
          </cell>
          <cell r="J88">
            <v>1</v>
          </cell>
          <cell r="K88">
            <v>1</v>
          </cell>
          <cell r="L88">
            <v>1</v>
          </cell>
          <cell r="M88">
            <v>1</v>
          </cell>
          <cell r="N88">
            <v>1</v>
          </cell>
          <cell r="O88">
            <v>0.5</v>
          </cell>
          <cell r="P88">
            <v>0</v>
          </cell>
          <cell r="Q88">
            <v>1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V88">
            <v>0.5</v>
          </cell>
          <cell r="W88">
            <v>0</v>
          </cell>
          <cell r="X88">
            <v>1</v>
          </cell>
          <cell r="Y88">
            <v>1</v>
          </cell>
          <cell r="Z88">
            <v>1</v>
          </cell>
          <cell r="AA88">
            <v>1</v>
          </cell>
          <cell r="AB88">
            <v>1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</row>
        <row r="89">
          <cell r="A89" t="str">
            <v>2010/03</v>
          </cell>
          <cell r="B89">
            <v>24</v>
          </cell>
          <cell r="C89">
            <v>1</v>
          </cell>
          <cell r="D89">
            <v>1</v>
          </cell>
          <cell r="E89">
            <v>1</v>
          </cell>
          <cell r="F89">
            <v>1</v>
          </cell>
          <cell r="G89">
            <v>1</v>
          </cell>
          <cell r="H89">
            <v>0</v>
          </cell>
          <cell r="I89">
            <v>0</v>
          </cell>
          <cell r="J89">
            <v>1</v>
          </cell>
          <cell r="K89">
            <v>1</v>
          </cell>
          <cell r="L89">
            <v>1</v>
          </cell>
          <cell r="M89">
            <v>1</v>
          </cell>
          <cell r="N89">
            <v>1</v>
          </cell>
          <cell r="O89">
            <v>0.5</v>
          </cell>
          <cell r="P89">
            <v>0</v>
          </cell>
          <cell r="Q89">
            <v>1</v>
          </cell>
          <cell r="R89">
            <v>1</v>
          </cell>
          <cell r="S89">
            <v>1</v>
          </cell>
          <cell r="T89">
            <v>1</v>
          </cell>
          <cell r="U89">
            <v>1</v>
          </cell>
          <cell r="V89">
            <v>0.5</v>
          </cell>
          <cell r="W89">
            <v>0</v>
          </cell>
          <cell r="X89">
            <v>1</v>
          </cell>
          <cell r="Y89">
            <v>1</v>
          </cell>
          <cell r="Z89">
            <v>1</v>
          </cell>
          <cell r="AA89">
            <v>1</v>
          </cell>
          <cell r="AB89">
            <v>1</v>
          </cell>
          <cell r="AC89">
            <v>0</v>
          </cell>
          <cell r="AD89">
            <v>0</v>
          </cell>
          <cell r="AE89">
            <v>1</v>
          </cell>
          <cell r="AF89">
            <v>1</v>
          </cell>
          <cell r="AG89">
            <v>1</v>
          </cell>
        </row>
        <row r="90">
          <cell r="A90" t="str">
            <v>2010/04</v>
          </cell>
          <cell r="B90">
            <v>20</v>
          </cell>
          <cell r="C90">
            <v>1</v>
          </cell>
          <cell r="D90">
            <v>1</v>
          </cell>
          <cell r="E90">
            <v>0</v>
          </cell>
          <cell r="F90">
            <v>0</v>
          </cell>
          <cell r="G90">
            <v>1</v>
          </cell>
          <cell r="H90">
            <v>1</v>
          </cell>
          <cell r="I90">
            <v>1</v>
          </cell>
          <cell r="J90">
            <v>1</v>
          </cell>
          <cell r="K90">
            <v>1</v>
          </cell>
          <cell r="L90">
            <v>0</v>
          </cell>
          <cell r="M90">
            <v>0</v>
          </cell>
          <cell r="N90">
            <v>1</v>
          </cell>
          <cell r="O90">
            <v>1</v>
          </cell>
          <cell r="P90">
            <v>1</v>
          </cell>
          <cell r="Q90">
            <v>1</v>
          </cell>
          <cell r="R90">
            <v>1</v>
          </cell>
          <cell r="S90">
            <v>0</v>
          </cell>
          <cell r="T90">
            <v>0</v>
          </cell>
          <cell r="U90">
            <v>1</v>
          </cell>
          <cell r="V90">
            <v>1</v>
          </cell>
          <cell r="W90">
            <v>1</v>
          </cell>
          <cell r="X90">
            <v>1</v>
          </cell>
          <cell r="Y90">
            <v>1</v>
          </cell>
          <cell r="Z90">
            <v>0</v>
          </cell>
          <cell r="AA90">
            <v>0</v>
          </cell>
          <cell r="AB90">
            <v>1</v>
          </cell>
          <cell r="AC90">
            <v>1</v>
          </cell>
          <cell r="AD90">
            <v>1</v>
          </cell>
          <cell r="AE90">
            <v>0</v>
          </cell>
          <cell r="AF90">
            <v>0</v>
          </cell>
          <cell r="AG90">
            <v>0</v>
          </cell>
        </row>
        <row r="91">
          <cell r="A91" t="str">
            <v>2010/05</v>
          </cell>
          <cell r="B91">
            <v>18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1</v>
          </cell>
          <cell r="I91">
            <v>1</v>
          </cell>
          <cell r="J91">
            <v>0</v>
          </cell>
          <cell r="K91">
            <v>0</v>
          </cell>
          <cell r="L91">
            <v>1</v>
          </cell>
          <cell r="M91">
            <v>1</v>
          </cell>
          <cell r="N91">
            <v>1</v>
          </cell>
          <cell r="O91">
            <v>1</v>
          </cell>
          <cell r="P91">
            <v>1</v>
          </cell>
          <cell r="Q91">
            <v>0</v>
          </cell>
          <cell r="R91">
            <v>0</v>
          </cell>
          <cell r="S91">
            <v>1</v>
          </cell>
          <cell r="T91">
            <v>1</v>
          </cell>
          <cell r="U91">
            <v>1</v>
          </cell>
          <cell r="V91">
            <v>1</v>
          </cell>
          <cell r="W91">
            <v>1</v>
          </cell>
          <cell r="X91">
            <v>0</v>
          </cell>
          <cell r="Y91">
            <v>0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0</v>
          </cell>
          <cell r="AF91">
            <v>0</v>
          </cell>
          <cell r="AG91">
            <v>1</v>
          </cell>
        </row>
        <row r="92">
          <cell r="A92" t="str">
            <v>2010/06</v>
          </cell>
          <cell r="B92">
            <v>22</v>
          </cell>
          <cell r="C92">
            <v>1</v>
          </cell>
          <cell r="D92">
            <v>1</v>
          </cell>
          <cell r="E92">
            <v>1</v>
          </cell>
          <cell r="F92">
            <v>1</v>
          </cell>
          <cell r="G92">
            <v>0</v>
          </cell>
          <cell r="H92">
            <v>0</v>
          </cell>
          <cell r="I92">
            <v>1</v>
          </cell>
          <cell r="J92">
            <v>1</v>
          </cell>
          <cell r="K92">
            <v>1</v>
          </cell>
          <cell r="L92">
            <v>1</v>
          </cell>
          <cell r="M92">
            <v>1</v>
          </cell>
          <cell r="N92">
            <v>0</v>
          </cell>
          <cell r="O92">
            <v>0</v>
          </cell>
          <cell r="P92">
            <v>1</v>
          </cell>
          <cell r="Q92">
            <v>1</v>
          </cell>
          <cell r="R92">
            <v>1</v>
          </cell>
          <cell r="S92">
            <v>1</v>
          </cell>
          <cell r="T92">
            <v>1</v>
          </cell>
          <cell r="U92">
            <v>0</v>
          </cell>
          <cell r="V92">
            <v>0</v>
          </cell>
          <cell r="W92">
            <v>1</v>
          </cell>
          <cell r="X92">
            <v>1</v>
          </cell>
          <cell r="Y92">
            <v>1</v>
          </cell>
          <cell r="Z92">
            <v>1</v>
          </cell>
          <cell r="AA92">
            <v>1</v>
          </cell>
          <cell r="AB92">
            <v>0</v>
          </cell>
          <cell r="AC92">
            <v>0</v>
          </cell>
          <cell r="AD92">
            <v>1</v>
          </cell>
          <cell r="AE92">
            <v>1</v>
          </cell>
          <cell r="AF92">
            <v>1</v>
          </cell>
          <cell r="AG92">
            <v>0</v>
          </cell>
        </row>
        <row r="93">
          <cell r="A93" t="str">
            <v>2010/07</v>
          </cell>
          <cell r="B93">
            <v>21</v>
          </cell>
          <cell r="C93">
            <v>1</v>
          </cell>
          <cell r="D93">
            <v>1</v>
          </cell>
          <cell r="E93">
            <v>0</v>
          </cell>
          <cell r="F93">
            <v>0</v>
          </cell>
          <cell r="G93">
            <v>1</v>
          </cell>
          <cell r="H93">
            <v>1</v>
          </cell>
          <cell r="I93">
            <v>1</v>
          </cell>
          <cell r="J93">
            <v>1</v>
          </cell>
          <cell r="K93">
            <v>1</v>
          </cell>
          <cell r="L93">
            <v>0</v>
          </cell>
          <cell r="M93">
            <v>0</v>
          </cell>
          <cell r="N93">
            <v>1</v>
          </cell>
          <cell r="O93">
            <v>1</v>
          </cell>
          <cell r="P93">
            <v>1</v>
          </cell>
          <cell r="Q93">
            <v>1</v>
          </cell>
          <cell r="R93">
            <v>1</v>
          </cell>
          <cell r="S93">
            <v>0</v>
          </cell>
          <cell r="T93">
            <v>0</v>
          </cell>
          <cell r="U93">
            <v>0</v>
          </cell>
          <cell r="V93">
            <v>1</v>
          </cell>
          <cell r="W93">
            <v>1</v>
          </cell>
          <cell r="X93">
            <v>1</v>
          </cell>
          <cell r="Y93">
            <v>1</v>
          </cell>
          <cell r="Z93">
            <v>0</v>
          </cell>
          <cell r="AA93">
            <v>0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  <cell r="AF93">
            <v>1</v>
          </cell>
          <cell r="AG93">
            <v>0</v>
          </cell>
        </row>
        <row r="94">
          <cell r="A94" t="str">
            <v>2010/08</v>
          </cell>
          <cell r="B94">
            <v>16</v>
          </cell>
          <cell r="C94">
            <v>0</v>
          </cell>
          <cell r="D94">
            <v>1</v>
          </cell>
          <cell r="E94">
            <v>1</v>
          </cell>
          <cell r="F94">
            <v>1</v>
          </cell>
          <cell r="G94">
            <v>1</v>
          </cell>
          <cell r="H94">
            <v>1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1</v>
          </cell>
          <cell r="T94">
            <v>1</v>
          </cell>
          <cell r="U94">
            <v>1</v>
          </cell>
          <cell r="V94">
            <v>1</v>
          </cell>
          <cell r="W94">
            <v>0</v>
          </cell>
          <cell r="X94">
            <v>0</v>
          </cell>
          <cell r="Y94">
            <v>1</v>
          </cell>
          <cell r="Z94">
            <v>1</v>
          </cell>
          <cell r="AA94">
            <v>1</v>
          </cell>
          <cell r="AB94">
            <v>1</v>
          </cell>
          <cell r="AC94">
            <v>1</v>
          </cell>
          <cell r="AD94">
            <v>0</v>
          </cell>
          <cell r="AE94">
            <v>0</v>
          </cell>
          <cell r="AF94">
            <v>1</v>
          </cell>
          <cell r="AG94">
            <v>1</v>
          </cell>
        </row>
        <row r="95">
          <cell r="A95" t="str">
            <v>2010/09</v>
          </cell>
          <cell r="B95">
            <v>22</v>
          </cell>
          <cell r="C95">
            <v>1</v>
          </cell>
          <cell r="D95">
            <v>1</v>
          </cell>
          <cell r="E95">
            <v>1</v>
          </cell>
          <cell r="F95">
            <v>0</v>
          </cell>
          <cell r="G95">
            <v>0</v>
          </cell>
          <cell r="H95">
            <v>1</v>
          </cell>
          <cell r="I95">
            <v>1</v>
          </cell>
          <cell r="J95">
            <v>1</v>
          </cell>
          <cell r="K95">
            <v>1</v>
          </cell>
          <cell r="L95">
            <v>1</v>
          </cell>
          <cell r="M95">
            <v>0</v>
          </cell>
          <cell r="N95">
            <v>0</v>
          </cell>
          <cell r="O95">
            <v>1</v>
          </cell>
          <cell r="P95">
            <v>1</v>
          </cell>
          <cell r="Q95">
            <v>1</v>
          </cell>
          <cell r="R95">
            <v>1</v>
          </cell>
          <cell r="S95">
            <v>1</v>
          </cell>
          <cell r="T95">
            <v>0</v>
          </cell>
          <cell r="U95">
            <v>0</v>
          </cell>
          <cell r="V95">
            <v>1</v>
          </cell>
          <cell r="W95">
            <v>1</v>
          </cell>
          <cell r="X95">
            <v>1</v>
          </cell>
          <cell r="Y95">
            <v>1</v>
          </cell>
          <cell r="Z95">
            <v>1</v>
          </cell>
          <cell r="AA95">
            <v>0</v>
          </cell>
          <cell r="AB95">
            <v>0</v>
          </cell>
          <cell r="AC95">
            <v>1</v>
          </cell>
          <cell r="AD95">
            <v>1</v>
          </cell>
          <cell r="AE95">
            <v>1</v>
          </cell>
          <cell r="AF95">
            <v>1</v>
          </cell>
          <cell r="AG95">
            <v>0</v>
          </cell>
        </row>
        <row r="96">
          <cell r="A96" t="str">
            <v>2010/10</v>
          </cell>
          <cell r="B96">
            <v>20</v>
          </cell>
          <cell r="C96">
            <v>1</v>
          </cell>
          <cell r="D96">
            <v>0</v>
          </cell>
          <cell r="E96">
            <v>0</v>
          </cell>
          <cell r="F96">
            <v>1</v>
          </cell>
          <cell r="G96">
            <v>1</v>
          </cell>
          <cell r="H96">
            <v>1</v>
          </cell>
          <cell r="I96">
            <v>1</v>
          </cell>
          <cell r="J96">
            <v>1</v>
          </cell>
          <cell r="K96">
            <v>0</v>
          </cell>
          <cell r="L96">
            <v>0</v>
          </cell>
          <cell r="M96">
            <v>0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0</v>
          </cell>
          <cell r="S96">
            <v>0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0</v>
          </cell>
          <cell r="Z96">
            <v>0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0</v>
          </cell>
          <cell r="AG96">
            <v>0</v>
          </cell>
        </row>
        <row r="97">
          <cell r="A97" t="str">
            <v>2010/11</v>
          </cell>
          <cell r="B97">
            <v>22</v>
          </cell>
          <cell r="C97">
            <v>1</v>
          </cell>
          <cell r="D97">
            <v>1</v>
          </cell>
          <cell r="E97">
            <v>1</v>
          </cell>
          <cell r="F97">
            <v>1</v>
          </cell>
          <cell r="G97">
            <v>1</v>
          </cell>
          <cell r="H97">
            <v>0</v>
          </cell>
          <cell r="I97">
            <v>0</v>
          </cell>
          <cell r="J97">
            <v>1</v>
          </cell>
          <cell r="K97">
            <v>1</v>
          </cell>
          <cell r="L97">
            <v>1</v>
          </cell>
          <cell r="M97">
            <v>1</v>
          </cell>
          <cell r="N97">
            <v>1</v>
          </cell>
          <cell r="O97">
            <v>0</v>
          </cell>
          <cell r="P97">
            <v>0</v>
          </cell>
          <cell r="Q97">
            <v>1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V97">
            <v>0</v>
          </cell>
          <cell r="W97">
            <v>0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  <cell r="AB97">
            <v>1</v>
          </cell>
          <cell r="AC97">
            <v>0</v>
          </cell>
          <cell r="AD97">
            <v>0</v>
          </cell>
          <cell r="AE97">
            <v>1</v>
          </cell>
          <cell r="AF97">
            <v>1</v>
          </cell>
          <cell r="AG97">
            <v>0</v>
          </cell>
        </row>
        <row r="98">
          <cell r="A98" t="str">
            <v>2010/12</v>
          </cell>
          <cell r="B98">
            <v>20</v>
          </cell>
          <cell r="C98">
            <v>1</v>
          </cell>
          <cell r="D98">
            <v>1</v>
          </cell>
          <cell r="E98">
            <v>1</v>
          </cell>
          <cell r="F98">
            <v>0</v>
          </cell>
          <cell r="G98">
            <v>0</v>
          </cell>
          <cell r="H98">
            <v>1</v>
          </cell>
          <cell r="I98">
            <v>1</v>
          </cell>
          <cell r="J98">
            <v>1</v>
          </cell>
          <cell r="K98">
            <v>1</v>
          </cell>
          <cell r="L98">
            <v>1</v>
          </cell>
          <cell r="M98">
            <v>0</v>
          </cell>
          <cell r="N98">
            <v>0</v>
          </cell>
          <cell r="O98">
            <v>1</v>
          </cell>
          <cell r="P98">
            <v>1</v>
          </cell>
          <cell r="Q98">
            <v>1</v>
          </cell>
          <cell r="R98">
            <v>1</v>
          </cell>
          <cell r="S98">
            <v>1</v>
          </cell>
          <cell r="T98">
            <v>0</v>
          </cell>
          <cell r="U98">
            <v>0</v>
          </cell>
          <cell r="V98">
            <v>1</v>
          </cell>
          <cell r="W98">
            <v>1</v>
          </cell>
          <cell r="X98">
            <v>1</v>
          </cell>
          <cell r="Y98">
            <v>1</v>
          </cell>
          <cell r="Z98">
            <v>1</v>
          </cell>
          <cell r="AA98">
            <v>0</v>
          </cell>
          <cell r="AB98">
            <v>0</v>
          </cell>
          <cell r="AC98">
            <v>1</v>
          </cell>
          <cell r="AD98">
            <v>1</v>
          </cell>
          <cell r="AE98">
            <v>0</v>
          </cell>
          <cell r="AF98">
            <v>0</v>
          </cell>
          <cell r="AG98">
            <v>0</v>
          </cell>
        </row>
        <row r="99">
          <cell r="A99" t="str">
            <v>2011/01</v>
          </cell>
          <cell r="B99">
            <v>19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1</v>
          </cell>
          <cell r="J99">
            <v>0</v>
          </cell>
          <cell r="K99">
            <v>0</v>
          </cell>
          <cell r="L99">
            <v>1</v>
          </cell>
          <cell r="M99">
            <v>1</v>
          </cell>
          <cell r="N99">
            <v>1</v>
          </cell>
          <cell r="O99">
            <v>1</v>
          </cell>
          <cell r="P99">
            <v>1</v>
          </cell>
          <cell r="Q99">
            <v>0.5</v>
          </cell>
          <cell r="R99">
            <v>0</v>
          </cell>
          <cell r="S99">
            <v>1</v>
          </cell>
          <cell r="T99">
            <v>1</v>
          </cell>
          <cell r="U99">
            <v>1</v>
          </cell>
          <cell r="V99">
            <v>1</v>
          </cell>
          <cell r="W99">
            <v>1</v>
          </cell>
          <cell r="X99">
            <v>0.5</v>
          </cell>
          <cell r="Y99">
            <v>0</v>
          </cell>
          <cell r="Z99">
            <v>1</v>
          </cell>
          <cell r="AA99">
            <v>1</v>
          </cell>
          <cell r="AB99">
            <v>1</v>
          </cell>
          <cell r="AC99">
            <v>1</v>
          </cell>
          <cell r="AD99">
            <v>1</v>
          </cell>
          <cell r="AE99">
            <v>0</v>
          </cell>
          <cell r="AF99">
            <v>0</v>
          </cell>
          <cell r="AG99">
            <v>1</v>
          </cell>
        </row>
        <row r="100">
          <cell r="A100" t="str">
            <v>2011/02</v>
          </cell>
          <cell r="B100">
            <v>21</v>
          </cell>
          <cell r="C100">
            <v>1</v>
          </cell>
          <cell r="D100">
            <v>1</v>
          </cell>
          <cell r="E100">
            <v>1</v>
          </cell>
          <cell r="F100">
            <v>1</v>
          </cell>
          <cell r="G100">
            <v>0</v>
          </cell>
          <cell r="H100">
            <v>0</v>
          </cell>
          <cell r="I100">
            <v>1</v>
          </cell>
          <cell r="J100">
            <v>1</v>
          </cell>
          <cell r="K100">
            <v>1</v>
          </cell>
          <cell r="L100">
            <v>1</v>
          </cell>
          <cell r="M100">
            <v>1</v>
          </cell>
          <cell r="N100">
            <v>0.5</v>
          </cell>
          <cell r="O100">
            <v>0</v>
          </cell>
          <cell r="P100">
            <v>1</v>
          </cell>
          <cell r="Q100">
            <v>1</v>
          </cell>
          <cell r="R100">
            <v>1</v>
          </cell>
          <cell r="S100">
            <v>1</v>
          </cell>
          <cell r="T100">
            <v>1</v>
          </cell>
          <cell r="U100">
            <v>0.5</v>
          </cell>
          <cell r="V100">
            <v>0</v>
          </cell>
          <cell r="W100">
            <v>1</v>
          </cell>
          <cell r="X100">
            <v>1</v>
          </cell>
          <cell r="Y100">
            <v>1</v>
          </cell>
          <cell r="Z100">
            <v>1</v>
          </cell>
          <cell r="AA100">
            <v>1</v>
          </cell>
          <cell r="AB100">
            <v>0</v>
          </cell>
          <cell r="AC100">
            <v>0</v>
          </cell>
          <cell r="AD100">
            <v>1</v>
          </cell>
          <cell r="AE100">
            <v>0</v>
          </cell>
          <cell r="AF100">
            <v>0</v>
          </cell>
          <cell r="AG100">
            <v>0</v>
          </cell>
        </row>
        <row r="101">
          <cell r="A101" t="str">
            <v>2011/03</v>
          </cell>
          <cell r="B101">
            <v>23</v>
          </cell>
          <cell r="C101">
            <v>1</v>
          </cell>
          <cell r="D101">
            <v>1</v>
          </cell>
          <cell r="E101">
            <v>1</v>
          </cell>
          <cell r="F101">
            <v>1</v>
          </cell>
          <cell r="G101">
            <v>0</v>
          </cell>
          <cell r="H101">
            <v>0</v>
          </cell>
          <cell r="I101">
            <v>1</v>
          </cell>
          <cell r="J101">
            <v>1</v>
          </cell>
          <cell r="K101">
            <v>1</v>
          </cell>
          <cell r="L101">
            <v>1</v>
          </cell>
          <cell r="M101">
            <v>1</v>
          </cell>
          <cell r="N101">
            <v>0</v>
          </cell>
          <cell r="O101">
            <v>0</v>
          </cell>
          <cell r="P101">
            <v>1</v>
          </cell>
          <cell r="Q101">
            <v>1</v>
          </cell>
          <cell r="R101">
            <v>1</v>
          </cell>
          <cell r="S101">
            <v>1</v>
          </cell>
          <cell r="T101">
            <v>1</v>
          </cell>
          <cell r="U101">
            <v>0</v>
          </cell>
          <cell r="V101">
            <v>0</v>
          </cell>
          <cell r="W101">
            <v>1</v>
          </cell>
          <cell r="X101">
            <v>1</v>
          </cell>
          <cell r="Y101">
            <v>1</v>
          </cell>
          <cell r="Z101">
            <v>1</v>
          </cell>
          <cell r="AA101">
            <v>1</v>
          </cell>
          <cell r="AB101">
            <v>0</v>
          </cell>
          <cell r="AC101">
            <v>0</v>
          </cell>
          <cell r="AD101">
            <v>1</v>
          </cell>
          <cell r="AE101">
            <v>1</v>
          </cell>
          <cell r="AF101">
            <v>1</v>
          </cell>
          <cell r="AG101">
            <v>1</v>
          </cell>
        </row>
        <row r="102">
          <cell r="A102" t="str">
            <v>2011/04</v>
          </cell>
          <cell r="B102">
            <v>20</v>
          </cell>
          <cell r="C102">
            <v>1</v>
          </cell>
          <cell r="D102">
            <v>0</v>
          </cell>
          <cell r="E102">
            <v>0</v>
          </cell>
          <cell r="F102">
            <v>1</v>
          </cell>
          <cell r="G102">
            <v>1</v>
          </cell>
          <cell r="H102">
            <v>1</v>
          </cell>
          <cell r="I102">
            <v>1</v>
          </cell>
          <cell r="J102">
            <v>1</v>
          </cell>
          <cell r="K102">
            <v>0</v>
          </cell>
          <cell r="L102">
            <v>0</v>
          </cell>
          <cell r="M102">
            <v>1</v>
          </cell>
          <cell r="N102">
            <v>1</v>
          </cell>
          <cell r="O102">
            <v>1</v>
          </cell>
          <cell r="P102">
            <v>1</v>
          </cell>
          <cell r="Q102">
            <v>1</v>
          </cell>
          <cell r="R102">
            <v>0</v>
          </cell>
          <cell r="S102">
            <v>0</v>
          </cell>
          <cell r="T102">
            <v>1</v>
          </cell>
          <cell r="U102">
            <v>1</v>
          </cell>
          <cell r="V102">
            <v>1</v>
          </cell>
          <cell r="W102">
            <v>1</v>
          </cell>
          <cell r="X102">
            <v>1</v>
          </cell>
          <cell r="Y102">
            <v>0</v>
          </cell>
          <cell r="Z102">
            <v>0</v>
          </cell>
          <cell r="AA102">
            <v>1</v>
          </cell>
          <cell r="AB102">
            <v>1</v>
          </cell>
          <cell r="AC102">
            <v>1</v>
          </cell>
          <cell r="AD102">
            <v>1</v>
          </cell>
          <cell r="AE102">
            <v>0</v>
          </cell>
          <cell r="AF102">
            <v>0</v>
          </cell>
          <cell r="AG102">
            <v>0</v>
          </cell>
        </row>
        <row r="103">
          <cell r="A103" t="str">
            <v>2011/05</v>
          </cell>
          <cell r="B103">
            <v>18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1</v>
          </cell>
          <cell r="I103">
            <v>1</v>
          </cell>
          <cell r="J103">
            <v>0</v>
          </cell>
          <cell r="K103">
            <v>0</v>
          </cell>
          <cell r="L103">
            <v>1</v>
          </cell>
          <cell r="M103">
            <v>1</v>
          </cell>
          <cell r="N103">
            <v>1</v>
          </cell>
          <cell r="O103">
            <v>1</v>
          </cell>
          <cell r="P103">
            <v>0</v>
          </cell>
          <cell r="Q103">
            <v>0</v>
          </cell>
          <cell r="R103">
            <v>1</v>
          </cell>
          <cell r="S103">
            <v>1</v>
          </cell>
          <cell r="T103">
            <v>1</v>
          </cell>
          <cell r="U103">
            <v>1</v>
          </cell>
          <cell r="V103">
            <v>1</v>
          </cell>
          <cell r="W103">
            <v>0</v>
          </cell>
          <cell r="X103">
            <v>0</v>
          </cell>
          <cell r="Y103">
            <v>1</v>
          </cell>
          <cell r="Z103">
            <v>1</v>
          </cell>
          <cell r="AA103">
            <v>1</v>
          </cell>
          <cell r="AB103">
            <v>1</v>
          </cell>
          <cell r="AC103">
            <v>1</v>
          </cell>
          <cell r="AD103">
            <v>0</v>
          </cell>
          <cell r="AE103">
            <v>0</v>
          </cell>
          <cell r="AF103">
            <v>1</v>
          </cell>
          <cell r="AG103">
            <v>1</v>
          </cell>
        </row>
        <row r="104">
          <cell r="A104" t="str">
            <v>2011/06</v>
          </cell>
          <cell r="B104">
            <v>22</v>
          </cell>
          <cell r="C104">
            <v>1</v>
          </cell>
          <cell r="D104">
            <v>1</v>
          </cell>
          <cell r="E104">
            <v>1</v>
          </cell>
          <cell r="F104">
            <v>0</v>
          </cell>
          <cell r="G104">
            <v>0</v>
          </cell>
          <cell r="H104">
            <v>1</v>
          </cell>
          <cell r="I104">
            <v>1</v>
          </cell>
          <cell r="J104">
            <v>1</v>
          </cell>
          <cell r="K104">
            <v>1</v>
          </cell>
          <cell r="L104">
            <v>1</v>
          </cell>
          <cell r="M104">
            <v>0</v>
          </cell>
          <cell r="N104">
            <v>0</v>
          </cell>
          <cell r="O104">
            <v>1</v>
          </cell>
          <cell r="P104">
            <v>1</v>
          </cell>
          <cell r="Q104">
            <v>1</v>
          </cell>
          <cell r="R104">
            <v>1</v>
          </cell>
          <cell r="S104">
            <v>1</v>
          </cell>
          <cell r="T104">
            <v>0</v>
          </cell>
          <cell r="U104">
            <v>0</v>
          </cell>
          <cell r="V104">
            <v>1</v>
          </cell>
          <cell r="W104">
            <v>1</v>
          </cell>
          <cell r="X104">
            <v>1</v>
          </cell>
          <cell r="Y104">
            <v>1</v>
          </cell>
          <cell r="Z104">
            <v>1</v>
          </cell>
          <cell r="AA104">
            <v>0</v>
          </cell>
          <cell r="AB104">
            <v>0</v>
          </cell>
          <cell r="AC104">
            <v>1</v>
          </cell>
          <cell r="AD104">
            <v>1</v>
          </cell>
          <cell r="AE104">
            <v>1</v>
          </cell>
          <cell r="AF104">
            <v>1</v>
          </cell>
          <cell r="AG104">
            <v>0</v>
          </cell>
        </row>
        <row r="105">
          <cell r="A105" t="str">
            <v>2011/07</v>
          </cell>
          <cell r="B105">
            <v>21</v>
          </cell>
          <cell r="C105">
            <v>0</v>
          </cell>
          <cell r="D105">
            <v>0</v>
          </cell>
          <cell r="E105">
            <v>1</v>
          </cell>
          <cell r="F105">
            <v>1</v>
          </cell>
          <cell r="G105">
            <v>1</v>
          </cell>
          <cell r="H105">
            <v>1</v>
          </cell>
          <cell r="I105">
            <v>0</v>
          </cell>
          <cell r="J105">
            <v>0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0</v>
          </cell>
          <cell r="Q105">
            <v>0</v>
          </cell>
          <cell r="R105">
            <v>1</v>
          </cell>
          <cell r="S105">
            <v>1</v>
          </cell>
          <cell r="T105">
            <v>1</v>
          </cell>
          <cell r="U105">
            <v>1</v>
          </cell>
          <cell r="V105">
            <v>1</v>
          </cell>
          <cell r="W105">
            <v>0</v>
          </cell>
          <cell r="X105">
            <v>0</v>
          </cell>
          <cell r="Y105">
            <v>1</v>
          </cell>
          <cell r="Z105">
            <v>1</v>
          </cell>
          <cell r="AA105">
            <v>1</v>
          </cell>
          <cell r="AB105">
            <v>1</v>
          </cell>
          <cell r="AC105">
            <v>1</v>
          </cell>
          <cell r="AD105">
            <v>0</v>
          </cell>
          <cell r="AE105">
            <v>0</v>
          </cell>
          <cell r="AF105">
            <v>1</v>
          </cell>
          <cell r="AG105">
            <v>1</v>
          </cell>
        </row>
        <row r="106">
          <cell r="A106" t="str">
            <v>2011/08</v>
          </cell>
          <cell r="B106">
            <v>18</v>
          </cell>
          <cell r="C106">
            <v>1</v>
          </cell>
          <cell r="D106">
            <v>1</v>
          </cell>
          <cell r="E106">
            <v>1</v>
          </cell>
          <cell r="F106">
            <v>0</v>
          </cell>
          <cell r="G106">
            <v>0</v>
          </cell>
          <cell r="H106">
            <v>1</v>
          </cell>
          <cell r="I106">
            <v>1</v>
          </cell>
          <cell r="J106">
            <v>1</v>
          </cell>
          <cell r="K106">
            <v>1</v>
          </cell>
          <cell r="L106">
            <v>1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1</v>
          </cell>
          <cell r="W106">
            <v>1</v>
          </cell>
          <cell r="X106">
            <v>1</v>
          </cell>
          <cell r="Y106">
            <v>1</v>
          </cell>
          <cell r="Z106">
            <v>1</v>
          </cell>
          <cell r="AA106">
            <v>0</v>
          </cell>
          <cell r="AB106">
            <v>0</v>
          </cell>
          <cell r="AC106">
            <v>1</v>
          </cell>
          <cell r="AD106">
            <v>1</v>
          </cell>
          <cell r="AE106">
            <v>1</v>
          </cell>
          <cell r="AF106">
            <v>1</v>
          </cell>
          <cell r="AG106">
            <v>1</v>
          </cell>
        </row>
        <row r="107">
          <cell r="A107" t="str">
            <v>2011/09</v>
          </cell>
          <cell r="B107">
            <v>20</v>
          </cell>
          <cell r="C107">
            <v>0</v>
          </cell>
          <cell r="D107">
            <v>0</v>
          </cell>
          <cell r="E107">
            <v>1</v>
          </cell>
          <cell r="F107">
            <v>1</v>
          </cell>
          <cell r="G107">
            <v>1</v>
          </cell>
          <cell r="H107">
            <v>1</v>
          </cell>
          <cell r="I107">
            <v>1</v>
          </cell>
          <cell r="J107">
            <v>0</v>
          </cell>
          <cell r="K107">
            <v>0</v>
          </cell>
          <cell r="L107">
            <v>1</v>
          </cell>
          <cell r="M107">
            <v>1</v>
          </cell>
          <cell r="N107">
            <v>1</v>
          </cell>
          <cell r="O107">
            <v>1</v>
          </cell>
          <cell r="P107">
            <v>1</v>
          </cell>
          <cell r="Q107">
            <v>0</v>
          </cell>
          <cell r="R107">
            <v>0</v>
          </cell>
          <cell r="S107">
            <v>1</v>
          </cell>
          <cell r="T107">
            <v>1</v>
          </cell>
          <cell r="U107">
            <v>1</v>
          </cell>
          <cell r="V107">
            <v>1</v>
          </cell>
          <cell r="W107">
            <v>1</v>
          </cell>
          <cell r="X107">
            <v>0</v>
          </cell>
          <cell r="Y107">
            <v>0</v>
          </cell>
          <cell r="Z107">
            <v>1</v>
          </cell>
          <cell r="AA107">
            <v>1</v>
          </cell>
          <cell r="AB107">
            <v>1</v>
          </cell>
          <cell r="AC107">
            <v>1</v>
          </cell>
          <cell r="AD107">
            <v>1</v>
          </cell>
          <cell r="AE107">
            <v>0</v>
          </cell>
          <cell r="AF107">
            <v>0</v>
          </cell>
          <cell r="AG107">
            <v>0</v>
          </cell>
        </row>
        <row r="108">
          <cell r="A108" t="str">
            <v>2011/10</v>
          </cell>
          <cell r="B108">
            <v>22</v>
          </cell>
          <cell r="C108">
            <v>0</v>
          </cell>
          <cell r="D108">
            <v>0</v>
          </cell>
          <cell r="E108">
            <v>1</v>
          </cell>
          <cell r="F108">
            <v>1</v>
          </cell>
          <cell r="G108">
            <v>1</v>
          </cell>
          <cell r="H108">
            <v>1</v>
          </cell>
          <cell r="I108">
            <v>1</v>
          </cell>
          <cell r="J108">
            <v>0.5</v>
          </cell>
          <cell r="K108">
            <v>0</v>
          </cell>
          <cell r="L108">
            <v>1</v>
          </cell>
          <cell r="M108">
            <v>1</v>
          </cell>
          <cell r="N108">
            <v>1</v>
          </cell>
          <cell r="O108">
            <v>1</v>
          </cell>
          <cell r="P108">
            <v>1</v>
          </cell>
          <cell r="Q108">
            <v>0</v>
          </cell>
          <cell r="R108">
            <v>0</v>
          </cell>
          <cell r="S108">
            <v>1</v>
          </cell>
          <cell r="T108">
            <v>1</v>
          </cell>
          <cell r="U108">
            <v>1</v>
          </cell>
          <cell r="V108">
            <v>1</v>
          </cell>
          <cell r="W108">
            <v>1</v>
          </cell>
          <cell r="X108">
            <v>0</v>
          </cell>
          <cell r="Y108">
            <v>0</v>
          </cell>
          <cell r="Z108">
            <v>1</v>
          </cell>
          <cell r="AA108">
            <v>1</v>
          </cell>
          <cell r="AB108">
            <v>1</v>
          </cell>
          <cell r="AC108">
            <v>1</v>
          </cell>
          <cell r="AD108">
            <v>1</v>
          </cell>
          <cell r="AE108">
            <v>0.5</v>
          </cell>
          <cell r="AF108">
            <v>0</v>
          </cell>
          <cell r="AG108">
            <v>1</v>
          </cell>
        </row>
        <row r="109">
          <cell r="A109" t="str">
            <v>2011/11</v>
          </cell>
          <cell r="B109">
            <v>23</v>
          </cell>
          <cell r="C109">
            <v>1</v>
          </cell>
          <cell r="D109">
            <v>1</v>
          </cell>
          <cell r="E109">
            <v>1</v>
          </cell>
          <cell r="F109">
            <v>1</v>
          </cell>
          <cell r="G109">
            <v>0.5</v>
          </cell>
          <cell r="H109">
            <v>0</v>
          </cell>
          <cell r="I109">
            <v>1</v>
          </cell>
          <cell r="J109">
            <v>1</v>
          </cell>
          <cell r="K109">
            <v>1</v>
          </cell>
          <cell r="L109">
            <v>1</v>
          </cell>
          <cell r="M109">
            <v>1</v>
          </cell>
          <cell r="N109">
            <v>0.5</v>
          </cell>
          <cell r="O109">
            <v>0</v>
          </cell>
          <cell r="P109">
            <v>1</v>
          </cell>
          <cell r="Q109">
            <v>1</v>
          </cell>
          <cell r="R109">
            <v>1</v>
          </cell>
          <cell r="S109">
            <v>1</v>
          </cell>
          <cell r="T109">
            <v>1</v>
          </cell>
          <cell r="U109">
            <v>0</v>
          </cell>
          <cell r="V109">
            <v>0</v>
          </cell>
          <cell r="W109">
            <v>1</v>
          </cell>
          <cell r="X109">
            <v>1</v>
          </cell>
          <cell r="Y109">
            <v>1</v>
          </cell>
          <cell r="Z109">
            <v>1</v>
          </cell>
          <cell r="AA109">
            <v>1</v>
          </cell>
          <cell r="AB109">
            <v>0</v>
          </cell>
          <cell r="AC109">
            <v>0</v>
          </cell>
          <cell r="AD109">
            <v>1</v>
          </cell>
          <cell r="AE109">
            <v>1</v>
          </cell>
          <cell r="AF109">
            <v>1</v>
          </cell>
          <cell r="AG109">
            <v>0</v>
          </cell>
        </row>
        <row r="110">
          <cell r="A110" t="str">
            <v>2011/12</v>
          </cell>
          <cell r="B110">
            <v>20</v>
          </cell>
          <cell r="C110">
            <v>1</v>
          </cell>
          <cell r="D110">
            <v>1</v>
          </cell>
          <cell r="E110">
            <v>0</v>
          </cell>
          <cell r="F110">
            <v>0</v>
          </cell>
          <cell r="G110">
            <v>1</v>
          </cell>
          <cell r="H110">
            <v>1</v>
          </cell>
          <cell r="I110">
            <v>1</v>
          </cell>
          <cell r="J110">
            <v>1</v>
          </cell>
          <cell r="K110">
            <v>1</v>
          </cell>
          <cell r="L110">
            <v>0.5</v>
          </cell>
          <cell r="M110">
            <v>0</v>
          </cell>
          <cell r="N110">
            <v>1</v>
          </cell>
          <cell r="O110">
            <v>1</v>
          </cell>
          <cell r="P110">
            <v>1</v>
          </cell>
          <cell r="Q110">
            <v>1</v>
          </cell>
          <cell r="R110">
            <v>1</v>
          </cell>
          <cell r="S110">
            <v>0.5</v>
          </cell>
          <cell r="T110">
            <v>0</v>
          </cell>
          <cell r="U110">
            <v>1</v>
          </cell>
          <cell r="V110">
            <v>1</v>
          </cell>
          <cell r="W110">
            <v>1</v>
          </cell>
          <cell r="X110">
            <v>1</v>
          </cell>
          <cell r="Y110">
            <v>1</v>
          </cell>
          <cell r="Z110">
            <v>0</v>
          </cell>
          <cell r="AA110">
            <v>0</v>
          </cell>
          <cell r="AB110">
            <v>1</v>
          </cell>
          <cell r="AC110">
            <v>1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</row>
        <row r="111">
          <cell r="A111" t="str">
            <v>2012/01</v>
          </cell>
          <cell r="B111">
            <v>19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  <cell r="I111">
            <v>1</v>
          </cell>
          <cell r="J111">
            <v>0</v>
          </cell>
          <cell r="K111">
            <v>0</v>
          </cell>
          <cell r="L111">
            <v>1</v>
          </cell>
          <cell r="M111">
            <v>1</v>
          </cell>
          <cell r="N111">
            <v>1</v>
          </cell>
          <cell r="O111">
            <v>1</v>
          </cell>
          <cell r="P111">
            <v>0.5</v>
          </cell>
          <cell r="Q111">
            <v>0</v>
          </cell>
          <cell r="R111">
            <v>1</v>
          </cell>
          <cell r="S111">
            <v>1</v>
          </cell>
          <cell r="T111">
            <v>1</v>
          </cell>
          <cell r="U111">
            <v>1</v>
          </cell>
          <cell r="V111">
            <v>1</v>
          </cell>
          <cell r="W111">
            <v>0.5</v>
          </cell>
          <cell r="X111">
            <v>0</v>
          </cell>
          <cell r="Y111">
            <v>1</v>
          </cell>
          <cell r="Z111">
            <v>1</v>
          </cell>
          <cell r="AA111">
            <v>1</v>
          </cell>
          <cell r="AB111">
            <v>1</v>
          </cell>
          <cell r="AC111">
            <v>1</v>
          </cell>
          <cell r="AD111">
            <v>0</v>
          </cell>
          <cell r="AE111">
            <v>0</v>
          </cell>
          <cell r="AF111">
            <v>1</v>
          </cell>
          <cell r="AG111">
            <v>1</v>
          </cell>
        </row>
        <row r="112">
          <cell r="A112" t="str">
            <v>2012/02</v>
          </cell>
          <cell r="B112">
            <v>22</v>
          </cell>
          <cell r="C112">
            <v>1</v>
          </cell>
          <cell r="D112">
            <v>1</v>
          </cell>
          <cell r="E112">
            <v>1</v>
          </cell>
          <cell r="F112">
            <v>0</v>
          </cell>
          <cell r="G112">
            <v>0</v>
          </cell>
          <cell r="H112">
            <v>1</v>
          </cell>
          <cell r="I112">
            <v>1</v>
          </cell>
          <cell r="J112">
            <v>1</v>
          </cell>
          <cell r="K112">
            <v>1</v>
          </cell>
          <cell r="L112">
            <v>1</v>
          </cell>
          <cell r="M112">
            <v>0.5</v>
          </cell>
          <cell r="N112">
            <v>0</v>
          </cell>
          <cell r="O112">
            <v>1</v>
          </cell>
          <cell r="P112">
            <v>1</v>
          </cell>
          <cell r="Q112">
            <v>1</v>
          </cell>
          <cell r="R112">
            <v>1</v>
          </cell>
          <cell r="S112">
            <v>1</v>
          </cell>
          <cell r="T112">
            <v>0.5</v>
          </cell>
          <cell r="U112">
            <v>0</v>
          </cell>
          <cell r="V112">
            <v>1</v>
          </cell>
          <cell r="W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0</v>
          </cell>
          <cell r="AB112">
            <v>0</v>
          </cell>
          <cell r="AC112">
            <v>1</v>
          </cell>
          <cell r="AD112">
            <v>1</v>
          </cell>
          <cell r="AE112">
            <v>1</v>
          </cell>
          <cell r="AF112">
            <v>0</v>
          </cell>
          <cell r="AG112">
            <v>0</v>
          </cell>
        </row>
        <row r="113">
          <cell r="A113" t="str">
            <v>2012/03</v>
          </cell>
          <cell r="B113">
            <v>22</v>
          </cell>
          <cell r="C113">
            <v>1</v>
          </cell>
          <cell r="D113">
            <v>1</v>
          </cell>
          <cell r="E113">
            <v>0</v>
          </cell>
          <cell r="F113">
            <v>0</v>
          </cell>
          <cell r="G113">
            <v>1</v>
          </cell>
          <cell r="H113">
            <v>1</v>
          </cell>
          <cell r="I113">
            <v>1</v>
          </cell>
          <cell r="J113">
            <v>1</v>
          </cell>
          <cell r="K113">
            <v>1</v>
          </cell>
          <cell r="L113">
            <v>0</v>
          </cell>
          <cell r="M113">
            <v>0</v>
          </cell>
          <cell r="N113">
            <v>1</v>
          </cell>
          <cell r="O113">
            <v>1</v>
          </cell>
          <cell r="P113">
            <v>1</v>
          </cell>
          <cell r="Q113">
            <v>1</v>
          </cell>
          <cell r="R113">
            <v>1</v>
          </cell>
          <cell r="S113">
            <v>0</v>
          </cell>
          <cell r="T113">
            <v>0</v>
          </cell>
          <cell r="U113">
            <v>1</v>
          </cell>
          <cell r="V113">
            <v>1</v>
          </cell>
          <cell r="W113">
            <v>1</v>
          </cell>
          <cell r="X113">
            <v>1</v>
          </cell>
          <cell r="Y113">
            <v>1</v>
          </cell>
          <cell r="Z113">
            <v>0</v>
          </cell>
          <cell r="AA113">
            <v>0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  <cell r="AF113">
            <v>1</v>
          </cell>
          <cell r="AG113">
            <v>0</v>
          </cell>
        </row>
        <row r="114">
          <cell r="A114" t="str">
            <v>2012/04</v>
          </cell>
          <cell r="B114">
            <v>20</v>
          </cell>
          <cell r="C114">
            <v>0</v>
          </cell>
          <cell r="D114">
            <v>1</v>
          </cell>
          <cell r="E114">
            <v>1</v>
          </cell>
          <cell r="F114">
            <v>1</v>
          </cell>
          <cell r="G114">
            <v>1</v>
          </cell>
          <cell r="H114">
            <v>1</v>
          </cell>
          <cell r="I114">
            <v>0</v>
          </cell>
          <cell r="J114">
            <v>0</v>
          </cell>
          <cell r="K114">
            <v>1</v>
          </cell>
          <cell r="L114">
            <v>1</v>
          </cell>
          <cell r="M114">
            <v>1</v>
          </cell>
          <cell r="N114">
            <v>1</v>
          </cell>
          <cell r="O114">
            <v>1</v>
          </cell>
          <cell r="P114">
            <v>0</v>
          </cell>
          <cell r="Q114">
            <v>0</v>
          </cell>
          <cell r="R114">
            <v>1</v>
          </cell>
          <cell r="S114">
            <v>1</v>
          </cell>
          <cell r="T114">
            <v>1</v>
          </cell>
          <cell r="U114">
            <v>1</v>
          </cell>
          <cell r="V114">
            <v>1</v>
          </cell>
          <cell r="W114">
            <v>0</v>
          </cell>
          <cell r="X114">
            <v>0</v>
          </cell>
          <cell r="Y114">
            <v>1</v>
          </cell>
          <cell r="Z114">
            <v>1</v>
          </cell>
          <cell r="AA114">
            <v>1</v>
          </cell>
          <cell r="AB114">
            <v>1</v>
          </cell>
          <cell r="AC114">
            <v>1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</row>
        <row r="115">
          <cell r="A115" t="str">
            <v>2012/05</v>
          </cell>
          <cell r="B115">
            <v>19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1</v>
          </cell>
          <cell r="J115">
            <v>1</v>
          </cell>
          <cell r="K115">
            <v>1</v>
          </cell>
          <cell r="L115">
            <v>1</v>
          </cell>
          <cell r="M115">
            <v>1</v>
          </cell>
          <cell r="N115">
            <v>0</v>
          </cell>
          <cell r="O115">
            <v>0</v>
          </cell>
          <cell r="P115">
            <v>1</v>
          </cell>
          <cell r="Q115">
            <v>1</v>
          </cell>
          <cell r="R115">
            <v>1</v>
          </cell>
          <cell r="S115">
            <v>1</v>
          </cell>
          <cell r="T115">
            <v>1</v>
          </cell>
          <cell r="U115">
            <v>0</v>
          </cell>
          <cell r="V115">
            <v>0</v>
          </cell>
          <cell r="W115">
            <v>1</v>
          </cell>
          <cell r="X115">
            <v>1</v>
          </cell>
          <cell r="Y115">
            <v>1</v>
          </cell>
          <cell r="Z115">
            <v>1</v>
          </cell>
          <cell r="AA115">
            <v>1</v>
          </cell>
          <cell r="AB115">
            <v>0</v>
          </cell>
          <cell r="AC115">
            <v>0</v>
          </cell>
          <cell r="AD115">
            <v>1</v>
          </cell>
          <cell r="AE115">
            <v>1</v>
          </cell>
          <cell r="AF115">
            <v>1</v>
          </cell>
          <cell r="AG115">
            <v>1</v>
          </cell>
        </row>
        <row r="116">
          <cell r="A116" t="str">
            <v>2012/06</v>
          </cell>
          <cell r="B116">
            <v>21</v>
          </cell>
          <cell r="C116">
            <v>1</v>
          </cell>
          <cell r="D116">
            <v>0</v>
          </cell>
          <cell r="E116">
            <v>0</v>
          </cell>
          <cell r="F116">
            <v>1</v>
          </cell>
          <cell r="G116">
            <v>1</v>
          </cell>
          <cell r="H116">
            <v>1</v>
          </cell>
          <cell r="I116">
            <v>1</v>
          </cell>
          <cell r="J116">
            <v>1</v>
          </cell>
          <cell r="K116">
            <v>0</v>
          </cell>
          <cell r="L116">
            <v>0</v>
          </cell>
          <cell r="M116">
            <v>1</v>
          </cell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0</v>
          </cell>
          <cell r="S116">
            <v>0</v>
          </cell>
          <cell r="T116">
            <v>1</v>
          </cell>
          <cell r="U116">
            <v>1</v>
          </cell>
          <cell r="V116">
            <v>1</v>
          </cell>
          <cell r="W116">
            <v>1</v>
          </cell>
          <cell r="X116">
            <v>1</v>
          </cell>
          <cell r="Y116">
            <v>0</v>
          </cell>
          <cell r="Z116">
            <v>0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  <cell r="AF116">
            <v>0</v>
          </cell>
          <cell r="AG116">
            <v>0</v>
          </cell>
        </row>
        <row r="117">
          <cell r="A117" t="str">
            <v>2012/07</v>
          </cell>
          <cell r="B117">
            <v>22</v>
          </cell>
          <cell r="C117">
            <v>0</v>
          </cell>
          <cell r="D117">
            <v>1</v>
          </cell>
          <cell r="E117">
            <v>1</v>
          </cell>
          <cell r="F117">
            <v>1</v>
          </cell>
          <cell r="G117">
            <v>1</v>
          </cell>
          <cell r="H117">
            <v>1</v>
          </cell>
          <cell r="I117">
            <v>0</v>
          </cell>
          <cell r="J117">
            <v>0</v>
          </cell>
          <cell r="K117">
            <v>1</v>
          </cell>
          <cell r="L117">
            <v>1</v>
          </cell>
          <cell r="M117">
            <v>1</v>
          </cell>
          <cell r="N117">
            <v>1</v>
          </cell>
          <cell r="O117">
            <v>1</v>
          </cell>
          <cell r="P117">
            <v>0</v>
          </cell>
          <cell r="Q117">
            <v>0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V117">
            <v>1</v>
          </cell>
          <cell r="W117">
            <v>0</v>
          </cell>
          <cell r="X117">
            <v>0</v>
          </cell>
          <cell r="Y117">
            <v>1</v>
          </cell>
          <cell r="Z117">
            <v>1</v>
          </cell>
          <cell r="AA117">
            <v>1</v>
          </cell>
          <cell r="AB117">
            <v>1</v>
          </cell>
          <cell r="AC117">
            <v>1</v>
          </cell>
          <cell r="AD117">
            <v>0</v>
          </cell>
          <cell r="AE117">
            <v>0</v>
          </cell>
          <cell r="AF117">
            <v>1</v>
          </cell>
          <cell r="AG117">
            <v>1</v>
          </cell>
        </row>
        <row r="118">
          <cell r="A118" t="str">
            <v>2012/08</v>
          </cell>
          <cell r="B118">
            <v>18</v>
          </cell>
          <cell r="C118">
            <v>1</v>
          </cell>
          <cell r="D118">
            <v>1</v>
          </cell>
          <cell r="E118">
            <v>1</v>
          </cell>
          <cell r="F118">
            <v>0</v>
          </cell>
          <cell r="G118">
            <v>0</v>
          </cell>
          <cell r="H118">
            <v>1</v>
          </cell>
          <cell r="I118">
            <v>1</v>
          </cell>
          <cell r="J118">
            <v>1</v>
          </cell>
          <cell r="K118">
            <v>1</v>
          </cell>
          <cell r="L118">
            <v>1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1</v>
          </cell>
          <cell r="W118">
            <v>1</v>
          </cell>
          <cell r="X118">
            <v>1</v>
          </cell>
          <cell r="Y118">
            <v>1</v>
          </cell>
          <cell r="Z118">
            <v>1</v>
          </cell>
          <cell r="AA118">
            <v>0</v>
          </cell>
          <cell r="AB118">
            <v>0</v>
          </cell>
          <cell r="AC118">
            <v>1</v>
          </cell>
          <cell r="AD118">
            <v>1</v>
          </cell>
          <cell r="AE118">
            <v>1</v>
          </cell>
          <cell r="AF118">
            <v>1</v>
          </cell>
          <cell r="AG118">
            <v>1</v>
          </cell>
        </row>
        <row r="119">
          <cell r="A119" t="str">
            <v>2012/09</v>
          </cell>
          <cell r="B119">
            <v>20</v>
          </cell>
          <cell r="C119">
            <v>0</v>
          </cell>
          <cell r="D119">
            <v>0</v>
          </cell>
          <cell r="E119">
            <v>1</v>
          </cell>
          <cell r="F119">
            <v>1</v>
          </cell>
          <cell r="G119">
            <v>1</v>
          </cell>
          <cell r="H119">
            <v>1</v>
          </cell>
          <cell r="I119">
            <v>1</v>
          </cell>
          <cell r="J119">
            <v>0</v>
          </cell>
          <cell r="K119">
            <v>0</v>
          </cell>
          <cell r="L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Q119">
            <v>0</v>
          </cell>
          <cell r="R119">
            <v>0</v>
          </cell>
          <cell r="S119">
            <v>1</v>
          </cell>
          <cell r="T119">
            <v>1</v>
          </cell>
          <cell r="U119">
            <v>1</v>
          </cell>
          <cell r="V119">
            <v>1</v>
          </cell>
          <cell r="W119">
            <v>1</v>
          </cell>
          <cell r="X119">
            <v>0</v>
          </cell>
          <cell r="Y119">
            <v>0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0</v>
          </cell>
          <cell r="AF119">
            <v>0</v>
          </cell>
          <cell r="AG119">
            <v>0</v>
          </cell>
        </row>
        <row r="120">
          <cell r="A120" t="str">
            <v>2012/10</v>
          </cell>
          <cell r="B120">
            <v>22</v>
          </cell>
          <cell r="C120">
            <v>1</v>
          </cell>
          <cell r="D120">
            <v>1</v>
          </cell>
          <cell r="E120">
            <v>1</v>
          </cell>
          <cell r="F120">
            <v>1</v>
          </cell>
          <cell r="G120">
            <v>1</v>
          </cell>
          <cell r="H120">
            <v>0</v>
          </cell>
          <cell r="I120">
            <v>0</v>
          </cell>
          <cell r="J120">
            <v>0</v>
          </cell>
          <cell r="K120">
            <v>1</v>
          </cell>
          <cell r="L120">
            <v>1</v>
          </cell>
          <cell r="M120">
            <v>1</v>
          </cell>
          <cell r="N120">
            <v>1</v>
          </cell>
          <cell r="O120">
            <v>0</v>
          </cell>
          <cell r="P120">
            <v>0</v>
          </cell>
          <cell r="Q120">
            <v>1</v>
          </cell>
          <cell r="R120">
            <v>1</v>
          </cell>
          <cell r="S120">
            <v>1</v>
          </cell>
          <cell r="T120">
            <v>1</v>
          </cell>
          <cell r="U120">
            <v>1</v>
          </cell>
          <cell r="V120">
            <v>0</v>
          </cell>
          <cell r="W120">
            <v>0</v>
          </cell>
          <cell r="X120">
            <v>1</v>
          </cell>
          <cell r="Y120">
            <v>1</v>
          </cell>
          <cell r="Z120">
            <v>1</v>
          </cell>
          <cell r="AA120">
            <v>1</v>
          </cell>
          <cell r="AB120">
            <v>1</v>
          </cell>
          <cell r="AC120">
            <v>0</v>
          </cell>
          <cell r="AD120">
            <v>0</v>
          </cell>
          <cell r="AE120">
            <v>1</v>
          </cell>
          <cell r="AF120">
            <v>1</v>
          </cell>
          <cell r="AG120">
            <v>1</v>
          </cell>
        </row>
        <row r="121">
          <cell r="A121" t="str">
            <v>2012/11</v>
          </cell>
          <cell r="B121">
            <v>22</v>
          </cell>
          <cell r="C121">
            <v>1</v>
          </cell>
          <cell r="D121">
            <v>1</v>
          </cell>
          <cell r="E121">
            <v>0</v>
          </cell>
          <cell r="F121">
            <v>0</v>
          </cell>
          <cell r="G121">
            <v>1</v>
          </cell>
          <cell r="H121">
            <v>1</v>
          </cell>
          <cell r="I121">
            <v>1</v>
          </cell>
          <cell r="J121">
            <v>1</v>
          </cell>
          <cell r="K121">
            <v>1</v>
          </cell>
          <cell r="L121">
            <v>0</v>
          </cell>
          <cell r="M121">
            <v>0</v>
          </cell>
          <cell r="N121">
            <v>1</v>
          </cell>
          <cell r="O121">
            <v>1</v>
          </cell>
          <cell r="P121">
            <v>1</v>
          </cell>
          <cell r="Q121">
            <v>1</v>
          </cell>
          <cell r="R121">
            <v>1</v>
          </cell>
          <cell r="S121">
            <v>0</v>
          </cell>
          <cell r="T121">
            <v>0</v>
          </cell>
          <cell r="U121">
            <v>1</v>
          </cell>
          <cell r="V121">
            <v>1</v>
          </cell>
          <cell r="W121">
            <v>1</v>
          </cell>
          <cell r="X121">
            <v>1</v>
          </cell>
          <cell r="Y121">
            <v>1</v>
          </cell>
          <cell r="Z121">
            <v>0</v>
          </cell>
          <cell r="AA121">
            <v>0</v>
          </cell>
          <cell r="AB121">
            <v>1</v>
          </cell>
          <cell r="AC121">
            <v>1</v>
          </cell>
          <cell r="AD121">
            <v>1</v>
          </cell>
          <cell r="AE121">
            <v>1</v>
          </cell>
          <cell r="AF121">
            <v>1</v>
          </cell>
          <cell r="AG121">
            <v>0</v>
          </cell>
        </row>
        <row r="122">
          <cell r="A122" t="str">
            <v>2012/12</v>
          </cell>
          <cell r="B122">
            <v>18</v>
          </cell>
          <cell r="C122">
            <v>0</v>
          </cell>
          <cell r="D122">
            <v>0</v>
          </cell>
          <cell r="E122">
            <v>1</v>
          </cell>
          <cell r="F122">
            <v>1</v>
          </cell>
          <cell r="G122">
            <v>1</v>
          </cell>
          <cell r="H122">
            <v>1</v>
          </cell>
          <cell r="I122">
            <v>1</v>
          </cell>
          <cell r="J122">
            <v>0</v>
          </cell>
          <cell r="K122">
            <v>0</v>
          </cell>
          <cell r="L122">
            <v>1</v>
          </cell>
          <cell r="M122">
            <v>1</v>
          </cell>
          <cell r="N122">
            <v>1</v>
          </cell>
          <cell r="O122">
            <v>1</v>
          </cell>
          <cell r="P122">
            <v>1</v>
          </cell>
          <cell r="Q122">
            <v>0</v>
          </cell>
          <cell r="R122">
            <v>0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0</v>
          </cell>
          <cell r="Y122">
            <v>0</v>
          </cell>
          <cell r="Z122">
            <v>1</v>
          </cell>
          <cell r="AA122">
            <v>1</v>
          </cell>
          <cell r="AB122">
            <v>1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</row>
        <row r="123">
          <cell r="A123" t="str">
            <v>2013/01</v>
          </cell>
          <cell r="B123">
            <v>20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1</v>
          </cell>
          <cell r="J123">
            <v>1</v>
          </cell>
          <cell r="K123">
            <v>1</v>
          </cell>
          <cell r="L123">
            <v>1</v>
          </cell>
          <cell r="M123">
            <v>1</v>
          </cell>
          <cell r="N123">
            <v>0</v>
          </cell>
          <cell r="O123">
            <v>0</v>
          </cell>
          <cell r="P123">
            <v>1</v>
          </cell>
          <cell r="Q123">
            <v>1</v>
          </cell>
          <cell r="R123">
            <v>1</v>
          </cell>
          <cell r="S123">
            <v>1</v>
          </cell>
          <cell r="T123">
            <v>1</v>
          </cell>
          <cell r="U123">
            <v>0.5</v>
          </cell>
          <cell r="V123">
            <v>0</v>
          </cell>
          <cell r="W123">
            <v>1</v>
          </cell>
          <cell r="X123">
            <v>1</v>
          </cell>
          <cell r="Y123">
            <v>1</v>
          </cell>
          <cell r="Z123">
            <v>1</v>
          </cell>
          <cell r="AA123">
            <v>1</v>
          </cell>
          <cell r="AB123">
            <v>0.5</v>
          </cell>
          <cell r="AC123">
            <v>0</v>
          </cell>
          <cell r="AD123">
            <v>1</v>
          </cell>
          <cell r="AE123">
            <v>1</v>
          </cell>
          <cell r="AF123">
            <v>1</v>
          </cell>
          <cell r="AG123">
            <v>1</v>
          </cell>
        </row>
        <row r="124">
          <cell r="A124" t="str">
            <v>2013/02</v>
          </cell>
          <cell r="B124">
            <v>21</v>
          </cell>
          <cell r="C124">
            <v>1</v>
          </cell>
          <cell r="D124">
            <v>0</v>
          </cell>
          <cell r="E124">
            <v>0</v>
          </cell>
          <cell r="F124">
            <v>1</v>
          </cell>
          <cell r="G124">
            <v>1</v>
          </cell>
          <cell r="H124">
            <v>1</v>
          </cell>
          <cell r="I124">
            <v>1</v>
          </cell>
          <cell r="J124">
            <v>1</v>
          </cell>
          <cell r="K124">
            <v>0</v>
          </cell>
          <cell r="L124">
            <v>0</v>
          </cell>
          <cell r="M124">
            <v>1</v>
          </cell>
          <cell r="N124">
            <v>1</v>
          </cell>
          <cell r="O124">
            <v>1</v>
          </cell>
          <cell r="P124">
            <v>1</v>
          </cell>
          <cell r="Q124">
            <v>1</v>
          </cell>
          <cell r="R124">
            <v>0.5</v>
          </cell>
          <cell r="S124">
            <v>0</v>
          </cell>
          <cell r="T124">
            <v>1</v>
          </cell>
          <cell r="U124">
            <v>1</v>
          </cell>
          <cell r="V124">
            <v>1</v>
          </cell>
          <cell r="W124">
            <v>1</v>
          </cell>
          <cell r="X124">
            <v>1</v>
          </cell>
          <cell r="Y124">
            <v>0.5</v>
          </cell>
          <cell r="Z124">
            <v>0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E124">
            <v>0</v>
          </cell>
          <cell r="AF124">
            <v>0</v>
          </cell>
          <cell r="AG124">
            <v>0</v>
          </cell>
        </row>
        <row r="125">
          <cell r="A125" t="str">
            <v>2013/03</v>
          </cell>
          <cell r="B125">
            <v>21</v>
          </cell>
          <cell r="C125">
            <v>1</v>
          </cell>
          <cell r="D125">
            <v>0</v>
          </cell>
          <cell r="E125">
            <v>0</v>
          </cell>
          <cell r="F125">
            <v>1</v>
          </cell>
          <cell r="G125">
            <v>1</v>
          </cell>
          <cell r="H125">
            <v>1</v>
          </cell>
          <cell r="I125">
            <v>1</v>
          </cell>
          <cell r="J125">
            <v>1</v>
          </cell>
          <cell r="K125">
            <v>0</v>
          </cell>
          <cell r="L125">
            <v>0</v>
          </cell>
          <cell r="M125">
            <v>1</v>
          </cell>
          <cell r="N125">
            <v>1</v>
          </cell>
          <cell r="O125">
            <v>1</v>
          </cell>
          <cell r="P125">
            <v>1</v>
          </cell>
          <cell r="Q125">
            <v>1</v>
          </cell>
          <cell r="R125">
            <v>0</v>
          </cell>
          <cell r="S125">
            <v>0</v>
          </cell>
          <cell r="T125">
            <v>1</v>
          </cell>
          <cell r="U125">
            <v>1</v>
          </cell>
          <cell r="V125">
            <v>1</v>
          </cell>
          <cell r="W125">
            <v>1</v>
          </cell>
          <cell r="X125">
            <v>1</v>
          </cell>
          <cell r="Y125">
            <v>0</v>
          </cell>
          <cell r="Z125">
            <v>0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0</v>
          </cell>
          <cell r="AG125">
            <v>0</v>
          </cell>
        </row>
        <row r="126">
          <cell r="A126" t="str">
            <v>2013/04</v>
          </cell>
          <cell r="B126">
            <v>20</v>
          </cell>
          <cell r="C126">
            <v>1</v>
          </cell>
          <cell r="D126">
            <v>1</v>
          </cell>
          <cell r="E126">
            <v>1</v>
          </cell>
          <cell r="F126">
            <v>1</v>
          </cell>
          <cell r="G126">
            <v>1</v>
          </cell>
          <cell r="H126">
            <v>0</v>
          </cell>
          <cell r="I126">
            <v>0</v>
          </cell>
          <cell r="J126">
            <v>1</v>
          </cell>
          <cell r="K126">
            <v>1</v>
          </cell>
          <cell r="L126">
            <v>1</v>
          </cell>
          <cell r="M126">
            <v>1</v>
          </cell>
          <cell r="N126">
            <v>1</v>
          </cell>
          <cell r="O126">
            <v>0</v>
          </cell>
          <cell r="P126">
            <v>0</v>
          </cell>
          <cell r="Q126">
            <v>1</v>
          </cell>
          <cell r="R126">
            <v>1</v>
          </cell>
          <cell r="S126">
            <v>1</v>
          </cell>
          <cell r="T126">
            <v>1</v>
          </cell>
          <cell r="U126">
            <v>1</v>
          </cell>
          <cell r="V126">
            <v>0</v>
          </cell>
          <cell r="W126">
            <v>0</v>
          </cell>
          <cell r="X126">
            <v>1</v>
          </cell>
          <cell r="Y126">
            <v>1</v>
          </cell>
          <cell r="Z126">
            <v>1</v>
          </cell>
          <cell r="AA126">
            <v>1</v>
          </cell>
          <cell r="AB126">
            <v>1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</row>
        <row r="127">
          <cell r="A127" t="str">
            <v>2013/05</v>
          </cell>
          <cell r="B127">
            <v>20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1</v>
          </cell>
          <cell r="I127">
            <v>1</v>
          </cell>
          <cell r="J127">
            <v>1</v>
          </cell>
          <cell r="K127">
            <v>1</v>
          </cell>
          <cell r="L127">
            <v>1</v>
          </cell>
          <cell r="M127">
            <v>0</v>
          </cell>
          <cell r="N127">
            <v>0</v>
          </cell>
          <cell r="O127">
            <v>1</v>
          </cell>
          <cell r="P127">
            <v>1</v>
          </cell>
          <cell r="Q127">
            <v>1</v>
          </cell>
          <cell r="R127">
            <v>1</v>
          </cell>
          <cell r="S127">
            <v>1</v>
          </cell>
          <cell r="T127">
            <v>0</v>
          </cell>
          <cell r="U127">
            <v>0</v>
          </cell>
          <cell r="V127">
            <v>1</v>
          </cell>
          <cell r="W127">
            <v>1</v>
          </cell>
          <cell r="X127">
            <v>1</v>
          </cell>
          <cell r="Y127">
            <v>1</v>
          </cell>
          <cell r="Z127">
            <v>1</v>
          </cell>
          <cell r="AA127">
            <v>0</v>
          </cell>
          <cell r="AB127">
            <v>0</v>
          </cell>
          <cell r="AC127">
            <v>1</v>
          </cell>
          <cell r="AD127">
            <v>1</v>
          </cell>
          <cell r="AE127">
            <v>1</v>
          </cell>
          <cell r="AF127">
            <v>1</v>
          </cell>
          <cell r="AG127">
            <v>1</v>
          </cell>
        </row>
        <row r="128">
          <cell r="A128" t="str">
            <v>2013/06</v>
          </cell>
          <cell r="B128">
            <v>20</v>
          </cell>
          <cell r="C128">
            <v>0</v>
          </cell>
          <cell r="D128">
            <v>0</v>
          </cell>
          <cell r="E128">
            <v>1</v>
          </cell>
          <cell r="F128">
            <v>1</v>
          </cell>
          <cell r="G128">
            <v>1</v>
          </cell>
          <cell r="H128">
            <v>1</v>
          </cell>
          <cell r="I128">
            <v>1</v>
          </cell>
          <cell r="J128">
            <v>0</v>
          </cell>
          <cell r="K128">
            <v>0</v>
          </cell>
          <cell r="L128">
            <v>1</v>
          </cell>
          <cell r="M128">
            <v>1</v>
          </cell>
          <cell r="N128">
            <v>1</v>
          </cell>
          <cell r="O128">
            <v>1</v>
          </cell>
          <cell r="P128">
            <v>1</v>
          </cell>
          <cell r="Q128">
            <v>0</v>
          </cell>
          <cell r="R128">
            <v>0</v>
          </cell>
          <cell r="S128">
            <v>1</v>
          </cell>
          <cell r="T128">
            <v>1</v>
          </cell>
          <cell r="U128">
            <v>1</v>
          </cell>
          <cell r="V128">
            <v>1</v>
          </cell>
          <cell r="W128">
            <v>1</v>
          </cell>
          <cell r="X128">
            <v>0</v>
          </cell>
          <cell r="Y128">
            <v>0</v>
          </cell>
          <cell r="Z128">
            <v>1</v>
          </cell>
          <cell r="AA128">
            <v>1</v>
          </cell>
          <cell r="AB128">
            <v>1</v>
          </cell>
          <cell r="AC128">
            <v>1</v>
          </cell>
          <cell r="AD128">
            <v>1</v>
          </cell>
          <cell r="AE128">
            <v>0</v>
          </cell>
          <cell r="AF128">
            <v>0</v>
          </cell>
          <cell r="AG128">
            <v>0</v>
          </cell>
        </row>
        <row r="129">
          <cell r="A129" t="str">
            <v>2013/07</v>
          </cell>
          <cell r="B129">
            <v>23</v>
          </cell>
          <cell r="C129">
            <v>1</v>
          </cell>
          <cell r="D129">
            <v>1</v>
          </cell>
          <cell r="E129">
            <v>1</v>
          </cell>
          <cell r="F129">
            <v>1</v>
          </cell>
          <cell r="G129">
            <v>1</v>
          </cell>
          <cell r="H129">
            <v>0</v>
          </cell>
          <cell r="I129">
            <v>0</v>
          </cell>
          <cell r="J129">
            <v>1</v>
          </cell>
          <cell r="K129">
            <v>1</v>
          </cell>
          <cell r="L129">
            <v>1</v>
          </cell>
          <cell r="M129">
            <v>1</v>
          </cell>
          <cell r="N129">
            <v>1</v>
          </cell>
          <cell r="O129">
            <v>0</v>
          </cell>
          <cell r="P129">
            <v>0</v>
          </cell>
          <cell r="Q129">
            <v>1</v>
          </cell>
          <cell r="R129">
            <v>1</v>
          </cell>
          <cell r="S129">
            <v>1</v>
          </cell>
          <cell r="T129">
            <v>1</v>
          </cell>
          <cell r="U129">
            <v>1</v>
          </cell>
          <cell r="V129">
            <v>0</v>
          </cell>
          <cell r="W129">
            <v>0</v>
          </cell>
          <cell r="X129">
            <v>1</v>
          </cell>
          <cell r="Y129">
            <v>1</v>
          </cell>
          <cell r="Z129">
            <v>1</v>
          </cell>
          <cell r="AA129">
            <v>1</v>
          </cell>
          <cell r="AB129">
            <v>1</v>
          </cell>
          <cell r="AC129">
            <v>0</v>
          </cell>
          <cell r="AD129">
            <v>0</v>
          </cell>
          <cell r="AE129">
            <v>1</v>
          </cell>
          <cell r="AF129">
            <v>1</v>
          </cell>
          <cell r="AG129">
            <v>1</v>
          </cell>
        </row>
        <row r="130">
          <cell r="A130" t="str">
            <v>2013/08</v>
          </cell>
          <cell r="B130">
            <v>17</v>
          </cell>
          <cell r="C130">
            <v>1</v>
          </cell>
          <cell r="D130">
            <v>1</v>
          </cell>
          <cell r="E130">
            <v>0</v>
          </cell>
          <cell r="F130">
            <v>0</v>
          </cell>
          <cell r="G130">
            <v>1</v>
          </cell>
          <cell r="H130">
            <v>1</v>
          </cell>
          <cell r="I130">
            <v>1</v>
          </cell>
          <cell r="J130">
            <v>1</v>
          </cell>
          <cell r="K130">
            <v>1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1</v>
          </cell>
          <cell r="V130">
            <v>1</v>
          </cell>
          <cell r="W130">
            <v>1</v>
          </cell>
          <cell r="X130">
            <v>1</v>
          </cell>
          <cell r="Y130">
            <v>1</v>
          </cell>
          <cell r="Z130">
            <v>0</v>
          </cell>
          <cell r="AA130">
            <v>0</v>
          </cell>
          <cell r="AB130">
            <v>1</v>
          </cell>
          <cell r="AC130">
            <v>1</v>
          </cell>
          <cell r="AD130">
            <v>1</v>
          </cell>
          <cell r="AE130">
            <v>1</v>
          </cell>
          <cell r="AF130">
            <v>1</v>
          </cell>
          <cell r="AG130">
            <v>0</v>
          </cell>
        </row>
        <row r="131">
          <cell r="A131" t="str">
            <v>2013/09</v>
          </cell>
          <cell r="B131">
            <v>21</v>
          </cell>
          <cell r="C131">
            <v>0</v>
          </cell>
          <cell r="D131">
            <v>1</v>
          </cell>
          <cell r="E131">
            <v>1</v>
          </cell>
          <cell r="F131">
            <v>1</v>
          </cell>
          <cell r="G131">
            <v>1</v>
          </cell>
          <cell r="H131">
            <v>1</v>
          </cell>
          <cell r="I131">
            <v>0</v>
          </cell>
          <cell r="J131">
            <v>0</v>
          </cell>
          <cell r="K131">
            <v>1</v>
          </cell>
          <cell r="L131">
            <v>1</v>
          </cell>
          <cell r="M131">
            <v>1</v>
          </cell>
          <cell r="N131">
            <v>1</v>
          </cell>
          <cell r="O131">
            <v>1</v>
          </cell>
          <cell r="P131">
            <v>0</v>
          </cell>
          <cell r="Q131">
            <v>0</v>
          </cell>
          <cell r="R131">
            <v>1</v>
          </cell>
          <cell r="S131">
            <v>1</v>
          </cell>
          <cell r="T131">
            <v>1</v>
          </cell>
          <cell r="U131">
            <v>1</v>
          </cell>
          <cell r="V131">
            <v>1</v>
          </cell>
          <cell r="W131">
            <v>0</v>
          </cell>
          <cell r="X131">
            <v>0</v>
          </cell>
          <cell r="Y131">
            <v>1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0</v>
          </cell>
          <cell r="AE131">
            <v>0</v>
          </cell>
          <cell r="AF131">
            <v>1</v>
          </cell>
          <cell r="AG131">
            <v>0</v>
          </cell>
        </row>
        <row r="132">
          <cell r="A132" t="str">
            <v>2013/10</v>
          </cell>
          <cell r="B132">
            <v>22</v>
          </cell>
          <cell r="C132">
            <v>1</v>
          </cell>
          <cell r="D132">
            <v>1</v>
          </cell>
          <cell r="E132">
            <v>1</v>
          </cell>
          <cell r="F132">
            <v>1</v>
          </cell>
          <cell r="G132">
            <v>0</v>
          </cell>
          <cell r="H132">
            <v>0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0</v>
          </cell>
          <cell r="O132">
            <v>0</v>
          </cell>
          <cell r="P132">
            <v>0</v>
          </cell>
          <cell r="Q132">
            <v>1</v>
          </cell>
          <cell r="R132">
            <v>1</v>
          </cell>
          <cell r="S132">
            <v>1</v>
          </cell>
          <cell r="T132">
            <v>1</v>
          </cell>
          <cell r="U132">
            <v>0</v>
          </cell>
          <cell r="V132">
            <v>0</v>
          </cell>
          <cell r="W132">
            <v>1</v>
          </cell>
          <cell r="X132">
            <v>1</v>
          </cell>
          <cell r="Y132">
            <v>1</v>
          </cell>
          <cell r="Z132">
            <v>1</v>
          </cell>
          <cell r="AA132">
            <v>1</v>
          </cell>
          <cell r="AB132">
            <v>0</v>
          </cell>
          <cell r="AC132">
            <v>0</v>
          </cell>
          <cell r="AD132">
            <v>1</v>
          </cell>
          <cell r="AE132">
            <v>1</v>
          </cell>
          <cell r="AF132">
            <v>1</v>
          </cell>
          <cell r="AG132">
            <v>1</v>
          </cell>
        </row>
        <row r="133">
          <cell r="A133" t="str">
            <v>2013/11</v>
          </cell>
          <cell r="B133">
            <v>20</v>
          </cell>
          <cell r="C133">
            <v>1</v>
          </cell>
          <cell r="D133">
            <v>0</v>
          </cell>
          <cell r="E133">
            <v>0</v>
          </cell>
          <cell r="F133">
            <v>0</v>
          </cell>
          <cell r="G133">
            <v>1</v>
          </cell>
          <cell r="H133">
            <v>1</v>
          </cell>
          <cell r="I133">
            <v>1</v>
          </cell>
          <cell r="J133">
            <v>1</v>
          </cell>
          <cell r="K133">
            <v>0</v>
          </cell>
          <cell r="L133">
            <v>0</v>
          </cell>
          <cell r="M133">
            <v>1</v>
          </cell>
          <cell r="N133">
            <v>1</v>
          </cell>
          <cell r="O133">
            <v>1</v>
          </cell>
          <cell r="P133">
            <v>1</v>
          </cell>
          <cell r="Q133">
            <v>1</v>
          </cell>
          <cell r="R133">
            <v>0</v>
          </cell>
          <cell r="S133">
            <v>0</v>
          </cell>
          <cell r="T133">
            <v>1</v>
          </cell>
          <cell r="U133">
            <v>1</v>
          </cell>
          <cell r="V133">
            <v>1</v>
          </cell>
          <cell r="W133">
            <v>1</v>
          </cell>
          <cell r="X133">
            <v>1</v>
          </cell>
          <cell r="Y133">
            <v>0</v>
          </cell>
          <cell r="Z133">
            <v>0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E133">
            <v>1</v>
          </cell>
          <cell r="AF133">
            <v>0</v>
          </cell>
          <cell r="AG133">
            <v>0</v>
          </cell>
        </row>
        <row r="134">
          <cell r="A134" t="str">
            <v>2013/12</v>
          </cell>
          <cell r="B134">
            <v>18</v>
          </cell>
          <cell r="C134">
            <v>0</v>
          </cell>
          <cell r="D134">
            <v>1</v>
          </cell>
          <cell r="E134">
            <v>1</v>
          </cell>
          <cell r="F134">
            <v>1</v>
          </cell>
          <cell r="G134">
            <v>1</v>
          </cell>
          <cell r="H134">
            <v>1</v>
          </cell>
          <cell r="I134">
            <v>0</v>
          </cell>
          <cell r="J134">
            <v>0</v>
          </cell>
          <cell r="K134">
            <v>1</v>
          </cell>
          <cell r="L134">
            <v>1</v>
          </cell>
          <cell r="M134">
            <v>1</v>
          </cell>
          <cell r="N134">
            <v>1</v>
          </cell>
          <cell r="O134">
            <v>1</v>
          </cell>
          <cell r="P134">
            <v>0</v>
          </cell>
          <cell r="Q134">
            <v>0</v>
          </cell>
          <cell r="R134">
            <v>1</v>
          </cell>
          <cell r="S134">
            <v>1</v>
          </cell>
          <cell r="T134">
            <v>1</v>
          </cell>
          <cell r="U134">
            <v>1</v>
          </cell>
          <cell r="V134">
            <v>1</v>
          </cell>
          <cell r="W134">
            <v>0</v>
          </cell>
          <cell r="X134">
            <v>0</v>
          </cell>
          <cell r="Y134">
            <v>1</v>
          </cell>
          <cell r="Z134">
            <v>1</v>
          </cell>
          <cell r="AA134">
            <v>1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A135" t="str">
            <v>2014/01</v>
          </cell>
          <cell r="B135">
            <v>21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1</v>
          </cell>
          <cell r="I135">
            <v>1</v>
          </cell>
          <cell r="J135">
            <v>1</v>
          </cell>
          <cell r="K135">
            <v>1</v>
          </cell>
          <cell r="L135">
            <v>1</v>
          </cell>
          <cell r="M135">
            <v>0</v>
          </cell>
          <cell r="N135">
            <v>0</v>
          </cell>
          <cell r="O135">
            <v>1</v>
          </cell>
          <cell r="P135">
            <v>1</v>
          </cell>
          <cell r="Q135">
            <v>1</v>
          </cell>
          <cell r="R135">
            <v>1</v>
          </cell>
          <cell r="S135">
            <v>1</v>
          </cell>
          <cell r="T135">
            <v>0.5</v>
          </cell>
          <cell r="U135">
            <v>0</v>
          </cell>
          <cell r="V135">
            <v>1</v>
          </cell>
          <cell r="W135">
            <v>1</v>
          </cell>
          <cell r="X135">
            <v>1</v>
          </cell>
          <cell r="Y135">
            <v>1</v>
          </cell>
          <cell r="Z135">
            <v>1</v>
          </cell>
          <cell r="AA135">
            <v>0.5</v>
          </cell>
          <cell r="AB135">
            <v>0</v>
          </cell>
          <cell r="AC135">
            <v>1</v>
          </cell>
          <cell r="AD135">
            <v>1</v>
          </cell>
          <cell r="AE135">
            <v>1</v>
          </cell>
          <cell r="AF135">
            <v>1</v>
          </cell>
          <cell r="AG135">
            <v>1</v>
          </cell>
        </row>
        <row r="136">
          <cell r="A136" t="str">
            <v>2014/02</v>
          </cell>
          <cell r="B136">
            <v>21</v>
          </cell>
          <cell r="C136">
            <v>0</v>
          </cell>
          <cell r="D136">
            <v>0</v>
          </cell>
          <cell r="E136">
            <v>1</v>
          </cell>
          <cell r="F136">
            <v>1</v>
          </cell>
          <cell r="G136">
            <v>1</v>
          </cell>
          <cell r="H136">
            <v>1</v>
          </cell>
          <cell r="I136">
            <v>1</v>
          </cell>
          <cell r="J136">
            <v>0</v>
          </cell>
          <cell r="K136">
            <v>0</v>
          </cell>
          <cell r="L136">
            <v>1</v>
          </cell>
          <cell r="M136">
            <v>1</v>
          </cell>
          <cell r="N136">
            <v>1</v>
          </cell>
          <cell r="O136">
            <v>1</v>
          </cell>
          <cell r="P136">
            <v>1</v>
          </cell>
          <cell r="Q136">
            <v>0.5</v>
          </cell>
          <cell r="R136">
            <v>0</v>
          </cell>
          <cell r="S136">
            <v>1</v>
          </cell>
          <cell r="T136">
            <v>1</v>
          </cell>
          <cell r="U136">
            <v>1</v>
          </cell>
          <cell r="V136">
            <v>1</v>
          </cell>
          <cell r="W136">
            <v>1</v>
          </cell>
          <cell r="X136">
            <v>0.5</v>
          </cell>
          <cell r="Y136">
            <v>0</v>
          </cell>
          <cell r="Z136">
            <v>1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0</v>
          </cell>
          <cell r="AF136">
            <v>0</v>
          </cell>
          <cell r="AG136">
            <v>0</v>
          </cell>
        </row>
        <row r="137">
          <cell r="A137" t="str">
            <v>2014/03</v>
          </cell>
          <cell r="B137">
            <v>21</v>
          </cell>
          <cell r="C137">
            <v>0</v>
          </cell>
          <cell r="D137">
            <v>0</v>
          </cell>
          <cell r="E137">
            <v>1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0</v>
          </cell>
          <cell r="K137">
            <v>0</v>
          </cell>
          <cell r="L137">
            <v>1</v>
          </cell>
          <cell r="M137">
            <v>1</v>
          </cell>
          <cell r="N137">
            <v>1</v>
          </cell>
          <cell r="O137">
            <v>1</v>
          </cell>
          <cell r="P137">
            <v>1</v>
          </cell>
          <cell r="Q137">
            <v>0</v>
          </cell>
          <cell r="R137">
            <v>0</v>
          </cell>
          <cell r="S137">
            <v>1</v>
          </cell>
          <cell r="T137">
            <v>1</v>
          </cell>
          <cell r="U137">
            <v>1</v>
          </cell>
          <cell r="V137">
            <v>1</v>
          </cell>
          <cell r="W137">
            <v>1</v>
          </cell>
          <cell r="X137">
            <v>0</v>
          </cell>
          <cell r="Y137">
            <v>0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E137">
            <v>0</v>
          </cell>
          <cell r="AF137">
            <v>0</v>
          </cell>
          <cell r="AG137">
            <v>1</v>
          </cell>
        </row>
        <row r="138">
          <cell r="A138" t="str">
            <v>2014/04</v>
          </cell>
          <cell r="B138">
            <v>19</v>
          </cell>
          <cell r="C138">
            <v>1</v>
          </cell>
          <cell r="D138">
            <v>1</v>
          </cell>
          <cell r="E138">
            <v>1</v>
          </cell>
          <cell r="F138">
            <v>1</v>
          </cell>
          <cell r="G138">
            <v>0</v>
          </cell>
          <cell r="H138">
            <v>0</v>
          </cell>
          <cell r="I138">
            <v>1</v>
          </cell>
          <cell r="J138">
            <v>1</v>
          </cell>
          <cell r="K138">
            <v>1</v>
          </cell>
          <cell r="L138">
            <v>1</v>
          </cell>
          <cell r="M138">
            <v>1</v>
          </cell>
          <cell r="N138">
            <v>0</v>
          </cell>
          <cell r="O138">
            <v>0</v>
          </cell>
          <cell r="P138">
            <v>1</v>
          </cell>
          <cell r="Q138">
            <v>1</v>
          </cell>
          <cell r="R138">
            <v>1</v>
          </cell>
          <cell r="S138">
            <v>1</v>
          </cell>
          <cell r="T138">
            <v>1</v>
          </cell>
          <cell r="U138">
            <v>0</v>
          </cell>
          <cell r="V138">
            <v>0</v>
          </cell>
          <cell r="W138">
            <v>1</v>
          </cell>
          <cell r="X138">
            <v>1</v>
          </cell>
          <cell r="Y138">
            <v>1</v>
          </cell>
          <cell r="Z138">
            <v>1</v>
          </cell>
          <cell r="AA138">
            <v>1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</row>
        <row r="139">
          <cell r="A139" t="str">
            <v>2014/05</v>
          </cell>
          <cell r="B139">
            <v>19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1</v>
          </cell>
          <cell r="I139">
            <v>1</v>
          </cell>
          <cell r="J139">
            <v>1</v>
          </cell>
          <cell r="K139">
            <v>1</v>
          </cell>
          <cell r="L139">
            <v>0</v>
          </cell>
          <cell r="M139">
            <v>0</v>
          </cell>
          <cell r="N139">
            <v>1</v>
          </cell>
          <cell r="O139">
            <v>1</v>
          </cell>
          <cell r="P139">
            <v>1</v>
          </cell>
          <cell r="Q139">
            <v>1</v>
          </cell>
          <cell r="R139">
            <v>1</v>
          </cell>
          <cell r="S139">
            <v>0</v>
          </cell>
          <cell r="T139">
            <v>0</v>
          </cell>
          <cell r="U139">
            <v>1</v>
          </cell>
          <cell r="V139">
            <v>1</v>
          </cell>
          <cell r="W139">
            <v>1</v>
          </cell>
          <cell r="X139">
            <v>1</v>
          </cell>
          <cell r="Y139">
            <v>1</v>
          </cell>
          <cell r="Z139">
            <v>0</v>
          </cell>
          <cell r="AA139">
            <v>0</v>
          </cell>
          <cell r="AB139">
            <v>1</v>
          </cell>
          <cell r="AC139">
            <v>1</v>
          </cell>
          <cell r="AD139">
            <v>1</v>
          </cell>
          <cell r="AE139">
            <v>1</v>
          </cell>
          <cell r="AF139">
            <v>1</v>
          </cell>
          <cell r="AG139">
            <v>0</v>
          </cell>
        </row>
        <row r="140">
          <cell r="A140" t="str">
            <v>2014/06</v>
          </cell>
          <cell r="B140">
            <v>21</v>
          </cell>
          <cell r="C140">
            <v>0</v>
          </cell>
          <cell r="D140">
            <v>1</v>
          </cell>
          <cell r="E140">
            <v>1</v>
          </cell>
          <cell r="F140">
            <v>1</v>
          </cell>
          <cell r="G140">
            <v>1</v>
          </cell>
          <cell r="H140">
            <v>1</v>
          </cell>
          <cell r="I140">
            <v>0</v>
          </cell>
          <cell r="J140">
            <v>0</v>
          </cell>
          <cell r="K140">
            <v>1</v>
          </cell>
          <cell r="L140">
            <v>1</v>
          </cell>
          <cell r="M140">
            <v>1</v>
          </cell>
          <cell r="N140">
            <v>1</v>
          </cell>
          <cell r="O140">
            <v>1</v>
          </cell>
          <cell r="P140">
            <v>0</v>
          </cell>
          <cell r="Q140">
            <v>0</v>
          </cell>
          <cell r="R140">
            <v>1</v>
          </cell>
          <cell r="S140">
            <v>1</v>
          </cell>
          <cell r="T140">
            <v>1</v>
          </cell>
          <cell r="U140">
            <v>1</v>
          </cell>
          <cell r="V140">
            <v>1</v>
          </cell>
          <cell r="W140">
            <v>0</v>
          </cell>
          <cell r="X140">
            <v>0</v>
          </cell>
          <cell r="Y140">
            <v>1</v>
          </cell>
          <cell r="Z140">
            <v>1</v>
          </cell>
          <cell r="AA140">
            <v>1</v>
          </cell>
          <cell r="AB140">
            <v>1</v>
          </cell>
          <cell r="AC140">
            <v>1</v>
          </cell>
          <cell r="AD140">
            <v>0</v>
          </cell>
          <cell r="AE140">
            <v>0</v>
          </cell>
          <cell r="AF140">
            <v>1</v>
          </cell>
          <cell r="AG140">
            <v>0</v>
          </cell>
        </row>
        <row r="141">
          <cell r="A141" t="str">
            <v>2014/07</v>
          </cell>
          <cell r="B141">
            <v>23</v>
          </cell>
          <cell r="C141">
            <v>1</v>
          </cell>
          <cell r="D141">
            <v>1</v>
          </cell>
          <cell r="E141">
            <v>1</v>
          </cell>
          <cell r="F141">
            <v>1</v>
          </cell>
          <cell r="G141">
            <v>0</v>
          </cell>
          <cell r="H141">
            <v>0</v>
          </cell>
          <cell r="I141">
            <v>1</v>
          </cell>
          <cell r="J141">
            <v>1</v>
          </cell>
          <cell r="K141">
            <v>1</v>
          </cell>
          <cell r="L141">
            <v>1</v>
          </cell>
          <cell r="M141">
            <v>1</v>
          </cell>
          <cell r="N141">
            <v>0</v>
          </cell>
          <cell r="O141">
            <v>0</v>
          </cell>
          <cell r="P141">
            <v>1</v>
          </cell>
          <cell r="Q141">
            <v>1</v>
          </cell>
          <cell r="R141">
            <v>1</v>
          </cell>
          <cell r="S141">
            <v>1</v>
          </cell>
          <cell r="T141">
            <v>1</v>
          </cell>
          <cell r="U141">
            <v>0</v>
          </cell>
          <cell r="V141">
            <v>0</v>
          </cell>
          <cell r="W141">
            <v>1</v>
          </cell>
          <cell r="X141">
            <v>1</v>
          </cell>
          <cell r="Y141">
            <v>1</v>
          </cell>
          <cell r="Z141">
            <v>1</v>
          </cell>
          <cell r="AA141">
            <v>1</v>
          </cell>
          <cell r="AB141">
            <v>0</v>
          </cell>
          <cell r="AC141">
            <v>0</v>
          </cell>
          <cell r="AD141">
            <v>1</v>
          </cell>
          <cell r="AE141">
            <v>1</v>
          </cell>
          <cell r="AF141">
            <v>1</v>
          </cell>
          <cell r="AG141">
            <v>1</v>
          </cell>
        </row>
        <row r="142">
          <cell r="A142" t="str">
            <v>2014/08</v>
          </cell>
          <cell r="B142">
            <v>16</v>
          </cell>
          <cell r="C142">
            <v>1</v>
          </cell>
          <cell r="D142">
            <v>0</v>
          </cell>
          <cell r="E142">
            <v>0</v>
          </cell>
          <cell r="F142">
            <v>1</v>
          </cell>
          <cell r="G142">
            <v>1</v>
          </cell>
          <cell r="H142">
            <v>1</v>
          </cell>
          <cell r="I142">
            <v>1</v>
          </cell>
          <cell r="J142">
            <v>1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1</v>
          </cell>
          <cell r="U142">
            <v>1</v>
          </cell>
          <cell r="V142">
            <v>1</v>
          </cell>
          <cell r="W142">
            <v>1</v>
          </cell>
          <cell r="X142">
            <v>1</v>
          </cell>
          <cell r="Y142">
            <v>0</v>
          </cell>
          <cell r="Z142">
            <v>0</v>
          </cell>
          <cell r="AA142">
            <v>1</v>
          </cell>
          <cell r="AB142">
            <v>1</v>
          </cell>
          <cell r="AC142">
            <v>1</v>
          </cell>
          <cell r="AD142">
            <v>1</v>
          </cell>
          <cell r="AE142">
            <v>1</v>
          </cell>
          <cell r="AF142">
            <v>0</v>
          </cell>
          <cell r="AG142">
            <v>0</v>
          </cell>
        </row>
        <row r="143">
          <cell r="A143" t="str">
            <v>2014/09</v>
          </cell>
          <cell r="B143">
            <v>22</v>
          </cell>
          <cell r="C143">
            <v>1</v>
          </cell>
          <cell r="D143">
            <v>1</v>
          </cell>
          <cell r="E143">
            <v>1</v>
          </cell>
          <cell r="F143">
            <v>1</v>
          </cell>
          <cell r="G143">
            <v>1</v>
          </cell>
          <cell r="H143">
            <v>0</v>
          </cell>
          <cell r="I143">
            <v>0</v>
          </cell>
          <cell r="J143">
            <v>1</v>
          </cell>
          <cell r="K143">
            <v>1</v>
          </cell>
          <cell r="L143">
            <v>1</v>
          </cell>
          <cell r="M143">
            <v>1</v>
          </cell>
          <cell r="N143">
            <v>1</v>
          </cell>
          <cell r="O143">
            <v>0</v>
          </cell>
          <cell r="P143">
            <v>0</v>
          </cell>
          <cell r="Q143">
            <v>1</v>
          </cell>
          <cell r="R143">
            <v>1</v>
          </cell>
          <cell r="S143">
            <v>1</v>
          </cell>
          <cell r="T143">
            <v>1</v>
          </cell>
          <cell r="U143">
            <v>1</v>
          </cell>
          <cell r="V143">
            <v>0</v>
          </cell>
          <cell r="W143">
            <v>0</v>
          </cell>
          <cell r="X143">
            <v>1</v>
          </cell>
          <cell r="Y143">
            <v>1</v>
          </cell>
          <cell r="Z143">
            <v>1</v>
          </cell>
          <cell r="AA143">
            <v>1</v>
          </cell>
          <cell r="AB143">
            <v>1</v>
          </cell>
          <cell r="AC143">
            <v>0</v>
          </cell>
          <cell r="AD143">
            <v>0</v>
          </cell>
          <cell r="AE143">
            <v>1</v>
          </cell>
          <cell r="AF143">
            <v>1</v>
          </cell>
          <cell r="AG143">
            <v>0</v>
          </cell>
        </row>
        <row r="144">
          <cell r="A144" t="str">
            <v>2014/10</v>
          </cell>
          <cell r="B144">
            <v>22</v>
          </cell>
          <cell r="C144">
            <v>1</v>
          </cell>
          <cell r="D144">
            <v>1</v>
          </cell>
          <cell r="E144">
            <v>1</v>
          </cell>
          <cell r="F144">
            <v>0</v>
          </cell>
          <cell r="G144">
            <v>0</v>
          </cell>
          <cell r="H144">
            <v>1</v>
          </cell>
          <cell r="I144">
            <v>1</v>
          </cell>
          <cell r="J144">
            <v>1</v>
          </cell>
          <cell r="K144">
            <v>1</v>
          </cell>
          <cell r="L144">
            <v>1</v>
          </cell>
          <cell r="M144">
            <v>0</v>
          </cell>
          <cell r="N144">
            <v>0</v>
          </cell>
          <cell r="O144">
            <v>0</v>
          </cell>
          <cell r="P144">
            <v>1</v>
          </cell>
          <cell r="Q144">
            <v>1</v>
          </cell>
          <cell r="R144">
            <v>1</v>
          </cell>
          <cell r="S144">
            <v>1</v>
          </cell>
          <cell r="T144">
            <v>0</v>
          </cell>
          <cell r="U144">
            <v>0</v>
          </cell>
          <cell r="V144">
            <v>1</v>
          </cell>
          <cell r="W144">
            <v>1</v>
          </cell>
          <cell r="X144">
            <v>1</v>
          </cell>
          <cell r="Y144">
            <v>1</v>
          </cell>
          <cell r="Z144">
            <v>1</v>
          </cell>
          <cell r="AA144">
            <v>0</v>
          </cell>
          <cell r="AB144">
            <v>0</v>
          </cell>
          <cell r="AC144">
            <v>1</v>
          </cell>
          <cell r="AD144">
            <v>1</v>
          </cell>
          <cell r="AE144">
            <v>1</v>
          </cell>
          <cell r="AF144">
            <v>1</v>
          </cell>
          <cell r="AG144">
            <v>1</v>
          </cell>
        </row>
        <row r="145">
          <cell r="A145" t="str">
            <v>2014/11</v>
          </cell>
          <cell r="B145">
            <v>20</v>
          </cell>
          <cell r="C145">
            <v>0</v>
          </cell>
          <cell r="D145">
            <v>0</v>
          </cell>
          <cell r="E145">
            <v>1</v>
          </cell>
          <cell r="F145">
            <v>1</v>
          </cell>
          <cell r="G145">
            <v>1</v>
          </cell>
          <cell r="H145">
            <v>1</v>
          </cell>
          <cell r="I145">
            <v>1</v>
          </cell>
          <cell r="J145">
            <v>0</v>
          </cell>
          <cell r="K145">
            <v>0</v>
          </cell>
          <cell r="L145">
            <v>1</v>
          </cell>
          <cell r="M145">
            <v>1</v>
          </cell>
          <cell r="N145">
            <v>1</v>
          </cell>
          <cell r="O145">
            <v>1</v>
          </cell>
          <cell r="P145">
            <v>1</v>
          </cell>
          <cell r="Q145">
            <v>0</v>
          </cell>
          <cell r="R145">
            <v>0</v>
          </cell>
          <cell r="S145">
            <v>1</v>
          </cell>
          <cell r="T145">
            <v>1</v>
          </cell>
          <cell r="U145">
            <v>1</v>
          </cell>
          <cell r="V145">
            <v>1</v>
          </cell>
          <cell r="W145">
            <v>1</v>
          </cell>
          <cell r="X145">
            <v>0</v>
          </cell>
          <cell r="Y145">
            <v>0</v>
          </cell>
          <cell r="Z145">
            <v>1</v>
          </cell>
          <cell r="AA145">
            <v>1</v>
          </cell>
          <cell r="AB145">
            <v>1</v>
          </cell>
          <cell r="AC145">
            <v>1</v>
          </cell>
          <cell r="AD145">
            <v>1</v>
          </cell>
          <cell r="AE145">
            <v>0</v>
          </cell>
          <cell r="AF145">
            <v>0</v>
          </cell>
          <cell r="AG145">
            <v>0</v>
          </cell>
        </row>
        <row r="146">
          <cell r="A146" t="str">
            <v>2014/12</v>
          </cell>
          <cell r="B146">
            <v>19</v>
          </cell>
          <cell r="C146">
            <v>1</v>
          </cell>
          <cell r="D146">
            <v>1</v>
          </cell>
          <cell r="E146">
            <v>1</v>
          </cell>
          <cell r="F146">
            <v>1</v>
          </cell>
          <cell r="G146">
            <v>1</v>
          </cell>
          <cell r="H146">
            <v>0</v>
          </cell>
          <cell r="I146">
            <v>0</v>
          </cell>
          <cell r="J146">
            <v>1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0</v>
          </cell>
          <cell r="P146">
            <v>0</v>
          </cell>
          <cell r="Q146">
            <v>1</v>
          </cell>
          <cell r="R146">
            <v>1</v>
          </cell>
          <cell r="S146">
            <v>1</v>
          </cell>
          <cell r="T146">
            <v>1</v>
          </cell>
          <cell r="U146">
            <v>1</v>
          </cell>
          <cell r="V146">
            <v>0</v>
          </cell>
          <cell r="W146">
            <v>0</v>
          </cell>
          <cell r="X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</row>
        <row r="147">
          <cell r="A147" t="str">
            <v>2015/01</v>
          </cell>
          <cell r="B147">
            <v>20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1</v>
          </cell>
          <cell r="I147">
            <v>1</v>
          </cell>
          <cell r="J147">
            <v>1</v>
          </cell>
          <cell r="K147">
            <v>1</v>
          </cell>
          <cell r="L147">
            <v>0</v>
          </cell>
          <cell r="M147">
            <v>0</v>
          </cell>
          <cell r="N147">
            <v>1</v>
          </cell>
          <cell r="O147">
            <v>1</v>
          </cell>
          <cell r="P147">
            <v>1</v>
          </cell>
          <cell r="Q147">
            <v>1</v>
          </cell>
          <cell r="R147">
            <v>1</v>
          </cell>
          <cell r="S147">
            <v>0.5</v>
          </cell>
          <cell r="T147">
            <v>0</v>
          </cell>
          <cell r="U147">
            <v>1</v>
          </cell>
          <cell r="V147">
            <v>1</v>
          </cell>
          <cell r="W147">
            <v>1</v>
          </cell>
          <cell r="X147">
            <v>1</v>
          </cell>
          <cell r="Y147">
            <v>1</v>
          </cell>
          <cell r="Z147">
            <v>0.5</v>
          </cell>
          <cell r="AA147">
            <v>0</v>
          </cell>
          <cell r="AB147">
            <v>1</v>
          </cell>
          <cell r="AC147">
            <v>1</v>
          </cell>
          <cell r="AD147">
            <v>1</v>
          </cell>
          <cell r="AE147">
            <v>1</v>
          </cell>
          <cell r="AF147">
            <v>1</v>
          </cell>
          <cell r="AG147">
            <v>0</v>
          </cell>
        </row>
        <row r="148">
          <cell r="A148" t="str">
            <v>2015/02</v>
          </cell>
          <cell r="B148">
            <v>21</v>
          </cell>
          <cell r="C148">
            <v>0</v>
          </cell>
          <cell r="D148">
            <v>1</v>
          </cell>
          <cell r="E148">
            <v>1</v>
          </cell>
          <cell r="F148">
            <v>1</v>
          </cell>
          <cell r="G148">
            <v>1</v>
          </cell>
          <cell r="H148">
            <v>1</v>
          </cell>
          <cell r="I148">
            <v>0</v>
          </cell>
          <cell r="J148">
            <v>0</v>
          </cell>
          <cell r="K148">
            <v>1</v>
          </cell>
          <cell r="L148">
            <v>1</v>
          </cell>
          <cell r="M148">
            <v>1</v>
          </cell>
          <cell r="N148">
            <v>1</v>
          </cell>
          <cell r="O148">
            <v>1</v>
          </cell>
          <cell r="P148">
            <v>0.5</v>
          </cell>
          <cell r="Q148">
            <v>0</v>
          </cell>
          <cell r="R148">
            <v>1</v>
          </cell>
          <cell r="S148">
            <v>1</v>
          </cell>
          <cell r="T148">
            <v>1</v>
          </cell>
          <cell r="U148">
            <v>1</v>
          </cell>
          <cell r="V148">
            <v>1</v>
          </cell>
          <cell r="W148">
            <v>0.5</v>
          </cell>
          <cell r="X148">
            <v>0</v>
          </cell>
          <cell r="Y148">
            <v>1</v>
          </cell>
          <cell r="Z148">
            <v>1</v>
          </cell>
          <cell r="AA148">
            <v>1</v>
          </cell>
          <cell r="AB148">
            <v>1</v>
          </cell>
          <cell r="AC148">
            <v>1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</row>
        <row r="149">
          <cell r="A149" t="str">
            <v>2015/03</v>
          </cell>
          <cell r="B149">
            <v>22</v>
          </cell>
          <cell r="C149">
            <v>0</v>
          </cell>
          <cell r="D149">
            <v>1</v>
          </cell>
          <cell r="E149">
            <v>1</v>
          </cell>
          <cell r="F149">
            <v>1</v>
          </cell>
          <cell r="G149">
            <v>1</v>
          </cell>
          <cell r="H149">
            <v>1</v>
          </cell>
          <cell r="I149">
            <v>0</v>
          </cell>
          <cell r="J149">
            <v>0</v>
          </cell>
          <cell r="K149">
            <v>1</v>
          </cell>
          <cell r="L149">
            <v>1</v>
          </cell>
          <cell r="M149">
            <v>1</v>
          </cell>
          <cell r="N149">
            <v>1</v>
          </cell>
          <cell r="O149">
            <v>1</v>
          </cell>
          <cell r="P149">
            <v>0</v>
          </cell>
          <cell r="Q149">
            <v>0</v>
          </cell>
          <cell r="R149">
            <v>1</v>
          </cell>
          <cell r="S149">
            <v>1</v>
          </cell>
          <cell r="T149">
            <v>1</v>
          </cell>
          <cell r="U149">
            <v>1</v>
          </cell>
          <cell r="V149">
            <v>1</v>
          </cell>
          <cell r="W149">
            <v>0</v>
          </cell>
          <cell r="X149">
            <v>0</v>
          </cell>
          <cell r="Y149">
            <v>1</v>
          </cell>
          <cell r="Z149">
            <v>1</v>
          </cell>
          <cell r="AA149">
            <v>1</v>
          </cell>
          <cell r="AB149">
            <v>1</v>
          </cell>
          <cell r="AC149">
            <v>1</v>
          </cell>
          <cell r="AD149">
            <v>0</v>
          </cell>
          <cell r="AE149">
            <v>0</v>
          </cell>
          <cell r="AF149">
            <v>1</v>
          </cell>
          <cell r="AG149">
            <v>1</v>
          </cell>
        </row>
        <row r="150">
          <cell r="A150" t="str">
            <v>2015/04</v>
          </cell>
          <cell r="B150">
            <v>20</v>
          </cell>
          <cell r="C150">
            <v>1</v>
          </cell>
          <cell r="D150">
            <v>1</v>
          </cell>
          <cell r="E150">
            <v>1</v>
          </cell>
          <cell r="F150">
            <v>0</v>
          </cell>
          <cell r="G150">
            <v>0</v>
          </cell>
          <cell r="H150">
            <v>1</v>
          </cell>
          <cell r="I150">
            <v>1</v>
          </cell>
          <cell r="J150">
            <v>1</v>
          </cell>
          <cell r="K150">
            <v>1</v>
          </cell>
          <cell r="L150">
            <v>1</v>
          </cell>
          <cell r="M150">
            <v>0</v>
          </cell>
          <cell r="N150">
            <v>0</v>
          </cell>
          <cell r="O150">
            <v>1</v>
          </cell>
          <cell r="P150">
            <v>1</v>
          </cell>
          <cell r="Q150">
            <v>1</v>
          </cell>
          <cell r="R150">
            <v>1</v>
          </cell>
          <cell r="S150">
            <v>1</v>
          </cell>
          <cell r="T150">
            <v>0</v>
          </cell>
          <cell r="U150">
            <v>0</v>
          </cell>
          <cell r="V150">
            <v>1</v>
          </cell>
          <cell r="W150">
            <v>1</v>
          </cell>
          <cell r="X150">
            <v>1</v>
          </cell>
          <cell r="Y150">
            <v>1</v>
          </cell>
          <cell r="Z150">
            <v>1</v>
          </cell>
          <cell r="AA150">
            <v>0</v>
          </cell>
          <cell r="AB150">
            <v>0</v>
          </cell>
          <cell r="AC150">
            <v>1</v>
          </cell>
          <cell r="AD150">
            <v>1</v>
          </cell>
          <cell r="AE150">
            <v>0</v>
          </cell>
          <cell r="AF150">
            <v>0</v>
          </cell>
          <cell r="AG150">
            <v>0</v>
          </cell>
        </row>
        <row r="151">
          <cell r="A151" t="str">
            <v>2015/05</v>
          </cell>
          <cell r="B151">
            <v>17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1</v>
          </cell>
          <cell r="J151">
            <v>1</v>
          </cell>
          <cell r="K151">
            <v>0</v>
          </cell>
          <cell r="L151">
            <v>0</v>
          </cell>
          <cell r="M151">
            <v>1</v>
          </cell>
          <cell r="N151">
            <v>1</v>
          </cell>
          <cell r="O151">
            <v>1</v>
          </cell>
          <cell r="P151">
            <v>1</v>
          </cell>
          <cell r="Q151">
            <v>1</v>
          </cell>
          <cell r="R151">
            <v>0</v>
          </cell>
          <cell r="S151">
            <v>0</v>
          </cell>
          <cell r="T151">
            <v>1</v>
          </cell>
          <cell r="U151">
            <v>1</v>
          </cell>
          <cell r="V151">
            <v>1</v>
          </cell>
          <cell r="W151">
            <v>1</v>
          </cell>
          <cell r="X151">
            <v>1</v>
          </cell>
          <cell r="Y151">
            <v>0</v>
          </cell>
          <cell r="Z151">
            <v>0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E151">
            <v>1</v>
          </cell>
          <cell r="AF151">
            <v>0</v>
          </cell>
          <cell r="AG151">
            <v>0</v>
          </cell>
        </row>
        <row r="152">
          <cell r="A152" t="str">
            <v>2015/06</v>
          </cell>
          <cell r="B152">
            <v>22</v>
          </cell>
          <cell r="C152">
            <v>1</v>
          </cell>
          <cell r="D152">
            <v>1</v>
          </cell>
          <cell r="E152">
            <v>1</v>
          </cell>
          <cell r="F152">
            <v>1</v>
          </cell>
          <cell r="G152">
            <v>1</v>
          </cell>
          <cell r="H152">
            <v>0</v>
          </cell>
          <cell r="I152">
            <v>0</v>
          </cell>
          <cell r="J152">
            <v>1</v>
          </cell>
          <cell r="K152">
            <v>1</v>
          </cell>
          <cell r="L152">
            <v>1</v>
          </cell>
          <cell r="M152">
            <v>1</v>
          </cell>
          <cell r="N152">
            <v>1</v>
          </cell>
          <cell r="O152">
            <v>0</v>
          </cell>
          <cell r="P152">
            <v>0</v>
          </cell>
          <cell r="Q152">
            <v>1</v>
          </cell>
          <cell r="R152">
            <v>1</v>
          </cell>
          <cell r="S152">
            <v>1</v>
          </cell>
          <cell r="T152">
            <v>1</v>
          </cell>
          <cell r="U152">
            <v>1</v>
          </cell>
          <cell r="V152">
            <v>0</v>
          </cell>
          <cell r="W152">
            <v>0</v>
          </cell>
          <cell r="X152">
            <v>1</v>
          </cell>
          <cell r="Y152">
            <v>1</v>
          </cell>
          <cell r="Z152">
            <v>1</v>
          </cell>
          <cell r="AA152">
            <v>1</v>
          </cell>
          <cell r="AB152">
            <v>1</v>
          </cell>
          <cell r="AC152">
            <v>0</v>
          </cell>
          <cell r="AD152">
            <v>0</v>
          </cell>
          <cell r="AE152">
            <v>1</v>
          </cell>
          <cell r="AF152">
            <v>1</v>
          </cell>
          <cell r="AG152">
            <v>0</v>
          </cell>
        </row>
        <row r="153">
          <cell r="A153" t="str">
            <v>2015/07</v>
          </cell>
          <cell r="B153">
            <v>22</v>
          </cell>
          <cell r="C153">
            <v>1</v>
          </cell>
          <cell r="D153">
            <v>1</v>
          </cell>
          <cell r="E153">
            <v>1</v>
          </cell>
          <cell r="F153">
            <v>0</v>
          </cell>
          <cell r="G153">
            <v>0</v>
          </cell>
          <cell r="H153">
            <v>1</v>
          </cell>
          <cell r="I153">
            <v>1</v>
          </cell>
          <cell r="J153">
            <v>1</v>
          </cell>
          <cell r="K153">
            <v>1</v>
          </cell>
          <cell r="L153">
            <v>1</v>
          </cell>
          <cell r="M153">
            <v>0</v>
          </cell>
          <cell r="N153">
            <v>0</v>
          </cell>
          <cell r="O153">
            <v>1</v>
          </cell>
          <cell r="P153">
            <v>1</v>
          </cell>
          <cell r="Q153">
            <v>1</v>
          </cell>
          <cell r="R153">
            <v>1</v>
          </cell>
          <cell r="S153">
            <v>1</v>
          </cell>
          <cell r="T153">
            <v>0</v>
          </cell>
          <cell r="U153">
            <v>0</v>
          </cell>
          <cell r="V153">
            <v>0</v>
          </cell>
          <cell r="W153">
            <v>1</v>
          </cell>
          <cell r="X153">
            <v>1</v>
          </cell>
          <cell r="Y153">
            <v>1</v>
          </cell>
          <cell r="Z153">
            <v>1</v>
          </cell>
          <cell r="AA153">
            <v>0</v>
          </cell>
          <cell r="AB153">
            <v>0</v>
          </cell>
          <cell r="AC153">
            <v>1</v>
          </cell>
          <cell r="AD153">
            <v>1</v>
          </cell>
          <cell r="AE153">
            <v>1</v>
          </cell>
          <cell r="AF153">
            <v>1</v>
          </cell>
          <cell r="AG153">
            <v>1</v>
          </cell>
        </row>
        <row r="154">
          <cell r="A154" t="str">
            <v>2015/08</v>
          </cell>
          <cell r="B154">
            <v>16</v>
          </cell>
          <cell r="C154">
            <v>0</v>
          </cell>
          <cell r="D154">
            <v>0</v>
          </cell>
          <cell r="E154">
            <v>1</v>
          </cell>
          <cell r="F154">
            <v>1</v>
          </cell>
          <cell r="G154">
            <v>1</v>
          </cell>
          <cell r="H154">
            <v>1</v>
          </cell>
          <cell r="I154">
            <v>1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1</v>
          </cell>
          <cell r="T154">
            <v>1</v>
          </cell>
          <cell r="U154">
            <v>1</v>
          </cell>
          <cell r="V154">
            <v>1</v>
          </cell>
          <cell r="W154">
            <v>1</v>
          </cell>
          <cell r="X154">
            <v>0</v>
          </cell>
          <cell r="Y154">
            <v>0</v>
          </cell>
          <cell r="Z154">
            <v>1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0</v>
          </cell>
          <cell r="AF154">
            <v>0</v>
          </cell>
          <cell r="AG154">
            <v>1</v>
          </cell>
        </row>
        <row r="155">
          <cell r="A155" t="str">
            <v>2015/09</v>
          </cell>
          <cell r="B155">
            <v>22</v>
          </cell>
          <cell r="C155">
            <v>1</v>
          </cell>
          <cell r="D155">
            <v>1</v>
          </cell>
          <cell r="E155">
            <v>1</v>
          </cell>
          <cell r="F155">
            <v>1</v>
          </cell>
          <cell r="G155">
            <v>0</v>
          </cell>
          <cell r="H155">
            <v>0</v>
          </cell>
          <cell r="I155">
            <v>1</v>
          </cell>
          <cell r="J155">
            <v>1</v>
          </cell>
          <cell r="K155">
            <v>1</v>
          </cell>
          <cell r="L155">
            <v>1</v>
          </cell>
          <cell r="M155">
            <v>1</v>
          </cell>
          <cell r="N155">
            <v>0</v>
          </cell>
          <cell r="O155">
            <v>0</v>
          </cell>
          <cell r="P155">
            <v>1</v>
          </cell>
          <cell r="Q155">
            <v>1</v>
          </cell>
          <cell r="R155">
            <v>1</v>
          </cell>
          <cell r="S155">
            <v>1</v>
          </cell>
          <cell r="T155">
            <v>1</v>
          </cell>
          <cell r="U155">
            <v>0</v>
          </cell>
          <cell r="V155">
            <v>0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</v>
          </cell>
          <cell r="AB155">
            <v>0</v>
          </cell>
          <cell r="AC155">
            <v>0</v>
          </cell>
          <cell r="AD155">
            <v>1</v>
          </cell>
          <cell r="AE155">
            <v>1</v>
          </cell>
          <cell r="AF155">
            <v>1</v>
          </cell>
          <cell r="AG155">
            <v>0</v>
          </cell>
        </row>
        <row r="156">
          <cell r="A156" t="str">
            <v>2015/10</v>
          </cell>
          <cell r="B156">
            <v>21</v>
          </cell>
          <cell r="C156">
            <v>1</v>
          </cell>
          <cell r="D156">
            <v>1</v>
          </cell>
          <cell r="E156">
            <v>0</v>
          </cell>
          <cell r="F156">
            <v>0</v>
          </cell>
          <cell r="G156">
            <v>1</v>
          </cell>
          <cell r="H156">
            <v>1</v>
          </cell>
          <cell r="I156">
            <v>1</v>
          </cell>
          <cell r="J156">
            <v>1</v>
          </cell>
          <cell r="K156">
            <v>1</v>
          </cell>
          <cell r="L156">
            <v>0</v>
          </cell>
          <cell r="M156">
            <v>0</v>
          </cell>
          <cell r="N156">
            <v>0</v>
          </cell>
          <cell r="O156">
            <v>1</v>
          </cell>
          <cell r="P156">
            <v>1</v>
          </cell>
          <cell r="Q156">
            <v>1</v>
          </cell>
          <cell r="R156">
            <v>1</v>
          </cell>
          <cell r="S156">
            <v>0</v>
          </cell>
          <cell r="T156">
            <v>0</v>
          </cell>
          <cell r="U156">
            <v>1</v>
          </cell>
          <cell r="V156">
            <v>1</v>
          </cell>
          <cell r="W156">
            <v>1</v>
          </cell>
          <cell r="X156">
            <v>1</v>
          </cell>
          <cell r="Y156">
            <v>1</v>
          </cell>
          <cell r="Z156">
            <v>0</v>
          </cell>
          <cell r="AA156">
            <v>0</v>
          </cell>
          <cell r="AB156">
            <v>1</v>
          </cell>
          <cell r="AC156">
            <v>1</v>
          </cell>
          <cell r="AD156">
            <v>1</v>
          </cell>
          <cell r="AE156">
            <v>1</v>
          </cell>
          <cell r="AF156">
            <v>1</v>
          </cell>
          <cell r="AG156">
            <v>0</v>
          </cell>
        </row>
        <row r="157">
          <cell r="A157" t="str">
            <v>2015/11</v>
          </cell>
          <cell r="B157">
            <v>21</v>
          </cell>
          <cell r="C157">
            <v>0</v>
          </cell>
          <cell r="D157">
            <v>1</v>
          </cell>
          <cell r="E157">
            <v>1</v>
          </cell>
          <cell r="F157">
            <v>1</v>
          </cell>
          <cell r="G157">
            <v>1</v>
          </cell>
          <cell r="H157">
            <v>1</v>
          </cell>
          <cell r="I157">
            <v>0</v>
          </cell>
          <cell r="J157">
            <v>0</v>
          </cell>
          <cell r="K157">
            <v>1</v>
          </cell>
          <cell r="L157">
            <v>1</v>
          </cell>
          <cell r="M157">
            <v>1</v>
          </cell>
          <cell r="N157">
            <v>1</v>
          </cell>
          <cell r="O157">
            <v>1</v>
          </cell>
          <cell r="P157">
            <v>0</v>
          </cell>
          <cell r="Q157">
            <v>0</v>
          </cell>
          <cell r="R157">
            <v>1</v>
          </cell>
          <cell r="S157">
            <v>1</v>
          </cell>
          <cell r="T157">
            <v>1</v>
          </cell>
          <cell r="U157">
            <v>1</v>
          </cell>
          <cell r="V157">
            <v>1</v>
          </cell>
          <cell r="W157">
            <v>0</v>
          </cell>
          <cell r="X157">
            <v>0</v>
          </cell>
          <cell r="Y157">
            <v>1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0</v>
          </cell>
          <cell r="AE157">
            <v>0</v>
          </cell>
          <cell r="AF157">
            <v>1</v>
          </cell>
          <cell r="AG157">
            <v>0</v>
          </cell>
        </row>
        <row r="158">
          <cell r="A158" t="str">
            <v>2015/12</v>
          </cell>
          <cell r="B158">
            <v>19</v>
          </cell>
          <cell r="C158">
            <v>1</v>
          </cell>
          <cell r="D158">
            <v>1</v>
          </cell>
          <cell r="E158">
            <v>1</v>
          </cell>
          <cell r="F158">
            <v>1</v>
          </cell>
          <cell r="G158">
            <v>0</v>
          </cell>
          <cell r="H158">
            <v>0</v>
          </cell>
          <cell r="I158">
            <v>1</v>
          </cell>
          <cell r="J158">
            <v>1</v>
          </cell>
          <cell r="K158">
            <v>1</v>
          </cell>
          <cell r="L158">
            <v>1</v>
          </cell>
          <cell r="M158">
            <v>1</v>
          </cell>
          <cell r="N158">
            <v>0</v>
          </cell>
          <cell r="O158">
            <v>0</v>
          </cell>
          <cell r="P158">
            <v>1</v>
          </cell>
          <cell r="Q158">
            <v>1</v>
          </cell>
          <cell r="R158">
            <v>1</v>
          </cell>
          <cell r="S158">
            <v>1</v>
          </cell>
          <cell r="T158">
            <v>1</v>
          </cell>
          <cell r="U158">
            <v>0</v>
          </cell>
          <cell r="V158">
            <v>0</v>
          </cell>
          <cell r="W158">
            <v>1</v>
          </cell>
          <cell r="X158">
            <v>1</v>
          </cell>
          <cell r="Y158">
            <v>1</v>
          </cell>
          <cell r="Z158">
            <v>1</v>
          </cell>
          <cell r="AA158">
            <v>1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</row>
        <row r="159">
          <cell r="A159" t="str">
            <v>2016/01</v>
          </cell>
          <cell r="B159">
            <v>19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1</v>
          </cell>
          <cell r="I159">
            <v>1</v>
          </cell>
          <cell r="J159">
            <v>1</v>
          </cell>
          <cell r="K159">
            <v>0</v>
          </cell>
          <cell r="L159">
            <v>0</v>
          </cell>
          <cell r="M159">
            <v>1</v>
          </cell>
          <cell r="N159">
            <v>1</v>
          </cell>
          <cell r="O159">
            <v>1</v>
          </cell>
          <cell r="P159">
            <v>1</v>
          </cell>
          <cell r="Q159">
            <v>1</v>
          </cell>
          <cell r="R159">
            <v>0.5</v>
          </cell>
          <cell r="S159">
            <v>0</v>
          </cell>
          <cell r="T159">
            <v>1</v>
          </cell>
          <cell r="U159">
            <v>1</v>
          </cell>
          <cell r="V159">
            <v>1</v>
          </cell>
          <cell r="W159">
            <v>1</v>
          </cell>
          <cell r="X159">
            <v>1</v>
          </cell>
          <cell r="Y159">
            <v>0.5</v>
          </cell>
          <cell r="Z159">
            <v>0</v>
          </cell>
          <cell r="AA159">
            <v>1</v>
          </cell>
          <cell r="AB159">
            <v>1</v>
          </cell>
          <cell r="AC159">
            <v>1</v>
          </cell>
          <cell r="AD159">
            <v>1</v>
          </cell>
          <cell r="AE159">
            <v>1</v>
          </cell>
          <cell r="AF159">
            <v>0</v>
          </cell>
          <cell r="AG159">
            <v>0</v>
          </cell>
        </row>
        <row r="160">
          <cell r="A160" t="str">
            <v>2016/02</v>
          </cell>
          <cell r="B160">
            <v>22</v>
          </cell>
          <cell r="C160">
            <v>1</v>
          </cell>
          <cell r="D160">
            <v>1</v>
          </cell>
          <cell r="E160">
            <v>1</v>
          </cell>
          <cell r="F160">
            <v>1</v>
          </cell>
          <cell r="G160">
            <v>1</v>
          </cell>
          <cell r="H160">
            <v>0</v>
          </cell>
          <cell r="I160">
            <v>0</v>
          </cell>
          <cell r="J160">
            <v>1</v>
          </cell>
          <cell r="K160">
            <v>1</v>
          </cell>
          <cell r="L160">
            <v>1</v>
          </cell>
          <cell r="M160">
            <v>1</v>
          </cell>
          <cell r="N160">
            <v>1</v>
          </cell>
          <cell r="O160">
            <v>0.5</v>
          </cell>
          <cell r="P160">
            <v>0</v>
          </cell>
          <cell r="Q160">
            <v>1</v>
          </cell>
          <cell r="R160">
            <v>1</v>
          </cell>
          <cell r="S160">
            <v>1</v>
          </cell>
          <cell r="T160">
            <v>1</v>
          </cell>
          <cell r="U160">
            <v>1</v>
          </cell>
          <cell r="V160">
            <v>0.5</v>
          </cell>
          <cell r="W160">
            <v>0</v>
          </cell>
          <cell r="X160">
            <v>1</v>
          </cell>
          <cell r="Y160">
            <v>1</v>
          </cell>
          <cell r="Z160">
            <v>1</v>
          </cell>
          <cell r="AA160">
            <v>1</v>
          </cell>
          <cell r="AB160">
            <v>1</v>
          </cell>
          <cell r="AC160">
            <v>0</v>
          </cell>
          <cell r="AD160">
            <v>0</v>
          </cell>
          <cell r="AE160">
            <v>1</v>
          </cell>
          <cell r="AF160">
            <v>0</v>
          </cell>
          <cell r="AG160">
            <v>0</v>
          </cell>
        </row>
        <row r="161">
          <cell r="A161" t="str">
            <v>2016/03</v>
          </cell>
          <cell r="B161">
            <v>23</v>
          </cell>
          <cell r="C161">
            <v>1</v>
          </cell>
          <cell r="D161">
            <v>1</v>
          </cell>
          <cell r="E161">
            <v>1</v>
          </cell>
          <cell r="F161">
            <v>1</v>
          </cell>
          <cell r="G161">
            <v>0</v>
          </cell>
          <cell r="H161">
            <v>0</v>
          </cell>
          <cell r="I161">
            <v>1</v>
          </cell>
          <cell r="J161">
            <v>1</v>
          </cell>
          <cell r="K161">
            <v>1</v>
          </cell>
          <cell r="L161">
            <v>1</v>
          </cell>
          <cell r="M161">
            <v>1</v>
          </cell>
          <cell r="N161">
            <v>0</v>
          </cell>
          <cell r="O161">
            <v>0</v>
          </cell>
          <cell r="P161">
            <v>1</v>
          </cell>
          <cell r="Q161">
            <v>1</v>
          </cell>
          <cell r="R161">
            <v>1</v>
          </cell>
          <cell r="S161">
            <v>1</v>
          </cell>
          <cell r="T161">
            <v>1</v>
          </cell>
          <cell r="U161">
            <v>0</v>
          </cell>
          <cell r="V161">
            <v>0</v>
          </cell>
          <cell r="W161">
            <v>1</v>
          </cell>
          <cell r="X161">
            <v>1</v>
          </cell>
          <cell r="Y161">
            <v>1</v>
          </cell>
          <cell r="Z161">
            <v>1</v>
          </cell>
          <cell r="AA161">
            <v>1</v>
          </cell>
          <cell r="AB161">
            <v>0</v>
          </cell>
          <cell r="AC161">
            <v>0</v>
          </cell>
          <cell r="AD161">
            <v>1</v>
          </cell>
          <cell r="AE161">
            <v>1</v>
          </cell>
          <cell r="AF161">
            <v>1</v>
          </cell>
          <cell r="AG161">
            <v>1</v>
          </cell>
        </row>
        <row r="162">
          <cell r="A162" t="str">
            <v>2016/04</v>
          </cell>
          <cell r="B162">
            <v>20</v>
          </cell>
          <cell r="C162">
            <v>1</v>
          </cell>
          <cell r="D162">
            <v>0</v>
          </cell>
          <cell r="E162">
            <v>0</v>
          </cell>
          <cell r="F162">
            <v>1</v>
          </cell>
          <cell r="G162">
            <v>1</v>
          </cell>
          <cell r="H162">
            <v>1</v>
          </cell>
          <cell r="I162">
            <v>1</v>
          </cell>
          <cell r="J162">
            <v>1</v>
          </cell>
          <cell r="K162">
            <v>0</v>
          </cell>
          <cell r="L162">
            <v>0</v>
          </cell>
          <cell r="M162">
            <v>1</v>
          </cell>
          <cell r="N162">
            <v>1</v>
          </cell>
          <cell r="O162">
            <v>1</v>
          </cell>
          <cell r="P162">
            <v>1</v>
          </cell>
          <cell r="Q162">
            <v>1</v>
          </cell>
          <cell r="R162">
            <v>0</v>
          </cell>
          <cell r="S162">
            <v>0</v>
          </cell>
          <cell r="T162">
            <v>1</v>
          </cell>
          <cell r="U162">
            <v>1</v>
          </cell>
          <cell r="V162">
            <v>1</v>
          </cell>
          <cell r="W162">
            <v>1</v>
          </cell>
          <cell r="X162">
            <v>1</v>
          </cell>
          <cell r="Y162">
            <v>0</v>
          </cell>
          <cell r="Z162">
            <v>0</v>
          </cell>
          <cell r="AA162">
            <v>1</v>
          </cell>
          <cell r="AB162">
            <v>1</v>
          </cell>
          <cell r="AC162">
            <v>1</v>
          </cell>
          <cell r="AD162">
            <v>1</v>
          </cell>
          <cell r="AE162">
            <v>0</v>
          </cell>
          <cell r="AF162">
            <v>0</v>
          </cell>
          <cell r="AG162">
            <v>0</v>
          </cell>
        </row>
        <row r="163">
          <cell r="A163" t="str">
            <v>2016/05</v>
          </cell>
          <cell r="B163">
            <v>18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1</v>
          </cell>
          <cell r="I163">
            <v>1</v>
          </cell>
          <cell r="J163">
            <v>0</v>
          </cell>
          <cell r="K163">
            <v>0</v>
          </cell>
          <cell r="L163">
            <v>1</v>
          </cell>
          <cell r="M163">
            <v>1</v>
          </cell>
          <cell r="N163">
            <v>1</v>
          </cell>
          <cell r="O163">
            <v>1</v>
          </cell>
          <cell r="P163">
            <v>0</v>
          </cell>
          <cell r="Q163">
            <v>0</v>
          </cell>
          <cell r="R163">
            <v>1</v>
          </cell>
          <cell r="S163">
            <v>1</v>
          </cell>
          <cell r="T163">
            <v>1</v>
          </cell>
          <cell r="U163">
            <v>1</v>
          </cell>
          <cell r="V163">
            <v>1</v>
          </cell>
          <cell r="W163">
            <v>0</v>
          </cell>
          <cell r="X163">
            <v>0</v>
          </cell>
          <cell r="Y163">
            <v>1</v>
          </cell>
          <cell r="Z163">
            <v>1</v>
          </cell>
          <cell r="AA163">
            <v>1</v>
          </cell>
          <cell r="AB163">
            <v>1</v>
          </cell>
          <cell r="AC163">
            <v>1</v>
          </cell>
          <cell r="AD163">
            <v>0</v>
          </cell>
          <cell r="AE163">
            <v>0</v>
          </cell>
          <cell r="AF163">
            <v>1</v>
          </cell>
          <cell r="AG163">
            <v>1</v>
          </cell>
        </row>
        <row r="164">
          <cell r="A164" t="str">
            <v>2016/06</v>
          </cell>
          <cell r="B164">
            <v>22</v>
          </cell>
          <cell r="C164">
            <v>1</v>
          </cell>
          <cell r="D164">
            <v>1</v>
          </cell>
          <cell r="E164">
            <v>1</v>
          </cell>
          <cell r="F164">
            <v>0</v>
          </cell>
          <cell r="G164">
            <v>0</v>
          </cell>
          <cell r="H164">
            <v>1</v>
          </cell>
          <cell r="I164">
            <v>1</v>
          </cell>
          <cell r="J164">
            <v>1</v>
          </cell>
          <cell r="K164">
            <v>1</v>
          </cell>
          <cell r="L164">
            <v>1</v>
          </cell>
          <cell r="M164">
            <v>0</v>
          </cell>
          <cell r="N164">
            <v>0</v>
          </cell>
          <cell r="O164">
            <v>1</v>
          </cell>
          <cell r="P164">
            <v>1</v>
          </cell>
          <cell r="Q164">
            <v>1</v>
          </cell>
          <cell r="R164">
            <v>1</v>
          </cell>
          <cell r="S164">
            <v>1</v>
          </cell>
          <cell r="T164">
            <v>0</v>
          </cell>
          <cell r="U164">
            <v>0</v>
          </cell>
          <cell r="V164">
            <v>1</v>
          </cell>
          <cell r="W164">
            <v>1</v>
          </cell>
          <cell r="X164">
            <v>1</v>
          </cell>
          <cell r="Y164">
            <v>1</v>
          </cell>
          <cell r="Z164">
            <v>1</v>
          </cell>
          <cell r="AA164">
            <v>0</v>
          </cell>
          <cell r="AB164">
            <v>0</v>
          </cell>
          <cell r="AC164">
            <v>1</v>
          </cell>
          <cell r="AD164">
            <v>1</v>
          </cell>
          <cell r="AE164">
            <v>1</v>
          </cell>
          <cell r="AF164">
            <v>1</v>
          </cell>
          <cell r="AG164">
            <v>0</v>
          </cell>
        </row>
        <row r="165">
          <cell r="A165" t="str">
            <v>2016/07</v>
          </cell>
          <cell r="B165">
            <v>20</v>
          </cell>
          <cell r="C165">
            <v>1</v>
          </cell>
          <cell r="D165">
            <v>0</v>
          </cell>
          <cell r="E165">
            <v>0</v>
          </cell>
          <cell r="F165">
            <v>1</v>
          </cell>
          <cell r="G165">
            <v>1</v>
          </cell>
          <cell r="H165">
            <v>1</v>
          </cell>
          <cell r="I165">
            <v>1</v>
          </cell>
          <cell r="J165">
            <v>1</v>
          </cell>
          <cell r="K165">
            <v>0</v>
          </cell>
          <cell r="L165">
            <v>0</v>
          </cell>
          <cell r="M165">
            <v>1</v>
          </cell>
          <cell r="N165">
            <v>1</v>
          </cell>
          <cell r="O165">
            <v>1</v>
          </cell>
          <cell r="P165">
            <v>1</v>
          </cell>
          <cell r="Q165">
            <v>1</v>
          </cell>
          <cell r="R165">
            <v>0</v>
          </cell>
          <cell r="S165">
            <v>0</v>
          </cell>
          <cell r="T165">
            <v>0</v>
          </cell>
          <cell r="U165">
            <v>1</v>
          </cell>
          <cell r="V165">
            <v>1</v>
          </cell>
          <cell r="W165">
            <v>1</v>
          </cell>
          <cell r="X165">
            <v>1</v>
          </cell>
          <cell r="Y165">
            <v>0</v>
          </cell>
          <cell r="Z165">
            <v>0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E165">
            <v>1</v>
          </cell>
          <cell r="AF165">
            <v>0</v>
          </cell>
          <cell r="AG165">
            <v>0</v>
          </cell>
        </row>
        <row r="166">
          <cell r="A166" t="str">
            <v>2016/08</v>
          </cell>
          <cell r="B166">
            <v>18</v>
          </cell>
          <cell r="C166">
            <v>1</v>
          </cell>
          <cell r="D166">
            <v>1</v>
          </cell>
          <cell r="E166">
            <v>1</v>
          </cell>
          <cell r="F166">
            <v>1</v>
          </cell>
          <cell r="G166">
            <v>1</v>
          </cell>
          <cell r="H166">
            <v>0</v>
          </cell>
          <cell r="I166">
            <v>0</v>
          </cell>
          <cell r="J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1</v>
          </cell>
          <cell r="Y166">
            <v>1</v>
          </cell>
          <cell r="Z166">
            <v>1</v>
          </cell>
          <cell r="AA166">
            <v>1</v>
          </cell>
          <cell r="AB166">
            <v>1</v>
          </cell>
          <cell r="AC166">
            <v>0</v>
          </cell>
          <cell r="AD166">
            <v>0</v>
          </cell>
          <cell r="AE166">
            <v>1</v>
          </cell>
          <cell r="AF166">
            <v>1</v>
          </cell>
          <cell r="AG166">
            <v>1</v>
          </cell>
        </row>
        <row r="167">
          <cell r="A167" t="str">
            <v>2016/09</v>
          </cell>
          <cell r="B167">
            <v>22</v>
          </cell>
          <cell r="C167">
            <v>1</v>
          </cell>
          <cell r="D167">
            <v>1</v>
          </cell>
          <cell r="E167">
            <v>0</v>
          </cell>
          <cell r="F167">
            <v>0</v>
          </cell>
          <cell r="G167">
            <v>1</v>
          </cell>
          <cell r="H167">
            <v>1</v>
          </cell>
          <cell r="I167">
            <v>1</v>
          </cell>
          <cell r="J167">
            <v>1</v>
          </cell>
          <cell r="K167">
            <v>1</v>
          </cell>
          <cell r="L167">
            <v>0</v>
          </cell>
          <cell r="M167">
            <v>0</v>
          </cell>
          <cell r="N167">
            <v>1</v>
          </cell>
          <cell r="O167">
            <v>1</v>
          </cell>
          <cell r="P167">
            <v>1</v>
          </cell>
          <cell r="Q167">
            <v>1</v>
          </cell>
          <cell r="R167">
            <v>1</v>
          </cell>
          <cell r="S167">
            <v>0</v>
          </cell>
          <cell r="T167">
            <v>0</v>
          </cell>
          <cell r="U167">
            <v>1</v>
          </cell>
          <cell r="V167">
            <v>1</v>
          </cell>
          <cell r="W167">
            <v>1</v>
          </cell>
          <cell r="X167">
            <v>1</v>
          </cell>
          <cell r="Y167">
            <v>1</v>
          </cell>
          <cell r="Z167">
            <v>0</v>
          </cell>
          <cell r="AA167">
            <v>0</v>
          </cell>
          <cell r="AB167">
            <v>1</v>
          </cell>
          <cell r="AC167">
            <v>1</v>
          </cell>
          <cell r="AD167">
            <v>1</v>
          </cell>
          <cell r="AE167">
            <v>1</v>
          </cell>
          <cell r="AF167">
            <v>1</v>
          </cell>
          <cell r="AG167">
            <v>0</v>
          </cell>
        </row>
        <row r="168">
          <cell r="A168" t="str">
            <v>2016/10</v>
          </cell>
          <cell r="B168">
            <v>20</v>
          </cell>
          <cell r="C168">
            <v>0</v>
          </cell>
          <cell r="D168">
            <v>0</v>
          </cell>
          <cell r="E168">
            <v>1</v>
          </cell>
          <cell r="F168">
            <v>1</v>
          </cell>
          <cell r="G168">
            <v>1</v>
          </cell>
          <cell r="H168">
            <v>1</v>
          </cell>
          <cell r="I168">
            <v>1</v>
          </cell>
          <cell r="J168">
            <v>0</v>
          </cell>
          <cell r="K168">
            <v>0</v>
          </cell>
          <cell r="L168">
            <v>0</v>
          </cell>
          <cell r="M168">
            <v>1</v>
          </cell>
          <cell r="N168">
            <v>1</v>
          </cell>
          <cell r="O168">
            <v>1</v>
          </cell>
          <cell r="P168">
            <v>1</v>
          </cell>
          <cell r="Q168">
            <v>0</v>
          </cell>
          <cell r="R168">
            <v>0</v>
          </cell>
          <cell r="S168">
            <v>1</v>
          </cell>
          <cell r="T168">
            <v>1</v>
          </cell>
          <cell r="U168">
            <v>1</v>
          </cell>
          <cell r="V168">
            <v>1</v>
          </cell>
          <cell r="W168">
            <v>1</v>
          </cell>
          <cell r="X168">
            <v>0</v>
          </cell>
          <cell r="Y168">
            <v>0</v>
          </cell>
          <cell r="Z168">
            <v>1</v>
          </cell>
          <cell r="AA168">
            <v>1</v>
          </cell>
          <cell r="AB168">
            <v>1</v>
          </cell>
          <cell r="AC168">
            <v>1</v>
          </cell>
          <cell r="AD168">
            <v>1</v>
          </cell>
          <cell r="AE168">
            <v>0</v>
          </cell>
          <cell r="AF168">
            <v>0</v>
          </cell>
          <cell r="AG168">
            <v>1</v>
          </cell>
        </row>
        <row r="169">
          <cell r="A169" t="str">
            <v>2016/11</v>
          </cell>
          <cell r="B169">
            <v>22</v>
          </cell>
          <cell r="C169">
            <v>1</v>
          </cell>
          <cell r="D169">
            <v>1</v>
          </cell>
          <cell r="E169">
            <v>1</v>
          </cell>
          <cell r="F169">
            <v>1</v>
          </cell>
          <cell r="G169">
            <v>0</v>
          </cell>
          <cell r="H169">
            <v>0</v>
          </cell>
          <cell r="I169">
            <v>1</v>
          </cell>
          <cell r="J169">
            <v>1</v>
          </cell>
          <cell r="K169">
            <v>1</v>
          </cell>
          <cell r="L169">
            <v>1</v>
          </cell>
          <cell r="M169">
            <v>1</v>
          </cell>
          <cell r="N169">
            <v>0</v>
          </cell>
          <cell r="O169">
            <v>0</v>
          </cell>
          <cell r="P169">
            <v>1</v>
          </cell>
          <cell r="Q169">
            <v>1</v>
          </cell>
          <cell r="R169">
            <v>1</v>
          </cell>
          <cell r="S169">
            <v>1</v>
          </cell>
          <cell r="T169">
            <v>1</v>
          </cell>
          <cell r="U169">
            <v>0</v>
          </cell>
          <cell r="V169">
            <v>0</v>
          </cell>
          <cell r="W169">
            <v>1</v>
          </cell>
          <cell r="X169">
            <v>1</v>
          </cell>
          <cell r="Y169">
            <v>1</v>
          </cell>
          <cell r="Z169">
            <v>1</v>
          </cell>
          <cell r="AA169">
            <v>1</v>
          </cell>
          <cell r="AB169">
            <v>0</v>
          </cell>
          <cell r="AC169">
            <v>0</v>
          </cell>
          <cell r="AD169">
            <v>1</v>
          </cell>
          <cell r="AE169">
            <v>1</v>
          </cell>
          <cell r="AF169">
            <v>1</v>
          </cell>
          <cell r="AG169">
            <v>0</v>
          </cell>
        </row>
        <row r="170">
          <cell r="A170" t="str">
            <v>2016/12</v>
          </cell>
          <cell r="B170">
            <v>19</v>
          </cell>
          <cell r="C170">
            <v>1</v>
          </cell>
          <cell r="D170">
            <v>1</v>
          </cell>
          <cell r="E170">
            <v>0</v>
          </cell>
          <cell r="F170">
            <v>0</v>
          </cell>
          <cell r="G170">
            <v>1</v>
          </cell>
          <cell r="H170">
            <v>1</v>
          </cell>
          <cell r="I170">
            <v>1</v>
          </cell>
          <cell r="J170">
            <v>1</v>
          </cell>
          <cell r="K170">
            <v>1</v>
          </cell>
          <cell r="L170">
            <v>0</v>
          </cell>
          <cell r="M170">
            <v>0</v>
          </cell>
          <cell r="N170">
            <v>1</v>
          </cell>
          <cell r="O170">
            <v>1</v>
          </cell>
          <cell r="P170">
            <v>1</v>
          </cell>
          <cell r="Q170">
            <v>1</v>
          </cell>
          <cell r="R170">
            <v>1</v>
          </cell>
          <cell r="S170">
            <v>0</v>
          </cell>
          <cell r="T170">
            <v>0</v>
          </cell>
          <cell r="U170">
            <v>1</v>
          </cell>
          <cell r="V170">
            <v>1</v>
          </cell>
          <cell r="W170">
            <v>1</v>
          </cell>
          <cell r="X170">
            <v>1</v>
          </cell>
          <cell r="Y170">
            <v>1</v>
          </cell>
          <cell r="Z170">
            <v>0</v>
          </cell>
          <cell r="AA170">
            <v>0</v>
          </cell>
          <cell r="AB170">
            <v>1</v>
          </cell>
          <cell r="AC170">
            <v>1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</row>
        <row r="171">
          <cell r="A171" t="str">
            <v>2017/01</v>
          </cell>
          <cell r="B171">
            <v>19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1</v>
          </cell>
          <cell r="J171">
            <v>0</v>
          </cell>
          <cell r="K171">
            <v>0</v>
          </cell>
          <cell r="L171">
            <v>1</v>
          </cell>
          <cell r="M171">
            <v>1</v>
          </cell>
          <cell r="N171">
            <v>1</v>
          </cell>
          <cell r="O171">
            <v>1</v>
          </cell>
          <cell r="P171">
            <v>0.5</v>
          </cell>
          <cell r="Q171">
            <v>0</v>
          </cell>
          <cell r="R171">
            <v>1</v>
          </cell>
          <cell r="S171">
            <v>1</v>
          </cell>
          <cell r="T171">
            <v>1</v>
          </cell>
          <cell r="U171">
            <v>1</v>
          </cell>
          <cell r="V171">
            <v>1</v>
          </cell>
          <cell r="W171">
            <v>0.5</v>
          </cell>
          <cell r="X171">
            <v>0</v>
          </cell>
          <cell r="Y171">
            <v>1</v>
          </cell>
          <cell r="Z171">
            <v>1</v>
          </cell>
          <cell r="AA171">
            <v>1</v>
          </cell>
          <cell r="AB171">
            <v>1</v>
          </cell>
          <cell r="AC171">
            <v>1</v>
          </cell>
          <cell r="AD171">
            <v>0</v>
          </cell>
          <cell r="AE171">
            <v>0</v>
          </cell>
          <cell r="AF171">
            <v>1</v>
          </cell>
          <cell r="AG171">
            <v>1</v>
          </cell>
        </row>
        <row r="172">
          <cell r="A172" t="str">
            <v>2017/02</v>
          </cell>
          <cell r="B172">
            <v>21</v>
          </cell>
          <cell r="C172">
            <v>1</v>
          </cell>
          <cell r="D172">
            <v>1</v>
          </cell>
          <cell r="E172">
            <v>1</v>
          </cell>
          <cell r="F172">
            <v>0</v>
          </cell>
          <cell r="G172">
            <v>0</v>
          </cell>
          <cell r="H172">
            <v>1</v>
          </cell>
          <cell r="I172">
            <v>1</v>
          </cell>
          <cell r="J172">
            <v>1</v>
          </cell>
          <cell r="K172">
            <v>1</v>
          </cell>
          <cell r="L172">
            <v>1</v>
          </cell>
          <cell r="M172">
            <v>0.5</v>
          </cell>
          <cell r="N172">
            <v>0</v>
          </cell>
          <cell r="O172">
            <v>1</v>
          </cell>
          <cell r="P172">
            <v>1</v>
          </cell>
          <cell r="Q172">
            <v>1</v>
          </cell>
          <cell r="R172">
            <v>1</v>
          </cell>
          <cell r="S172">
            <v>1</v>
          </cell>
          <cell r="T172">
            <v>0.5</v>
          </cell>
          <cell r="U172">
            <v>0</v>
          </cell>
          <cell r="V172">
            <v>1</v>
          </cell>
          <cell r="W172">
            <v>1</v>
          </cell>
          <cell r="X172">
            <v>1</v>
          </cell>
          <cell r="Y172">
            <v>1</v>
          </cell>
          <cell r="Z172">
            <v>1</v>
          </cell>
          <cell r="AA172">
            <v>0</v>
          </cell>
          <cell r="AB172">
            <v>0</v>
          </cell>
          <cell r="AC172">
            <v>1</v>
          </cell>
          <cell r="AD172">
            <v>1</v>
          </cell>
          <cell r="AE172">
            <v>0</v>
          </cell>
          <cell r="AF172">
            <v>0</v>
          </cell>
          <cell r="AG172">
            <v>0</v>
          </cell>
        </row>
        <row r="173">
          <cell r="A173" t="str">
            <v>2017/03</v>
          </cell>
          <cell r="B173">
            <v>23</v>
          </cell>
          <cell r="C173">
            <v>1</v>
          </cell>
          <cell r="D173">
            <v>1</v>
          </cell>
          <cell r="E173">
            <v>1</v>
          </cell>
          <cell r="F173">
            <v>0</v>
          </cell>
          <cell r="G173">
            <v>0</v>
          </cell>
          <cell r="H173">
            <v>1</v>
          </cell>
          <cell r="I173">
            <v>1</v>
          </cell>
          <cell r="J173">
            <v>1</v>
          </cell>
          <cell r="K173">
            <v>1</v>
          </cell>
          <cell r="L173">
            <v>1</v>
          </cell>
          <cell r="M173">
            <v>0</v>
          </cell>
          <cell r="N173">
            <v>0</v>
          </cell>
          <cell r="O173">
            <v>1</v>
          </cell>
          <cell r="P173">
            <v>1</v>
          </cell>
          <cell r="Q173">
            <v>1</v>
          </cell>
          <cell r="R173">
            <v>1</v>
          </cell>
          <cell r="S173">
            <v>1</v>
          </cell>
          <cell r="T173">
            <v>0</v>
          </cell>
          <cell r="U173">
            <v>0</v>
          </cell>
          <cell r="V173">
            <v>1</v>
          </cell>
          <cell r="W173">
            <v>1</v>
          </cell>
          <cell r="X173">
            <v>1</v>
          </cell>
          <cell r="Y173">
            <v>1</v>
          </cell>
          <cell r="Z173">
            <v>1</v>
          </cell>
          <cell r="AA173">
            <v>0</v>
          </cell>
          <cell r="AB173">
            <v>0</v>
          </cell>
          <cell r="AC173">
            <v>1</v>
          </cell>
          <cell r="AD173">
            <v>1</v>
          </cell>
          <cell r="AE173">
            <v>1</v>
          </cell>
          <cell r="AF173">
            <v>1</v>
          </cell>
          <cell r="AG173">
            <v>1</v>
          </cell>
        </row>
        <row r="174">
          <cell r="A174" t="str">
            <v>2017/04</v>
          </cell>
          <cell r="B174">
            <v>20</v>
          </cell>
          <cell r="C174">
            <v>0</v>
          </cell>
          <cell r="D174">
            <v>0</v>
          </cell>
          <cell r="E174">
            <v>1</v>
          </cell>
          <cell r="F174">
            <v>1</v>
          </cell>
          <cell r="G174">
            <v>1</v>
          </cell>
          <cell r="H174">
            <v>1</v>
          </cell>
          <cell r="I174">
            <v>1</v>
          </cell>
          <cell r="J174">
            <v>0</v>
          </cell>
          <cell r="K174">
            <v>0</v>
          </cell>
          <cell r="L174">
            <v>1</v>
          </cell>
          <cell r="M174">
            <v>1</v>
          </cell>
          <cell r="N174">
            <v>1</v>
          </cell>
          <cell r="O174">
            <v>1</v>
          </cell>
          <cell r="P174">
            <v>1</v>
          </cell>
          <cell r="Q174">
            <v>0</v>
          </cell>
          <cell r="R174">
            <v>0</v>
          </cell>
          <cell r="S174">
            <v>1</v>
          </cell>
          <cell r="T174">
            <v>1</v>
          </cell>
          <cell r="U174">
            <v>1</v>
          </cell>
          <cell r="V174">
            <v>1</v>
          </cell>
          <cell r="W174">
            <v>1</v>
          </cell>
          <cell r="X174">
            <v>0</v>
          </cell>
          <cell r="Y174">
            <v>0</v>
          </cell>
          <cell r="Z174">
            <v>1</v>
          </cell>
          <cell r="AA174">
            <v>1</v>
          </cell>
          <cell r="AB174">
            <v>1</v>
          </cell>
          <cell r="AC174">
            <v>1</v>
          </cell>
          <cell r="AD174">
            <v>1</v>
          </cell>
          <cell r="AE174">
            <v>0</v>
          </cell>
          <cell r="AF174">
            <v>0</v>
          </cell>
          <cell r="AG174">
            <v>0</v>
          </cell>
        </row>
        <row r="175">
          <cell r="A175" t="str">
            <v>2017/05</v>
          </cell>
          <cell r="B175">
            <v>18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0</v>
          </cell>
          <cell r="P175">
            <v>0</v>
          </cell>
          <cell r="Q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V175">
            <v>0</v>
          </cell>
          <cell r="W175">
            <v>0</v>
          </cell>
          <cell r="X175">
            <v>1</v>
          </cell>
          <cell r="Y175">
            <v>1</v>
          </cell>
          <cell r="Z175">
            <v>1</v>
          </cell>
          <cell r="AA175">
            <v>1</v>
          </cell>
          <cell r="AB175">
            <v>1</v>
          </cell>
          <cell r="AC175">
            <v>0</v>
          </cell>
          <cell r="AD175">
            <v>0</v>
          </cell>
          <cell r="AE175">
            <v>1</v>
          </cell>
          <cell r="AF175">
            <v>1</v>
          </cell>
          <cell r="AG175">
            <v>1</v>
          </cell>
        </row>
        <row r="176">
          <cell r="A176" t="str">
            <v>2017/06</v>
          </cell>
          <cell r="B176">
            <v>22</v>
          </cell>
          <cell r="C176">
            <v>1</v>
          </cell>
          <cell r="D176">
            <v>1</v>
          </cell>
          <cell r="E176">
            <v>0</v>
          </cell>
          <cell r="F176">
            <v>0</v>
          </cell>
          <cell r="G176">
            <v>1</v>
          </cell>
          <cell r="H176">
            <v>1</v>
          </cell>
          <cell r="I176">
            <v>1</v>
          </cell>
          <cell r="J176">
            <v>1</v>
          </cell>
          <cell r="K176">
            <v>1</v>
          </cell>
          <cell r="L176">
            <v>0</v>
          </cell>
          <cell r="M176">
            <v>0</v>
          </cell>
          <cell r="N176">
            <v>1</v>
          </cell>
          <cell r="O176">
            <v>1</v>
          </cell>
          <cell r="P176">
            <v>1</v>
          </cell>
          <cell r="Q176">
            <v>1</v>
          </cell>
          <cell r="R176">
            <v>1</v>
          </cell>
          <cell r="S176">
            <v>0</v>
          </cell>
          <cell r="T176">
            <v>0</v>
          </cell>
          <cell r="U176">
            <v>1</v>
          </cell>
          <cell r="V176">
            <v>1</v>
          </cell>
          <cell r="W176">
            <v>1</v>
          </cell>
          <cell r="X176">
            <v>1</v>
          </cell>
          <cell r="Y176">
            <v>1</v>
          </cell>
          <cell r="Z176">
            <v>0</v>
          </cell>
          <cell r="AA176">
            <v>0</v>
          </cell>
          <cell r="AB176">
            <v>1</v>
          </cell>
          <cell r="AC176">
            <v>1</v>
          </cell>
          <cell r="AD176">
            <v>1</v>
          </cell>
          <cell r="AE176">
            <v>1</v>
          </cell>
          <cell r="AF176">
            <v>1</v>
          </cell>
          <cell r="AG176">
            <v>0</v>
          </cell>
        </row>
        <row r="177">
          <cell r="A177" t="str">
            <v>2017/07</v>
          </cell>
          <cell r="B177">
            <v>21</v>
          </cell>
          <cell r="C177">
            <v>0</v>
          </cell>
          <cell r="D177">
            <v>0</v>
          </cell>
          <cell r="E177">
            <v>1</v>
          </cell>
          <cell r="F177">
            <v>1</v>
          </cell>
          <cell r="G177">
            <v>1</v>
          </cell>
          <cell r="H177">
            <v>1</v>
          </cell>
          <cell r="I177">
            <v>1</v>
          </cell>
          <cell r="J177">
            <v>0</v>
          </cell>
          <cell r="K177">
            <v>0</v>
          </cell>
          <cell r="L177">
            <v>1</v>
          </cell>
          <cell r="M177">
            <v>1</v>
          </cell>
          <cell r="N177">
            <v>1</v>
          </cell>
          <cell r="O177">
            <v>1</v>
          </cell>
          <cell r="P177">
            <v>1</v>
          </cell>
          <cell r="Q177">
            <v>0</v>
          </cell>
          <cell r="R177">
            <v>0</v>
          </cell>
          <cell r="S177">
            <v>1</v>
          </cell>
          <cell r="T177">
            <v>1</v>
          </cell>
          <cell r="U177">
            <v>1</v>
          </cell>
          <cell r="V177">
            <v>1</v>
          </cell>
          <cell r="W177">
            <v>1</v>
          </cell>
          <cell r="X177">
            <v>0</v>
          </cell>
          <cell r="Y177">
            <v>0</v>
          </cell>
          <cell r="Z177">
            <v>1</v>
          </cell>
          <cell r="AA177">
            <v>1</v>
          </cell>
          <cell r="AB177">
            <v>1</v>
          </cell>
          <cell r="AC177">
            <v>1</v>
          </cell>
          <cell r="AD177">
            <v>1</v>
          </cell>
          <cell r="AE177">
            <v>0</v>
          </cell>
          <cell r="AF177">
            <v>0</v>
          </cell>
          <cell r="AG177">
            <v>1</v>
          </cell>
        </row>
        <row r="178">
          <cell r="A178" t="str">
            <v>2017/08</v>
          </cell>
          <cell r="B178">
            <v>18</v>
          </cell>
          <cell r="C178">
            <v>1</v>
          </cell>
          <cell r="D178">
            <v>1</v>
          </cell>
          <cell r="E178">
            <v>1</v>
          </cell>
          <cell r="F178">
            <v>1</v>
          </cell>
          <cell r="G178">
            <v>0</v>
          </cell>
          <cell r="H178">
            <v>0</v>
          </cell>
          <cell r="I178">
            <v>1</v>
          </cell>
          <cell r="J178">
            <v>1</v>
          </cell>
          <cell r="K178">
            <v>1</v>
          </cell>
          <cell r="L178">
            <v>1</v>
          </cell>
          <cell r="M178">
            <v>1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1</v>
          </cell>
          <cell r="X178">
            <v>1</v>
          </cell>
          <cell r="Y178">
            <v>1</v>
          </cell>
          <cell r="Z178">
            <v>1</v>
          </cell>
          <cell r="AA178">
            <v>1</v>
          </cell>
          <cell r="AB178">
            <v>0</v>
          </cell>
          <cell r="AC178">
            <v>0</v>
          </cell>
          <cell r="AD178">
            <v>1</v>
          </cell>
          <cell r="AE178">
            <v>1</v>
          </cell>
          <cell r="AF178">
            <v>1</v>
          </cell>
          <cell r="AG178">
            <v>1</v>
          </cell>
        </row>
        <row r="179">
          <cell r="A179" t="str">
            <v>2017/09</v>
          </cell>
          <cell r="B179">
            <v>21</v>
          </cell>
          <cell r="C179">
            <v>1</v>
          </cell>
          <cell r="D179">
            <v>0</v>
          </cell>
          <cell r="E179">
            <v>0</v>
          </cell>
          <cell r="F179">
            <v>1</v>
          </cell>
          <cell r="G179">
            <v>1</v>
          </cell>
          <cell r="H179">
            <v>1</v>
          </cell>
          <cell r="I179">
            <v>1</v>
          </cell>
          <cell r="J179">
            <v>1</v>
          </cell>
          <cell r="K179">
            <v>0</v>
          </cell>
          <cell r="L179">
            <v>0</v>
          </cell>
          <cell r="M179">
            <v>1</v>
          </cell>
          <cell r="N179">
            <v>1</v>
          </cell>
          <cell r="O179">
            <v>1</v>
          </cell>
          <cell r="P179">
            <v>1</v>
          </cell>
          <cell r="Q179">
            <v>1</v>
          </cell>
          <cell r="R179">
            <v>0</v>
          </cell>
          <cell r="S179">
            <v>0</v>
          </cell>
          <cell r="T179">
            <v>1</v>
          </cell>
          <cell r="U179">
            <v>1</v>
          </cell>
          <cell r="V179">
            <v>1</v>
          </cell>
          <cell r="W179">
            <v>1</v>
          </cell>
          <cell r="X179">
            <v>1</v>
          </cell>
          <cell r="Y179">
            <v>0</v>
          </cell>
          <cell r="Z179">
            <v>0</v>
          </cell>
          <cell r="AA179">
            <v>1</v>
          </cell>
          <cell r="AB179">
            <v>1</v>
          </cell>
          <cell r="AC179">
            <v>1</v>
          </cell>
          <cell r="AD179">
            <v>1</v>
          </cell>
          <cell r="AE179">
            <v>1</v>
          </cell>
          <cell r="AF179">
            <v>0</v>
          </cell>
          <cell r="AG179">
            <v>0</v>
          </cell>
        </row>
        <row r="180">
          <cell r="A180" t="str">
            <v>2017/10</v>
          </cell>
          <cell r="B180">
            <v>21</v>
          </cell>
          <cell r="C180">
            <v>0</v>
          </cell>
          <cell r="D180">
            <v>1</v>
          </cell>
          <cell r="E180">
            <v>1</v>
          </cell>
          <cell r="F180">
            <v>1</v>
          </cell>
          <cell r="G180">
            <v>1</v>
          </cell>
          <cell r="H180">
            <v>1</v>
          </cell>
          <cell r="I180">
            <v>0</v>
          </cell>
          <cell r="J180">
            <v>0</v>
          </cell>
          <cell r="K180">
            <v>0</v>
          </cell>
          <cell r="L180">
            <v>1</v>
          </cell>
          <cell r="M180">
            <v>1</v>
          </cell>
          <cell r="N180">
            <v>1</v>
          </cell>
          <cell r="O180">
            <v>1</v>
          </cell>
          <cell r="P180">
            <v>0</v>
          </cell>
          <cell r="Q180">
            <v>0</v>
          </cell>
          <cell r="R180">
            <v>1</v>
          </cell>
          <cell r="S180">
            <v>1</v>
          </cell>
          <cell r="T180">
            <v>1</v>
          </cell>
          <cell r="U180">
            <v>1</v>
          </cell>
          <cell r="V180">
            <v>1</v>
          </cell>
          <cell r="W180">
            <v>0</v>
          </cell>
          <cell r="X180">
            <v>0</v>
          </cell>
          <cell r="Y180">
            <v>1</v>
          </cell>
          <cell r="Z180">
            <v>1</v>
          </cell>
          <cell r="AA180">
            <v>1</v>
          </cell>
          <cell r="AB180">
            <v>1</v>
          </cell>
          <cell r="AC180">
            <v>1</v>
          </cell>
          <cell r="AD180">
            <v>0</v>
          </cell>
          <cell r="AE180">
            <v>0</v>
          </cell>
          <cell r="AF180">
            <v>1</v>
          </cell>
          <cell r="AG180">
            <v>1</v>
          </cell>
        </row>
        <row r="181">
          <cell r="A181" t="str">
            <v>2017/11</v>
          </cell>
          <cell r="B181">
            <v>22</v>
          </cell>
          <cell r="C181">
            <v>1</v>
          </cell>
          <cell r="D181">
            <v>1</v>
          </cell>
          <cell r="E181">
            <v>1</v>
          </cell>
          <cell r="F181">
            <v>0</v>
          </cell>
          <cell r="G181">
            <v>0</v>
          </cell>
          <cell r="H181">
            <v>1</v>
          </cell>
          <cell r="I181">
            <v>1</v>
          </cell>
          <cell r="J181">
            <v>1</v>
          </cell>
          <cell r="K181">
            <v>1</v>
          </cell>
          <cell r="L181">
            <v>1</v>
          </cell>
          <cell r="M181">
            <v>0</v>
          </cell>
          <cell r="N181">
            <v>0</v>
          </cell>
          <cell r="O181">
            <v>1</v>
          </cell>
          <cell r="P181">
            <v>1</v>
          </cell>
          <cell r="Q181">
            <v>1</v>
          </cell>
          <cell r="R181">
            <v>1</v>
          </cell>
          <cell r="S181">
            <v>1</v>
          </cell>
          <cell r="T181">
            <v>0</v>
          </cell>
          <cell r="U181">
            <v>0</v>
          </cell>
          <cell r="V181">
            <v>1</v>
          </cell>
          <cell r="W181">
            <v>1</v>
          </cell>
          <cell r="X181">
            <v>1</v>
          </cell>
          <cell r="Y181">
            <v>1</v>
          </cell>
          <cell r="Z181">
            <v>1</v>
          </cell>
          <cell r="AA181">
            <v>0</v>
          </cell>
          <cell r="AB181">
            <v>0</v>
          </cell>
          <cell r="AC181">
            <v>1</v>
          </cell>
          <cell r="AD181">
            <v>1</v>
          </cell>
          <cell r="AE181">
            <v>1</v>
          </cell>
          <cell r="AF181">
            <v>1</v>
          </cell>
          <cell r="AG181">
            <v>0</v>
          </cell>
        </row>
        <row r="182">
          <cell r="A182" t="str">
            <v>2017/12</v>
          </cell>
          <cell r="B182">
            <v>20</v>
          </cell>
          <cell r="C182">
            <v>1</v>
          </cell>
          <cell r="D182">
            <v>0</v>
          </cell>
          <cell r="E182">
            <v>0</v>
          </cell>
          <cell r="F182">
            <v>1</v>
          </cell>
          <cell r="G182">
            <v>1</v>
          </cell>
          <cell r="H182">
            <v>1</v>
          </cell>
          <cell r="I182">
            <v>1</v>
          </cell>
          <cell r="J182">
            <v>1</v>
          </cell>
          <cell r="K182">
            <v>0</v>
          </cell>
          <cell r="L182">
            <v>0</v>
          </cell>
          <cell r="M182">
            <v>1</v>
          </cell>
          <cell r="N182">
            <v>1</v>
          </cell>
          <cell r="O182">
            <v>1</v>
          </cell>
          <cell r="P182">
            <v>1</v>
          </cell>
          <cell r="Q182">
            <v>1</v>
          </cell>
          <cell r="R182">
            <v>0</v>
          </cell>
          <cell r="S182">
            <v>0</v>
          </cell>
          <cell r="T182">
            <v>1</v>
          </cell>
          <cell r="U182">
            <v>1</v>
          </cell>
          <cell r="V182">
            <v>1</v>
          </cell>
          <cell r="W182">
            <v>1</v>
          </cell>
          <cell r="X182">
            <v>1</v>
          </cell>
          <cell r="Y182">
            <v>0</v>
          </cell>
          <cell r="Z182">
            <v>0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0</v>
          </cell>
          <cell r="AF182">
            <v>0</v>
          </cell>
          <cell r="AG182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カレンダー"/>
      <sheetName val="一時貼付"/>
      <sheetName val="山岸調整"/>
      <sheetName val="顧客M"/>
      <sheetName val="設定"/>
      <sheetName val="DATA貼付"/>
      <sheetName val="出荷ｽｹｼﾞｭｰﾙ集計"/>
      <sheetName val="月末在庫集計"/>
      <sheetName val="在庫元単位"/>
      <sheetName val="可動時間"/>
      <sheetName val="生計（E8)"/>
      <sheetName val="10月末在庫設定"/>
      <sheetName val="11末在庫"/>
      <sheetName val="12月末"/>
      <sheetName val="1月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C1">
            <v>2020</v>
          </cell>
        </row>
        <row r="21">
          <cell r="B21" t="str">
            <v>長安PSA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</row>
        <row r="22">
          <cell r="B22" t="str">
            <v>東風PSA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</row>
        <row r="23">
          <cell r="B23" t="str">
            <v>PSAﾓﾝｽ</v>
          </cell>
          <cell r="D23">
            <v>4076</v>
          </cell>
          <cell r="E23">
            <v>12990</v>
          </cell>
          <cell r="F23">
            <v>15016</v>
          </cell>
          <cell r="G23">
            <v>12947</v>
          </cell>
          <cell r="H23">
            <v>0</v>
          </cell>
          <cell r="I23">
            <v>0</v>
          </cell>
          <cell r="J23">
            <v>1174</v>
          </cell>
          <cell r="K23">
            <v>0</v>
          </cell>
          <cell r="L23">
            <v>0</v>
          </cell>
          <cell r="M23">
            <v>1325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1943</v>
          </cell>
          <cell r="S23">
            <v>0</v>
          </cell>
          <cell r="T23">
            <v>1727</v>
          </cell>
          <cell r="U23">
            <v>0</v>
          </cell>
          <cell r="V23">
            <v>0</v>
          </cell>
          <cell r="W23">
            <v>0</v>
          </cell>
          <cell r="X23">
            <v>1773</v>
          </cell>
          <cell r="Y23">
            <v>0</v>
          </cell>
          <cell r="Z23">
            <v>1727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1746</v>
          </cell>
          <cell r="AG23">
            <v>0</v>
          </cell>
          <cell r="AH23">
            <v>1575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1758</v>
          </cell>
          <cell r="AP23">
            <v>0</v>
          </cell>
          <cell r="AQ23">
            <v>1606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1624</v>
          </cell>
          <cell r="AW23">
            <v>0</v>
          </cell>
          <cell r="AX23">
            <v>1588</v>
          </cell>
          <cell r="AY23">
            <v>0</v>
          </cell>
          <cell r="AZ23">
            <v>0</v>
          </cell>
          <cell r="BA23">
            <v>0</v>
          </cell>
          <cell r="BB23">
            <v>1731</v>
          </cell>
          <cell r="BC23">
            <v>0</v>
          </cell>
          <cell r="BD23">
            <v>1579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1758</v>
          </cell>
          <cell r="BK23">
            <v>0</v>
          </cell>
          <cell r="BL23">
            <v>1766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1606</v>
          </cell>
        </row>
        <row r="24">
          <cell r="B24" t="str">
            <v>↑ここより上に行を追加して下さい。</v>
          </cell>
        </row>
        <row r="25">
          <cell r="D25">
            <v>0.9</v>
          </cell>
        </row>
        <row r="26">
          <cell r="B26" t="str">
            <v>■F22品番集計</v>
          </cell>
        </row>
        <row r="27">
          <cell r="A27" t="str">
            <v>KEY</v>
          </cell>
          <cell r="B27" t="str">
            <v>↓ここより下に行を追加してください。</v>
          </cell>
        </row>
        <row r="28">
          <cell r="A28" t="str">
            <v>VOLVO1285400</v>
          </cell>
          <cell r="B28" t="str">
            <v>VOLVO</v>
          </cell>
          <cell r="C28">
            <v>1285400</v>
          </cell>
          <cell r="D28">
            <v>265</v>
          </cell>
          <cell r="E28">
            <v>1000</v>
          </cell>
          <cell r="F28">
            <v>333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160</v>
          </cell>
          <cell r="L28">
            <v>0</v>
          </cell>
          <cell r="M28">
            <v>160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120</v>
          </cell>
          <cell r="T28">
            <v>0</v>
          </cell>
          <cell r="U28">
            <v>120</v>
          </cell>
          <cell r="V28">
            <v>0</v>
          </cell>
          <cell r="W28">
            <v>0</v>
          </cell>
          <cell r="X28">
            <v>0</v>
          </cell>
          <cell r="Y28">
            <v>120</v>
          </cell>
          <cell r="Z28">
            <v>0</v>
          </cell>
          <cell r="AA28">
            <v>120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100</v>
          </cell>
          <cell r="AH28">
            <v>0</v>
          </cell>
          <cell r="AI28">
            <v>100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90</v>
          </cell>
          <cell r="AQ28">
            <v>0</v>
          </cell>
          <cell r="AR28">
            <v>80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80</v>
          </cell>
          <cell r="AX28">
            <v>0</v>
          </cell>
          <cell r="AY28">
            <v>83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</row>
        <row r="29">
          <cell r="A29" t="str">
            <v>VOLVO1285401</v>
          </cell>
          <cell r="B29" t="str">
            <v>VOLVO</v>
          </cell>
          <cell r="C29">
            <v>1285401</v>
          </cell>
          <cell r="D29">
            <v>140</v>
          </cell>
          <cell r="E29">
            <v>205</v>
          </cell>
          <cell r="F29">
            <v>77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40</v>
          </cell>
          <cell r="L29">
            <v>0</v>
          </cell>
          <cell r="M29">
            <v>30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20</v>
          </cell>
          <cell r="T29">
            <v>0</v>
          </cell>
          <cell r="U29">
            <v>30</v>
          </cell>
          <cell r="V29">
            <v>0</v>
          </cell>
          <cell r="W29">
            <v>0</v>
          </cell>
          <cell r="X29">
            <v>0</v>
          </cell>
          <cell r="Y29">
            <v>20</v>
          </cell>
          <cell r="Z29">
            <v>0</v>
          </cell>
          <cell r="AA29">
            <v>20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25</v>
          </cell>
          <cell r="AH29">
            <v>0</v>
          </cell>
          <cell r="AI29">
            <v>20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20</v>
          </cell>
          <cell r="AQ29">
            <v>0</v>
          </cell>
          <cell r="AR29">
            <v>20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20</v>
          </cell>
          <cell r="AX29">
            <v>0</v>
          </cell>
          <cell r="AY29">
            <v>17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</row>
        <row r="30">
          <cell r="A30" t="str">
            <v>VOLVO1285471</v>
          </cell>
          <cell r="B30" t="str">
            <v>VOLVO</v>
          </cell>
          <cell r="C30">
            <v>1285471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</row>
        <row r="31">
          <cell r="A31" t="str">
            <v>VOLVO1285472</v>
          </cell>
          <cell r="B31" t="str">
            <v>VOLVO</v>
          </cell>
          <cell r="C31">
            <v>1285472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</row>
        <row r="32">
          <cell r="A32" t="str">
            <v>VOLVO1285389</v>
          </cell>
          <cell r="B32" t="str">
            <v>VOLVO</v>
          </cell>
          <cell r="C32">
            <v>1285389</v>
          </cell>
          <cell r="D32">
            <v>1100</v>
          </cell>
          <cell r="E32">
            <v>3960</v>
          </cell>
          <cell r="F32">
            <v>932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615</v>
          </cell>
          <cell r="L32">
            <v>0</v>
          </cell>
          <cell r="M32">
            <v>615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565</v>
          </cell>
          <cell r="T32">
            <v>0</v>
          </cell>
          <cell r="U32">
            <v>565</v>
          </cell>
          <cell r="V32">
            <v>0</v>
          </cell>
          <cell r="W32">
            <v>0</v>
          </cell>
          <cell r="X32">
            <v>0</v>
          </cell>
          <cell r="Y32">
            <v>400</v>
          </cell>
          <cell r="Z32">
            <v>0</v>
          </cell>
          <cell r="AA32">
            <v>400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400</v>
          </cell>
          <cell r="AH32">
            <v>0</v>
          </cell>
          <cell r="AI32">
            <v>400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230</v>
          </cell>
          <cell r="AQ32">
            <v>0</v>
          </cell>
          <cell r="AR32">
            <v>230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230</v>
          </cell>
          <cell r="AX32">
            <v>0</v>
          </cell>
          <cell r="AY32">
            <v>242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</row>
        <row r="33">
          <cell r="A33" t="str">
            <v>VOLVO1285399</v>
          </cell>
          <cell r="B33" t="str">
            <v>VOLVO</v>
          </cell>
          <cell r="C33">
            <v>1285399</v>
          </cell>
          <cell r="D33">
            <v>60</v>
          </cell>
          <cell r="E33">
            <v>240</v>
          </cell>
          <cell r="F33">
            <v>62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40</v>
          </cell>
          <cell r="L33">
            <v>0</v>
          </cell>
          <cell r="M33">
            <v>30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40</v>
          </cell>
          <cell r="T33">
            <v>0</v>
          </cell>
          <cell r="U33">
            <v>40</v>
          </cell>
          <cell r="V33">
            <v>0</v>
          </cell>
          <cell r="W33">
            <v>0</v>
          </cell>
          <cell r="X33">
            <v>0</v>
          </cell>
          <cell r="Y33">
            <v>30</v>
          </cell>
          <cell r="Z33">
            <v>0</v>
          </cell>
          <cell r="AA33">
            <v>20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20</v>
          </cell>
          <cell r="AH33">
            <v>0</v>
          </cell>
          <cell r="AI33">
            <v>20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15</v>
          </cell>
          <cell r="AQ33">
            <v>0</v>
          </cell>
          <cell r="AR33">
            <v>15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15</v>
          </cell>
          <cell r="AX33">
            <v>0</v>
          </cell>
          <cell r="AY33">
            <v>17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</row>
        <row r="34">
          <cell r="A34" t="str">
            <v>VOLVO1285468</v>
          </cell>
          <cell r="B34" t="str">
            <v>VOLVO</v>
          </cell>
          <cell r="C34">
            <v>1285468</v>
          </cell>
          <cell r="D34">
            <v>0</v>
          </cell>
          <cell r="E34">
            <v>0</v>
          </cell>
          <cell r="F34">
            <v>2330</v>
          </cell>
          <cell r="G34">
            <v>3940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290</v>
          </cell>
          <cell r="AQ34">
            <v>0</v>
          </cell>
          <cell r="AR34">
            <v>290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290</v>
          </cell>
          <cell r="AX34">
            <v>0</v>
          </cell>
          <cell r="AY34">
            <v>290</v>
          </cell>
          <cell r="AZ34">
            <v>0</v>
          </cell>
          <cell r="BA34">
            <v>0</v>
          </cell>
          <cell r="BB34">
            <v>0</v>
          </cell>
          <cell r="BC34">
            <v>290</v>
          </cell>
          <cell r="BD34">
            <v>0</v>
          </cell>
          <cell r="BE34">
            <v>0</v>
          </cell>
          <cell r="BF34">
            <v>290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290</v>
          </cell>
          <cell r="BL34">
            <v>0</v>
          </cell>
          <cell r="BM34">
            <v>300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</row>
        <row r="35">
          <cell r="A35" t="str">
            <v>VOLVO1285470</v>
          </cell>
          <cell r="B35" t="str">
            <v>VOLVO</v>
          </cell>
          <cell r="C35">
            <v>1285470</v>
          </cell>
          <cell r="D35">
            <v>0</v>
          </cell>
          <cell r="E35">
            <v>0</v>
          </cell>
          <cell r="F35">
            <v>950</v>
          </cell>
          <cell r="G35">
            <v>2150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160</v>
          </cell>
          <cell r="AX35">
            <v>0</v>
          </cell>
          <cell r="AY35">
            <v>160</v>
          </cell>
          <cell r="AZ35">
            <v>0</v>
          </cell>
          <cell r="BA35">
            <v>0</v>
          </cell>
          <cell r="BB35">
            <v>0</v>
          </cell>
          <cell r="BC35">
            <v>160</v>
          </cell>
          <cell r="BD35">
            <v>0</v>
          </cell>
          <cell r="BE35">
            <v>0</v>
          </cell>
          <cell r="BF35">
            <v>160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150</v>
          </cell>
          <cell r="BL35">
            <v>0</v>
          </cell>
          <cell r="BM35">
            <v>160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</row>
        <row r="36">
          <cell r="A36" t="str">
            <v>VOLVO1285436</v>
          </cell>
          <cell r="B36" t="str">
            <v>VOLVO</v>
          </cell>
          <cell r="C36">
            <v>1285436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</row>
        <row r="37">
          <cell r="A37" t="str">
            <v>VOLVO1285437</v>
          </cell>
          <cell r="B37" t="str">
            <v>VOLVO</v>
          </cell>
          <cell r="C37">
            <v>1285437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</row>
        <row r="38">
          <cell r="A38" t="str">
            <v>VOLVO1285438</v>
          </cell>
          <cell r="B38" t="str">
            <v>VOLVO</v>
          </cell>
          <cell r="C38">
            <v>1285438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</row>
        <row r="39">
          <cell r="A39" t="str">
            <v>VOLVO1285439</v>
          </cell>
          <cell r="B39" t="str">
            <v>VOLVO</v>
          </cell>
          <cell r="C39">
            <v>1285439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</row>
        <row r="40">
          <cell r="A40" t="str">
            <v>VOLVO1285465</v>
          </cell>
          <cell r="B40" t="str">
            <v>VOLVO</v>
          </cell>
          <cell r="C40">
            <v>1285465</v>
          </cell>
          <cell r="D40">
            <v>0</v>
          </cell>
          <cell r="E40">
            <v>0</v>
          </cell>
          <cell r="F40">
            <v>1390</v>
          </cell>
          <cell r="G40">
            <v>2210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170</v>
          </cell>
          <cell r="AQ40">
            <v>0</v>
          </cell>
          <cell r="AR40">
            <v>170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170</v>
          </cell>
          <cell r="AX40">
            <v>0</v>
          </cell>
          <cell r="AY40">
            <v>180</v>
          </cell>
          <cell r="AZ40">
            <v>0</v>
          </cell>
          <cell r="BA40">
            <v>0</v>
          </cell>
          <cell r="BB40">
            <v>0</v>
          </cell>
          <cell r="BC40">
            <v>170</v>
          </cell>
          <cell r="BD40">
            <v>0</v>
          </cell>
          <cell r="BE40">
            <v>0</v>
          </cell>
          <cell r="BF40">
            <v>180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170</v>
          </cell>
          <cell r="BL40">
            <v>0</v>
          </cell>
          <cell r="BM40">
            <v>180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</row>
        <row r="41">
          <cell r="A41" t="str">
            <v>VOLVO1285466</v>
          </cell>
          <cell r="B41" t="str">
            <v>VOLVO</v>
          </cell>
          <cell r="C41">
            <v>1285466</v>
          </cell>
          <cell r="D41">
            <v>0</v>
          </cell>
          <cell r="E41">
            <v>0</v>
          </cell>
          <cell r="F41">
            <v>730</v>
          </cell>
          <cell r="G41">
            <v>1130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90</v>
          </cell>
          <cell r="AQ41">
            <v>0</v>
          </cell>
          <cell r="AR41">
            <v>90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90</v>
          </cell>
          <cell r="AX41">
            <v>0</v>
          </cell>
          <cell r="AY41">
            <v>90</v>
          </cell>
          <cell r="AZ41">
            <v>0</v>
          </cell>
          <cell r="BA41">
            <v>0</v>
          </cell>
          <cell r="BB41">
            <v>0</v>
          </cell>
          <cell r="BC41">
            <v>90</v>
          </cell>
          <cell r="BD41">
            <v>0</v>
          </cell>
          <cell r="BE41">
            <v>0</v>
          </cell>
          <cell r="BF41">
            <v>90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90</v>
          </cell>
          <cell r="BL41">
            <v>0</v>
          </cell>
          <cell r="BM41">
            <v>100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</row>
        <row r="42">
          <cell r="A42" t="str">
            <v>VOLVO1285434</v>
          </cell>
          <cell r="B42" t="str">
            <v>VOLVO</v>
          </cell>
          <cell r="C42">
            <v>1285434</v>
          </cell>
          <cell r="D42">
            <v>0</v>
          </cell>
          <cell r="E42">
            <v>0</v>
          </cell>
          <cell r="F42">
            <v>30</v>
          </cell>
          <cell r="G42">
            <v>50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10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10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10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</row>
        <row r="43">
          <cell r="A43" t="str">
            <v>VOLVO1285435</v>
          </cell>
          <cell r="B43" t="str">
            <v>VOLVO</v>
          </cell>
          <cell r="C43">
            <v>1285435</v>
          </cell>
          <cell r="D43">
            <v>0</v>
          </cell>
          <cell r="E43">
            <v>0</v>
          </cell>
          <cell r="F43">
            <v>60</v>
          </cell>
          <cell r="G43">
            <v>90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10</v>
          </cell>
          <cell r="AX43">
            <v>0</v>
          </cell>
          <cell r="AY43">
            <v>10</v>
          </cell>
          <cell r="AZ43">
            <v>0</v>
          </cell>
          <cell r="BA43">
            <v>0</v>
          </cell>
          <cell r="BB43">
            <v>0</v>
          </cell>
          <cell r="BC43">
            <v>10</v>
          </cell>
          <cell r="BD43">
            <v>0</v>
          </cell>
          <cell r="BE43">
            <v>0</v>
          </cell>
          <cell r="BF43">
            <v>10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10</v>
          </cell>
          <cell r="BL43">
            <v>0</v>
          </cell>
          <cell r="BM43">
            <v>10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</row>
        <row r="44">
          <cell r="A44" t="str">
            <v>ＶＯＬＶＯ　ＡＷＮＣ1285436</v>
          </cell>
          <cell r="B44" t="str">
            <v>ＶＯＬＶＯ　ＡＷＮＣ</v>
          </cell>
          <cell r="C44">
            <v>1285436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</row>
        <row r="45">
          <cell r="A45" t="str">
            <v>ＶＯＬＶＯ　ＡＷＮＣ1285437</v>
          </cell>
          <cell r="B45" t="str">
            <v>ＶＯＬＶＯ　ＡＷＮＣ</v>
          </cell>
          <cell r="C45">
            <v>1285437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</row>
        <row r="46">
          <cell r="A46" t="str">
            <v>ＶＯＬＶＯ　ＡＷＮＣ1285434</v>
          </cell>
          <cell r="B46" t="str">
            <v>ＶＯＬＶＯ　ＡＷＮＣ</v>
          </cell>
          <cell r="C46">
            <v>1285434</v>
          </cell>
          <cell r="D46">
            <v>0</v>
          </cell>
          <cell r="E46">
            <v>0</v>
          </cell>
          <cell r="F46">
            <v>25</v>
          </cell>
          <cell r="G46">
            <v>15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25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</row>
        <row r="47">
          <cell r="A47" t="str">
            <v>ボルボ中国1285471</v>
          </cell>
          <cell r="B47" t="str">
            <v>ボルボ中国</v>
          </cell>
          <cell r="C47">
            <v>1285471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</row>
        <row r="48">
          <cell r="A48" t="str">
            <v>ボルボ中国（大）1285438</v>
          </cell>
          <cell r="B48" t="str">
            <v>ボルボ中国（大）</v>
          </cell>
          <cell r="C48">
            <v>1285438</v>
          </cell>
          <cell r="D48">
            <v>0</v>
          </cell>
          <cell r="E48">
            <v>0</v>
          </cell>
          <cell r="F48">
            <v>140</v>
          </cell>
          <cell r="G48">
            <v>2800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140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</row>
        <row r="49">
          <cell r="A49" t="str">
            <v>ボルボ中国1285472</v>
          </cell>
          <cell r="B49" t="str">
            <v>ボルボ中国</v>
          </cell>
          <cell r="C49">
            <v>1285472</v>
          </cell>
          <cell r="D49">
            <v>0</v>
          </cell>
          <cell r="E49">
            <v>0</v>
          </cell>
          <cell r="F49">
            <v>64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64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</row>
        <row r="50">
          <cell r="A50" t="str">
            <v>BMWﾓﾝｽ305108GA012</v>
          </cell>
          <cell r="B50" t="str">
            <v>BMWﾓﾝｽ</v>
          </cell>
          <cell r="C50" t="str">
            <v>305108GA012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</row>
        <row r="51">
          <cell r="A51" t="str">
            <v>BMWﾓﾝｽ305108GA013</v>
          </cell>
          <cell r="B51" t="str">
            <v>BMWﾓﾝｽ</v>
          </cell>
          <cell r="C51" t="str">
            <v>305108GA013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</row>
        <row r="52">
          <cell r="A52" t="str">
            <v>BMWﾓﾝｽ305108GA015</v>
          </cell>
          <cell r="B52" t="str">
            <v>BMWﾓﾝｽ</v>
          </cell>
          <cell r="C52" t="str">
            <v>305108GA015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</row>
        <row r="53">
          <cell r="A53" t="str">
            <v>BMWﾓﾝｽ305108GA016</v>
          </cell>
          <cell r="B53" t="str">
            <v>BMWﾓﾝｽ</v>
          </cell>
          <cell r="C53" t="str">
            <v>305108GA016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</row>
        <row r="54">
          <cell r="A54" t="str">
            <v>BMWﾓﾝｽ305108GA017</v>
          </cell>
          <cell r="B54" t="str">
            <v>BMWﾓﾝｽ</v>
          </cell>
          <cell r="C54" t="str">
            <v>305108GA017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</row>
        <row r="55">
          <cell r="A55" t="str">
            <v>BMWﾓﾝｽ305108GA018</v>
          </cell>
          <cell r="B55" t="str">
            <v>BMWﾓﾝｽ</v>
          </cell>
          <cell r="C55" t="str">
            <v>305108GA018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</row>
        <row r="56">
          <cell r="A56" t="str">
            <v>BMWﾓﾝｽ305108GA019</v>
          </cell>
          <cell r="B56" t="str">
            <v>BMWﾓﾝｽ</v>
          </cell>
          <cell r="C56" t="str">
            <v>305108GA019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</row>
        <row r="57">
          <cell r="A57" t="str">
            <v>BMWﾓﾝｽ305108GA020</v>
          </cell>
          <cell r="B57" t="str">
            <v>BMWﾓﾝｽ</v>
          </cell>
          <cell r="C57" t="str">
            <v>305108GA020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</row>
        <row r="58">
          <cell r="A58" t="str">
            <v>BMWﾓﾝｽ305108GA022</v>
          </cell>
          <cell r="B58" t="str">
            <v>BMWﾓﾝｽ</v>
          </cell>
          <cell r="C58" t="str">
            <v>305108GA022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</row>
        <row r="59">
          <cell r="A59" t="str">
            <v>BMWﾓﾝｽ305108GA023</v>
          </cell>
          <cell r="B59" t="str">
            <v>BMWﾓﾝｽ</v>
          </cell>
          <cell r="C59" t="str">
            <v>305108GA023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</row>
        <row r="60">
          <cell r="A60" t="str">
            <v>BMWﾓﾝｽ305108GA024</v>
          </cell>
          <cell r="B60" t="str">
            <v>BMWﾓﾝｽ</v>
          </cell>
          <cell r="C60" t="str">
            <v>305108GA024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</row>
        <row r="61">
          <cell r="A61" t="str">
            <v>BMWﾓﾝｽ305108GA025</v>
          </cell>
          <cell r="B61" t="str">
            <v>BMWﾓﾝｽ</v>
          </cell>
          <cell r="C61" t="str">
            <v>305108GA025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</row>
        <row r="62">
          <cell r="A62" t="str">
            <v>BMWﾓﾝｽ305108GA026</v>
          </cell>
          <cell r="B62" t="str">
            <v>BMWﾓﾝｽ</v>
          </cell>
          <cell r="C62" t="str">
            <v>305108GA026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</row>
        <row r="63">
          <cell r="A63" t="str">
            <v>BMWﾓﾝｽ305108GA061</v>
          </cell>
          <cell r="B63" t="str">
            <v>BMWﾓﾝｽ</v>
          </cell>
          <cell r="C63" t="str">
            <v>305108GA061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</row>
        <row r="64">
          <cell r="A64" t="str">
            <v>BMWﾓﾝｽ305108GA063</v>
          </cell>
          <cell r="B64" t="str">
            <v>BMWﾓﾝｽ</v>
          </cell>
          <cell r="C64" t="str">
            <v>305108GA063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</row>
        <row r="65">
          <cell r="A65" t="str">
            <v>BMWﾓﾝｽ305108GA064</v>
          </cell>
          <cell r="B65" t="str">
            <v>BMWﾓﾝｽ</v>
          </cell>
          <cell r="C65" t="str">
            <v>305108GA064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</row>
        <row r="66">
          <cell r="A66" t="str">
            <v>BMWﾓﾝｽ305108GA066</v>
          </cell>
          <cell r="B66" t="str">
            <v>BMWﾓﾝｽ</v>
          </cell>
          <cell r="C66" t="str">
            <v>305108GA066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</row>
        <row r="67">
          <cell r="A67" t="str">
            <v>BMWﾓﾝｽ305108GA067</v>
          </cell>
          <cell r="B67" t="str">
            <v>BMWﾓﾝｽ</v>
          </cell>
          <cell r="C67" t="str">
            <v>305108GA067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</row>
        <row r="68">
          <cell r="A68" t="str">
            <v>BMWﾓﾝｽ305108GA079</v>
          </cell>
          <cell r="B68" t="str">
            <v>BMWﾓﾝｽ</v>
          </cell>
          <cell r="C68" t="str">
            <v>305108GA079</v>
          </cell>
          <cell r="D68">
            <v>5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</row>
        <row r="69">
          <cell r="A69" t="str">
            <v>BMWﾓﾝｽ305108GA074</v>
          </cell>
          <cell r="B69" t="str">
            <v>BMWﾓﾝｽ</v>
          </cell>
          <cell r="C69" t="str">
            <v>305108GA074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</row>
        <row r="70">
          <cell r="A70" t="str">
            <v>BMWﾓﾝｽ305108GA076</v>
          </cell>
          <cell r="B70" t="str">
            <v>BMWﾓﾝｽ</v>
          </cell>
          <cell r="C70" t="str">
            <v>305108GA076</v>
          </cell>
          <cell r="D70">
            <v>37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</row>
        <row r="71">
          <cell r="A71" t="str">
            <v>BMWﾓﾝｽ305108GA090</v>
          </cell>
          <cell r="B71" t="str">
            <v>BMWﾓﾝｽ</v>
          </cell>
          <cell r="C71" t="str">
            <v>305108GA090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</row>
        <row r="72">
          <cell r="A72" t="str">
            <v>BMWﾓﾝｽ305108GA091</v>
          </cell>
          <cell r="B72" t="str">
            <v>BMWﾓﾝｽ</v>
          </cell>
          <cell r="C72" t="str">
            <v>305108GA091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</row>
        <row r="73">
          <cell r="A73" t="str">
            <v>BMWﾓﾝｽ305108GA092</v>
          </cell>
          <cell r="B73" t="str">
            <v>BMWﾓﾝｽ</v>
          </cell>
          <cell r="C73" t="str">
            <v>305108GA092</v>
          </cell>
          <cell r="D73">
            <v>5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</row>
        <row r="74">
          <cell r="A74" t="str">
            <v>BMWﾓﾝｽ305108GA093</v>
          </cell>
          <cell r="B74" t="str">
            <v>BMWﾓﾝｽ</v>
          </cell>
          <cell r="C74" t="str">
            <v>305108GA093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</row>
        <row r="75">
          <cell r="A75" t="str">
            <v>BMWﾓﾝｽ305108GA094</v>
          </cell>
          <cell r="B75" t="str">
            <v>BMWﾓﾝｽ</v>
          </cell>
          <cell r="C75" t="str">
            <v>305108GA094</v>
          </cell>
          <cell r="D75">
            <v>54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</row>
        <row r="76">
          <cell r="A76" t="str">
            <v>BMWﾓﾝｽ305108GA095</v>
          </cell>
          <cell r="B76" t="str">
            <v>BMWﾓﾝｽ</v>
          </cell>
          <cell r="C76" t="str">
            <v>305108GA095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</row>
        <row r="77">
          <cell r="A77" t="str">
            <v>BMWﾓﾝｽ305108GA096</v>
          </cell>
          <cell r="B77" t="str">
            <v>BMWﾓﾝｽ</v>
          </cell>
          <cell r="C77" t="str">
            <v>305108GA096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</row>
        <row r="78">
          <cell r="A78" t="str">
            <v>BMWﾓﾝｽ305108GA097</v>
          </cell>
          <cell r="B78" t="str">
            <v>BMWﾓﾝｽ</v>
          </cell>
          <cell r="C78" t="str">
            <v>305108GA097</v>
          </cell>
          <cell r="D78">
            <v>37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</row>
        <row r="79">
          <cell r="A79" t="str">
            <v>BMWﾓﾝｽ305108GA098</v>
          </cell>
          <cell r="B79" t="str">
            <v>BMWﾓﾝｽ</v>
          </cell>
          <cell r="C79" t="str">
            <v>305108GA098</v>
          </cell>
          <cell r="D79">
            <v>2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</row>
        <row r="80">
          <cell r="A80" t="str">
            <v>BMWﾓﾝｽ305108GA099</v>
          </cell>
          <cell r="B80" t="str">
            <v>BMWﾓﾝｽ</v>
          </cell>
          <cell r="C80" t="str">
            <v>305108GA099</v>
          </cell>
          <cell r="D80">
            <v>4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</row>
        <row r="81">
          <cell r="A81" t="str">
            <v>BMWﾓﾝｽ305108GA100</v>
          </cell>
          <cell r="B81" t="str">
            <v>BMWﾓﾝｽ</v>
          </cell>
          <cell r="C81" t="str">
            <v>305108GA100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</row>
        <row r="82">
          <cell r="A82" t="str">
            <v>BMWﾓﾝｽ305108GA101</v>
          </cell>
          <cell r="B82" t="str">
            <v>BMWﾓﾝｽ</v>
          </cell>
          <cell r="C82" t="str">
            <v>305108GA101</v>
          </cell>
          <cell r="D82">
            <v>39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</row>
        <row r="83">
          <cell r="A83" t="str">
            <v>BMWﾓﾝｽ305108GA102</v>
          </cell>
          <cell r="B83" t="str">
            <v>BMWﾓﾝｽ</v>
          </cell>
          <cell r="C83" t="str">
            <v>305108GA102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</row>
      </sheetData>
      <sheetData sheetId="7">
        <row r="1">
          <cell r="C1">
            <v>2020</v>
          </cell>
        </row>
        <row r="12">
          <cell r="B12" t="str">
            <v>BMWﾓﾝｽ</v>
          </cell>
        </row>
        <row r="13">
          <cell r="B13" t="str">
            <v>PSA</v>
          </cell>
        </row>
        <row r="14">
          <cell r="B14" t="str">
            <v>BMW中国</v>
          </cell>
        </row>
        <row r="16">
          <cell r="K16" t="str">
            <v>N+1月稼働日</v>
          </cell>
          <cell r="M16">
            <v>22</v>
          </cell>
          <cell r="Q16" t="str">
            <v>N+2月稼働日</v>
          </cell>
          <cell r="R16">
            <v>22</v>
          </cell>
          <cell r="V16" t="str">
            <v>N+3月稼働日</v>
          </cell>
          <cell r="W16">
            <v>16</v>
          </cell>
          <cell r="Y16" t="str">
            <v>n+2末曜日</v>
          </cell>
        </row>
        <row r="17">
          <cell r="K17" t="str">
            <v>N+1月台数</v>
          </cell>
          <cell r="M17">
            <v>24958</v>
          </cell>
          <cell r="Q17" t="str">
            <v>N+2月台数</v>
          </cell>
          <cell r="R17">
            <v>22630</v>
          </cell>
          <cell r="V17" t="str">
            <v>N+3月台数</v>
          </cell>
          <cell r="W17">
            <v>27000</v>
          </cell>
          <cell r="Y17" t="str">
            <v>木</v>
          </cell>
        </row>
        <row r="18">
          <cell r="B18" t="str">
            <v>↑ここより上に行を追加して下さい。</v>
          </cell>
          <cell r="K18" t="str">
            <v>N+1月日量</v>
          </cell>
          <cell r="M18">
            <v>1134.4545454545455</v>
          </cell>
          <cell r="Q18" t="str">
            <v>N+2月日量</v>
          </cell>
          <cell r="R18">
            <v>1028.6363636363637</v>
          </cell>
          <cell r="V18" t="str">
            <v>N+3月日量</v>
          </cell>
          <cell r="W18">
            <v>1687.5</v>
          </cell>
          <cell r="Y18">
            <v>4</v>
          </cell>
        </row>
        <row r="19">
          <cell r="E19">
            <v>26676</v>
          </cell>
          <cell r="F19">
            <v>24958</v>
          </cell>
          <cell r="G19">
            <v>22630</v>
          </cell>
        </row>
        <row r="20">
          <cell r="B20" t="str">
            <v>■F++品番集計</v>
          </cell>
          <cell r="I20" t="str">
            <v>3月まで</v>
          </cell>
          <cell r="M20" t="str">
            <v>N月末</v>
          </cell>
          <cell r="R20" t="str">
            <v>N+1月末</v>
          </cell>
          <cell r="V20" t="str">
            <v>N+2末</v>
          </cell>
          <cell r="W20" t="str">
            <v>N+2月末</v>
          </cell>
          <cell r="AC20" t="str">
            <v>月末滞留</v>
          </cell>
          <cell r="AG20" t="str">
            <v>実質必要在庫</v>
          </cell>
        </row>
        <row r="21">
          <cell r="A21" t="str">
            <v>KEY</v>
          </cell>
          <cell r="B21" t="str">
            <v>↓ここより下に行を追加してください。</v>
          </cell>
          <cell r="I21" t="str">
            <v>ﾗｲﾝ</v>
          </cell>
          <cell r="M21" t="str">
            <v>翌月日量</v>
          </cell>
          <cell r="N21" t="str">
            <v>基準</v>
          </cell>
          <cell r="O21" t="str">
            <v>ﾌﾚ</v>
          </cell>
          <cell r="P21" t="str">
            <v>計</v>
          </cell>
          <cell r="R21" t="str">
            <v>翌月日量</v>
          </cell>
          <cell r="S21" t="str">
            <v>基準</v>
          </cell>
          <cell r="T21" t="str">
            <v>ﾌﾚ</v>
          </cell>
          <cell r="U21" t="str">
            <v>計</v>
          </cell>
          <cell r="V21" t="str">
            <v>日数</v>
          </cell>
          <cell r="W21" t="str">
            <v>翌月日量</v>
          </cell>
          <cell r="X21" t="str">
            <v>基準</v>
          </cell>
          <cell r="Y21" t="str">
            <v>ﾌﾚ</v>
          </cell>
          <cell r="Z21" t="str">
            <v>計</v>
          </cell>
          <cell r="AA21">
            <v>43187.66338259443</v>
          </cell>
          <cell r="AB21">
            <v>36903</v>
          </cell>
          <cell r="AC21" t="str">
            <v>N末</v>
          </cell>
          <cell r="AD21" t="str">
            <v>N+1末</v>
          </cell>
          <cell r="AE21" t="str">
            <v>N+2末</v>
          </cell>
          <cell r="AF21" t="str">
            <v>#4</v>
          </cell>
          <cell r="AG21" t="str">
            <v>N末</v>
          </cell>
          <cell r="AH21" t="str">
            <v>N+1末</v>
          </cell>
          <cell r="AI21" t="str">
            <v>N+2末</v>
          </cell>
        </row>
        <row r="22">
          <cell r="A22" t="str">
            <v>VOLVO1285400</v>
          </cell>
          <cell r="B22" t="str">
            <v>VOLVO</v>
          </cell>
          <cell r="C22">
            <v>1285400</v>
          </cell>
          <cell r="D22">
            <v>265</v>
          </cell>
          <cell r="E22">
            <v>1000</v>
          </cell>
          <cell r="F22">
            <v>333</v>
          </cell>
          <cell r="G22">
            <v>0</v>
          </cell>
          <cell r="I22" t="str">
            <v>VOLVO</v>
          </cell>
          <cell r="M22">
            <v>15.136363636363637</v>
          </cell>
          <cell r="N22">
            <v>197</v>
          </cell>
          <cell r="O22">
            <v>0</v>
          </cell>
          <cell r="P22">
            <v>197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2.5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6080</v>
          </cell>
          <cell r="AC22">
            <v>0</v>
          </cell>
          <cell r="AD22">
            <v>0</v>
          </cell>
          <cell r="AE22">
            <v>0</v>
          </cell>
          <cell r="AG22">
            <v>197</v>
          </cell>
          <cell r="AH22">
            <v>0</v>
          </cell>
          <cell r="AI22">
            <v>0</v>
          </cell>
        </row>
        <row r="23">
          <cell r="A23" t="str">
            <v>VOLVO1285401</v>
          </cell>
          <cell r="B23" t="str">
            <v>VOLVO</v>
          </cell>
          <cell r="C23">
            <v>1285401</v>
          </cell>
          <cell r="D23">
            <v>140</v>
          </cell>
          <cell r="E23">
            <v>205</v>
          </cell>
          <cell r="F23">
            <v>77</v>
          </cell>
          <cell r="G23">
            <v>0</v>
          </cell>
          <cell r="I23" t="str">
            <v>VOLVO</v>
          </cell>
          <cell r="M23">
            <v>3.5</v>
          </cell>
          <cell r="N23">
            <v>46</v>
          </cell>
          <cell r="O23">
            <v>0</v>
          </cell>
          <cell r="P23">
            <v>46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2.5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C23">
            <v>0</v>
          </cell>
          <cell r="AD23">
            <v>0</v>
          </cell>
          <cell r="AE23">
            <v>0</v>
          </cell>
          <cell r="AG23">
            <v>46</v>
          </cell>
          <cell r="AH23">
            <v>0</v>
          </cell>
          <cell r="AI23">
            <v>0</v>
          </cell>
        </row>
        <row r="24">
          <cell r="A24" t="str">
            <v>VOLVO1285471</v>
          </cell>
          <cell r="B24" t="str">
            <v>VOLVO</v>
          </cell>
          <cell r="C24">
            <v>1285471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I24" t="str">
            <v>VOLVO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2.5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C24">
            <v>0</v>
          </cell>
          <cell r="AD24">
            <v>0</v>
          </cell>
          <cell r="AE24">
            <v>0</v>
          </cell>
          <cell r="AG24">
            <v>0</v>
          </cell>
          <cell r="AH24">
            <v>0</v>
          </cell>
          <cell r="AI24">
            <v>0</v>
          </cell>
        </row>
        <row r="25">
          <cell r="A25" t="str">
            <v>VOLVO1285472</v>
          </cell>
          <cell r="B25" t="str">
            <v>VOLVO</v>
          </cell>
          <cell r="C25">
            <v>1285472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I25" t="str">
            <v>VOLVO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2.5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C25">
            <v>0</v>
          </cell>
          <cell r="AD25">
            <v>0</v>
          </cell>
          <cell r="AE25">
            <v>0</v>
          </cell>
          <cell r="AG25">
            <v>0</v>
          </cell>
          <cell r="AH25">
            <v>0</v>
          </cell>
          <cell r="AI25">
            <v>0</v>
          </cell>
        </row>
        <row r="26">
          <cell r="A26" t="str">
            <v>VOLVO1285389</v>
          </cell>
          <cell r="B26" t="str">
            <v>VOLVO</v>
          </cell>
          <cell r="C26">
            <v>1285389</v>
          </cell>
          <cell r="D26">
            <v>1100</v>
          </cell>
          <cell r="E26">
            <v>3960</v>
          </cell>
          <cell r="F26">
            <v>932</v>
          </cell>
          <cell r="G26">
            <v>0</v>
          </cell>
          <cell r="I26" t="str">
            <v>VOLVO</v>
          </cell>
          <cell r="M26">
            <v>42.363636363636367</v>
          </cell>
          <cell r="N26">
            <v>551</v>
          </cell>
          <cell r="O26">
            <v>0</v>
          </cell>
          <cell r="P26">
            <v>551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2.5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C26">
            <v>0</v>
          </cell>
          <cell r="AD26">
            <v>0</v>
          </cell>
          <cell r="AE26">
            <v>0</v>
          </cell>
          <cell r="AG26">
            <v>551</v>
          </cell>
          <cell r="AH26">
            <v>0</v>
          </cell>
          <cell r="AI26">
            <v>0</v>
          </cell>
        </row>
        <row r="27">
          <cell r="A27" t="str">
            <v>VOLVO1285399</v>
          </cell>
          <cell r="B27" t="str">
            <v>VOLVO</v>
          </cell>
          <cell r="C27">
            <v>1285399</v>
          </cell>
          <cell r="D27">
            <v>60</v>
          </cell>
          <cell r="E27">
            <v>240</v>
          </cell>
          <cell r="F27">
            <v>62</v>
          </cell>
          <cell r="G27">
            <v>0</v>
          </cell>
          <cell r="I27" t="str">
            <v>VOLVO</v>
          </cell>
          <cell r="M27">
            <v>2.8181818181818183</v>
          </cell>
          <cell r="N27">
            <v>37</v>
          </cell>
          <cell r="O27">
            <v>0</v>
          </cell>
          <cell r="P27">
            <v>37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2.5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C27">
            <v>0</v>
          </cell>
          <cell r="AD27">
            <v>0</v>
          </cell>
          <cell r="AE27">
            <v>0</v>
          </cell>
          <cell r="AG27">
            <v>37</v>
          </cell>
          <cell r="AH27">
            <v>0</v>
          </cell>
          <cell r="AI27">
            <v>0</v>
          </cell>
        </row>
        <row r="28">
          <cell r="A28" t="str">
            <v>VOLVO1285468</v>
          </cell>
          <cell r="B28" t="str">
            <v>VOLVO</v>
          </cell>
          <cell r="C28">
            <v>1285468</v>
          </cell>
          <cell r="D28">
            <v>0</v>
          </cell>
          <cell r="E28">
            <v>0</v>
          </cell>
          <cell r="F28">
            <v>2330</v>
          </cell>
          <cell r="G28">
            <v>3940</v>
          </cell>
          <cell r="I28" t="str">
            <v>VOLVO</v>
          </cell>
          <cell r="M28">
            <v>105.90909090909091</v>
          </cell>
          <cell r="N28">
            <v>207</v>
          </cell>
          <cell r="O28">
            <v>0</v>
          </cell>
          <cell r="P28">
            <v>207</v>
          </cell>
          <cell r="R28">
            <v>179.09090909090909</v>
          </cell>
          <cell r="S28">
            <v>522</v>
          </cell>
          <cell r="T28">
            <v>0</v>
          </cell>
          <cell r="U28">
            <v>522</v>
          </cell>
          <cell r="V28">
            <v>2.5</v>
          </cell>
          <cell r="W28">
            <v>246</v>
          </cell>
          <cell r="X28">
            <v>615</v>
          </cell>
          <cell r="Y28">
            <v>0</v>
          </cell>
          <cell r="Z28">
            <v>615</v>
          </cell>
          <cell r="AA28">
            <v>3933.5303776683086</v>
          </cell>
          <cell r="AC28">
            <v>0</v>
          </cell>
          <cell r="AD28">
            <v>0</v>
          </cell>
          <cell r="AE28">
            <v>0</v>
          </cell>
          <cell r="AG28">
            <v>207</v>
          </cell>
          <cell r="AH28">
            <v>572</v>
          </cell>
          <cell r="AI28">
            <v>645</v>
          </cell>
        </row>
        <row r="29">
          <cell r="A29" t="str">
            <v>VOLVO1285470</v>
          </cell>
          <cell r="B29" t="str">
            <v>VOLVO</v>
          </cell>
          <cell r="C29">
            <v>1285470</v>
          </cell>
          <cell r="D29">
            <v>0</v>
          </cell>
          <cell r="E29">
            <v>0</v>
          </cell>
          <cell r="F29">
            <v>950</v>
          </cell>
          <cell r="G29">
            <v>2150</v>
          </cell>
          <cell r="I29" t="str">
            <v>VOLVO</v>
          </cell>
          <cell r="M29">
            <v>43.18181818181818</v>
          </cell>
          <cell r="N29">
            <v>43</v>
          </cell>
          <cell r="O29">
            <v>0</v>
          </cell>
          <cell r="P29">
            <v>43</v>
          </cell>
          <cell r="R29">
            <v>97.727272727272734</v>
          </cell>
          <cell r="S29">
            <v>285</v>
          </cell>
          <cell r="T29">
            <v>0</v>
          </cell>
          <cell r="U29">
            <v>285</v>
          </cell>
          <cell r="V29">
            <v>2.5</v>
          </cell>
          <cell r="W29">
            <v>134</v>
          </cell>
          <cell r="X29">
            <v>335</v>
          </cell>
          <cell r="Y29">
            <v>0</v>
          </cell>
          <cell r="Z29">
            <v>335</v>
          </cell>
          <cell r="AA29">
            <v>2146.4696223316914</v>
          </cell>
          <cell r="AC29">
            <v>0</v>
          </cell>
          <cell r="AD29">
            <v>0</v>
          </cell>
          <cell r="AE29">
            <v>0</v>
          </cell>
          <cell r="AG29">
            <v>43</v>
          </cell>
          <cell r="AH29">
            <v>285</v>
          </cell>
          <cell r="AI29">
            <v>335</v>
          </cell>
        </row>
        <row r="30">
          <cell r="A30" t="str">
            <v>VOLVO1285436</v>
          </cell>
          <cell r="B30" t="str">
            <v>VOLVO</v>
          </cell>
          <cell r="C30">
            <v>1285436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I30" t="str">
            <v>VOLVO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2.5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C30">
            <v>0</v>
          </cell>
          <cell r="AD30">
            <v>0</v>
          </cell>
          <cell r="AE30">
            <v>0</v>
          </cell>
          <cell r="AG30">
            <v>0</v>
          </cell>
          <cell r="AH30">
            <v>0</v>
          </cell>
          <cell r="AI30">
            <v>0</v>
          </cell>
        </row>
        <row r="31">
          <cell r="A31" t="str">
            <v>VOLVO1285437</v>
          </cell>
          <cell r="B31" t="str">
            <v>VOLVO</v>
          </cell>
          <cell r="C31">
            <v>1285437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I31" t="str">
            <v>VOLVO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2.5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C31">
            <v>0</v>
          </cell>
          <cell r="AD31">
            <v>0</v>
          </cell>
          <cell r="AE31">
            <v>0</v>
          </cell>
          <cell r="AG31">
            <v>0</v>
          </cell>
          <cell r="AH31">
            <v>0</v>
          </cell>
          <cell r="AI31">
            <v>0</v>
          </cell>
        </row>
        <row r="32">
          <cell r="A32" t="str">
            <v>VOLVO1285438</v>
          </cell>
          <cell r="B32" t="str">
            <v>VOLVO</v>
          </cell>
          <cell r="C32">
            <v>1285438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I32" t="str">
            <v>VOLVO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2.5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C32">
            <v>0</v>
          </cell>
          <cell r="AD32">
            <v>0</v>
          </cell>
          <cell r="AE32">
            <v>0</v>
          </cell>
          <cell r="AG32">
            <v>0</v>
          </cell>
          <cell r="AH32">
            <v>0</v>
          </cell>
          <cell r="AI32">
            <v>0</v>
          </cell>
        </row>
        <row r="33">
          <cell r="A33" t="str">
            <v>VOLVO1285439</v>
          </cell>
          <cell r="B33" t="str">
            <v>VOLVO</v>
          </cell>
          <cell r="C33">
            <v>1285439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I33" t="str">
            <v>VOLVO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2.5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C33">
            <v>0</v>
          </cell>
          <cell r="AD33">
            <v>0</v>
          </cell>
          <cell r="AE33">
            <v>0</v>
          </cell>
          <cell r="AG33">
            <v>0</v>
          </cell>
          <cell r="AH33">
            <v>0</v>
          </cell>
          <cell r="AI33">
            <v>0</v>
          </cell>
        </row>
        <row r="34">
          <cell r="A34" t="str">
            <v>VOLVO1285465</v>
          </cell>
          <cell r="B34" t="str">
            <v>VOLVO</v>
          </cell>
          <cell r="C34">
            <v>1285465</v>
          </cell>
          <cell r="D34">
            <v>0</v>
          </cell>
          <cell r="E34">
            <v>0</v>
          </cell>
          <cell r="F34">
            <v>1390</v>
          </cell>
          <cell r="G34">
            <v>2210</v>
          </cell>
          <cell r="I34" t="str">
            <v>VOLVO</v>
          </cell>
          <cell r="M34">
            <v>63.18181818181818</v>
          </cell>
          <cell r="N34">
            <v>121</v>
          </cell>
          <cell r="O34">
            <v>0</v>
          </cell>
          <cell r="P34">
            <v>121</v>
          </cell>
          <cell r="R34">
            <v>100.45454545454545</v>
          </cell>
          <cell r="S34">
            <v>289</v>
          </cell>
          <cell r="T34">
            <v>0</v>
          </cell>
          <cell r="U34">
            <v>289</v>
          </cell>
          <cell r="V34">
            <v>2.5</v>
          </cell>
          <cell r="W34">
            <v>138</v>
          </cell>
          <cell r="X34">
            <v>345</v>
          </cell>
          <cell r="Y34">
            <v>0</v>
          </cell>
          <cell r="Z34">
            <v>345</v>
          </cell>
          <cell r="AA34">
            <v>2206.3711001642037</v>
          </cell>
          <cell r="AC34">
            <v>0</v>
          </cell>
          <cell r="AD34">
            <v>0</v>
          </cell>
          <cell r="AE34">
            <v>0</v>
          </cell>
          <cell r="AG34">
            <v>121</v>
          </cell>
          <cell r="AH34">
            <v>289</v>
          </cell>
          <cell r="AI34">
            <v>345</v>
          </cell>
        </row>
        <row r="35">
          <cell r="A35" t="str">
            <v>VOLVO1285466</v>
          </cell>
          <cell r="B35" t="str">
            <v>VOLVO</v>
          </cell>
          <cell r="C35">
            <v>1285466</v>
          </cell>
          <cell r="D35">
            <v>0</v>
          </cell>
          <cell r="E35">
            <v>0</v>
          </cell>
          <cell r="F35">
            <v>730</v>
          </cell>
          <cell r="G35">
            <v>1130</v>
          </cell>
          <cell r="I35" t="str">
            <v>VOLVO</v>
          </cell>
          <cell r="M35">
            <v>33.18181818181818</v>
          </cell>
          <cell r="N35">
            <v>61</v>
          </cell>
          <cell r="O35">
            <v>0</v>
          </cell>
          <cell r="P35">
            <v>61</v>
          </cell>
          <cell r="R35">
            <v>51.363636363636367</v>
          </cell>
          <cell r="S35">
            <v>147</v>
          </cell>
          <cell r="T35">
            <v>0</v>
          </cell>
          <cell r="U35">
            <v>147</v>
          </cell>
          <cell r="V35">
            <v>2.5</v>
          </cell>
          <cell r="W35">
            <v>71</v>
          </cell>
          <cell r="X35">
            <v>178</v>
          </cell>
          <cell r="Y35">
            <v>0</v>
          </cell>
          <cell r="Z35">
            <v>178</v>
          </cell>
          <cell r="AA35">
            <v>1128.144499178982</v>
          </cell>
          <cell r="AC35">
            <v>0</v>
          </cell>
          <cell r="AD35">
            <v>0</v>
          </cell>
          <cell r="AE35">
            <v>0</v>
          </cell>
          <cell r="AG35">
            <v>61</v>
          </cell>
          <cell r="AH35">
            <v>147</v>
          </cell>
          <cell r="AI35">
            <v>178</v>
          </cell>
        </row>
        <row r="36">
          <cell r="A36" t="str">
            <v>VOLVO1285434</v>
          </cell>
          <cell r="B36" t="str">
            <v>VOLVO</v>
          </cell>
          <cell r="C36">
            <v>1285434</v>
          </cell>
          <cell r="D36">
            <v>0</v>
          </cell>
          <cell r="E36">
            <v>0</v>
          </cell>
          <cell r="F36">
            <v>30</v>
          </cell>
          <cell r="G36">
            <v>50</v>
          </cell>
          <cell r="I36" t="str">
            <v>VOLVO</v>
          </cell>
          <cell r="M36">
            <v>1.3636363636363635</v>
          </cell>
          <cell r="N36">
            <v>1</v>
          </cell>
          <cell r="O36">
            <v>0</v>
          </cell>
          <cell r="P36">
            <v>1</v>
          </cell>
          <cell r="R36">
            <v>2.2727272727272729</v>
          </cell>
          <cell r="S36">
            <v>10</v>
          </cell>
          <cell r="T36">
            <v>0</v>
          </cell>
          <cell r="U36">
            <v>10</v>
          </cell>
          <cell r="V36">
            <v>2.5</v>
          </cell>
          <cell r="W36">
            <v>3</v>
          </cell>
          <cell r="X36">
            <v>8</v>
          </cell>
          <cell r="Y36">
            <v>0</v>
          </cell>
          <cell r="Z36">
            <v>8</v>
          </cell>
          <cell r="AA36">
            <v>49.917898193760266</v>
          </cell>
          <cell r="AC36">
            <v>0</v>
          </cell>
          <cell r="AD36">
            <v>0</v>
          </cell>
          <cell r="AE36">
            <v>0</v>
          </cell>
          <cell r="AG36">
            <v>1</v>
          </cell>
          <cell r="AH36">
            <v>10</v>
          </cell>
          <cell r="AI36">
            <v>8</v>
          </cell>
        </row>
        <row r="37">
          <cell r="A37" t="str">
            <v>VOLVO1285435</v>
          </cell>
          <cell r="B37" t="str">
            <v>VOLVO</v>
          </cell>
          <cell r="C37">
            <v>1285435</v>
          </cell>
          <cell r="D37">
            <v>0</v>
          </cell>
          <cell r="E37">
            <v>0</v>
          </cell>
          <cell r="F37">
            <v>60</v>
          </cell>
          <cell r="G37">
            <v>90</v>
          </cell>
          <cell r="I37" t="str">
            <v>VOLVO</v>
          </cell>
          <cell r="M37">
            <v>2.7272727272727271</v>
          </cell>
          <cell r="N37">
            <v>3</v>
          </cell>
          <cell r="O37">
            <v>0</v>
          </cell>
          <cell r="P37">
            <v>3</v>
          </cell>
          <cell r="R37">
            <v>4.0909090909090908</v>
          </cell>
          <cell r="S37">
            <v>12</v>
          </cell>
          <cell r="T37">
            <v>0</v>
          </cell>
          <cell r="U37">
            <v>12</v>
          </cell>
          <cell r="V37">
            <v>2.5</v>
          </cell>
          <cell r="W37">
            <v>6</v>
          </cell>
          <cell r="X37">
            <v>15</v>
          </cell>
          <cell r="Y37">
            <v>0</v>
          </cell>
          <cell r="Z37">
            <v>15</v>
          </cell>
          <cell r="AA37">
            <v>89.85221674876847</v>
          </cell>
          <cell r="AC37">
            <v>0</v>
          </cell>
          <cell r="AD37">
            <v>0</v>
          </cell>
          <cell r="AE37">
            <v>0</v>
          </cell>
          <cell r="AG37">
            <v>3</v>
          </cell>
          <cell r="AH37">
            <v>12</v>
          </cell>
          <cell r="AI37">
            <v>15</v>
          </cell>
        </row>
        <row r="38">
          <cell r="A38" t="str">
            <v>ＶＯＬＶＯ　ＡＷＮＣ1285436</v>
          </cell>
          <cell r="B38" t="str">
            <v>ＶＯＬＶＯ　ＡＷＮＣ</v>
          </cell>
          <cell r="C38">
            <v>1285436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I38" t="str">
            <v>VOLVO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3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C38">
            <v>0</v>
          </cell>
          <cell r="AD38">
            <v>0</v>
          </cell>
          <cell r="AE38">
            <v>0</v>
          </cell>
          <cell r="AG38">
            <v>0</v>
          </cell>
          <cell r="AH38">
            <v>0</v>
          </cell>
          <cell r="AI38">
            <v>0</v>
          </cell>
        </row>
        <row r="39">
          <cell r="A39" t="str">
            <v>ＶＯＬＶＯ　ＡＷＮＣ1285437</v>
          </cell>
          <cell r="B39" t="str">
            <v>ＶＯＬＶＯ　ＡＷＮＣ</v>
          </cell>
          <cell r="C39">
            <v>1285437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I39" t="str">
            <v>VOLVO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3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C39">
            <v>0</v>
          </cell>
          <cell r="AD39">
            <v>0</v>
          </cell>
          <cell r="AE39">
            <v>0</v>
          </cell>
          <cell r="AG39">
            <v>0</v>
          </cell>
          <cell r="AH39">
            <v>0</v>
          </cell>
          <cell r="AI39">
            <v>0</v>
          </cell>
        </row>
        <row r="40">
          <cell r="A40" t="str">
            <v>ＶＯＬＶＯ　ＡＷＮＣ1285434</v>
          </cell>
          <cell r="B40" t="str">
            <v>ＶＯＬＶＯ　ＡＷＮＣ</v>
          </cell>
          <cell r="C40">
            <v>1285434</v>
          </cell>
          <cell r="D40">
            <v>0</v>
          </cell>
          <cell r="E40">
            <v>0</v>
          </cell>
          <cell r="F40">
            <v>25</v>
          </cell>
          <cell r="G40">
            <v>15</v>
          </cell>
          <cell r="I40" t="str">
            <v>VOLVO</v>
          </cell>
          <cell r="M40">
            <v>1.1363636363636365</v>
          </cell>
          <cell r="N40">
            <v>1</v>
          </cell>
          <cell r="O40">
            <v>0</v>
          </cell>
          <cell r="P40">
            <v>1</v>
          </cell>
          <cell r="R40">
            <v>0.68181818181818177</v>
          </cell>
          <cell r="S40">
            <v>0</v>
          </cell>
          <cell r="T40">
            <v>0</v>
          </cell>
          <cell r="U40">
            <v>0</v>
          </cell>
          <cell r="V40">
            <v>3</v>
          </cell>
          <cell r="W40">
            <v>1</v>
          </cell>
          <cell r="X40">
            <v>3</v>
          </cell>
          <cell r="Y40">
            <v>0</v>
          </cell>
          <cell r="Z40">
            <v>3</v>
          </cell>
          <cell r="AA40">
            <v>14.975369458128078</v>
          </cell>
          <cell r="AC40">
            <v>0</v>
          </cell>
          <cell r="AD40">
            <v>0</v>
          </cell>
          <cell r="AE40">
            <v>0</v>
          </cell>
          <cell r="AG40">
            <v>1</v>
          </cell>
          <cell r="AH40">
            <v>0</v>
          </cell>
          <cell r="AI40">
            <v>3</v>
          </cell>
        </row>
        <row r="41">
          <cell r="A41" t="str">
            <v>ボルボ中国1285471</v>
          </cell>
          <cell r="B41" t="str">
            <v>ボルボ中国</v>
          </cell>
          <cell r="C41">
            <v>1285471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I41" t="str">
            <v>VOLVO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3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C41">
            <v>0</v>
          </cell>
          <cell r="AD41">
            <v>0</v>
          </cell>
          <cell r="AE41">
            <v>0</v>
          </cell>
          <cell r="AG41">
            <v>0</v>
          </cell>
          <cell r="AH41">
            <v>0</v>
          </cell>
          <cell r="AI41">
            <v>0</v>
          </cell>
        </row>
        <row r="42">
          <cell r="A42" t="str">
            <v>ボルボ中国（大）1285438</v>
          </cell>
          <cell r="B42" t="str">
            <v>ボルボ中国（大）</v>
          </cell>
          <cell r="C42">
            <v>1285438</v>
          </cell>
          <cell r="D42">
            <v>0</v>
          </cell>
          <cell r="E42">
            <v>0</v>
          </cell>
          <cell r="F42">
            <v>140</v>
          </cell>
          <cell r="G42">
            <v>2800</v>
          </cell>
          <cell r="I42" t="str">
            <v>VOLVO</v>
          </cell>
          <cell r="M42">
            <v>6.3636363636363633</v>
          </cell>
          <cell r="N42">
            <v>6</v>
          </cell>
          <cell r="O42">
            <v>0</v>
          </cell>
          <cell r="P42">
            <v>6</v>
          </cell>
          <cell r="R42">
            <v>127.27272727272727</v>
          </cell>
          <cell r="S42">
            <v>0</v>
          </cell>
          <cell r="T42">
            <v>0</v>
          </cell>
          <cell r="U42">
            <v>0</v>
          </cell>
          <cell r="V42">
            <v>3</v>
          </cell>
          <cell r="W42">
            <v>175</v>
          </cell>
          <cell r="X42">
            <v>525</v>
          </cell>
          <cell r="Y42">
            <v>0</v>
          </cell>
          <cell r="Z42">
            <v>525</v>
          </cell>
          <cell r="AA42">
            <v>2795.4022988505749</v>
          </cell>
          <cell r="AC42">
            <v>0</v>
          </cell>
          <cell r="AD42">
            <v>0</v>
          </cell>
          <cell r="AE42">
            <v>0</v>
          </cell>
          <cell r="AG42">
            <v>6</v>
          </cell>
          <cell r="AH42">
            <v>0</v>
          </cell>
          <cell r="AI42">
            <v>525</v>
          </cell>
        </row>
        <row r="43">
          <cell r="A43" t="str">
            <v>ボルボ中国1285472</v>
          </cell>
          <cell r="B43" t="str">
            <v>ボルボ中国</v>
          </cell>
          <cell r="C43">
            <v>1285472</v>
          </cell>
          <cell r="D43">
            <v>0</v>
          </cell>
          <cell r="E43">
            <v>0</v>
          </cell>
          <cell r="F43">
            <v>64</v>
          </cell>
          <cell r="G43">
            <v>0</v>
          </cell>
          <cell r="I43" t="str">
            <v>VOLVO</v>
          </cell>
          <cell r="M43">
            <v>2.9090909090909092</v>
          </cell>
          <cell r="N43">
            <v>3</v>
          </cell>
          <cell r="O43">
            <v>0</v>
          </cell>
          <cell r="P43">
            <v>3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C43">
            <v>0</v>
          </cell>
          <cell r="AD43">
            <v>0</v>
          </cell>
          <cell r="AE43">
            <v>0</v>
          </cell>
          <cell r="AG43">
            <v>3</v>
          </cell>
          <cell r="AH43">
            <v>0</v>
          </cell>
          <cell r="AI43">
            <v>0</v>
          </cell>
        </row>
        <row r="44">
          <cell r="A44" t="str">
            <v>BMWﾓﾝｽ305108GA012</v>
          </cell>
          <cell r="B44" t="str">
            <v>BMWﾓﾝｽ</v>
          </cell>
          <cell r="C44" t="str">
            <v>305108GA012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I44" t="str">
            <v>BMWﾓﾝｽ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2.5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C44">
            <v>0</v>
          </cell>
          <cell r="AD44">
            <v>0</v>
          </cell>
          <cell r="AE44">
            <v>0</v>
          </cell>
          <cell r="AG44">
            <v>0</v>
          </cell>
          <cell r="AH44">
            <v>0</v>
          </cell>
          <cell r="AI44">
            <v>0</v>
          </cell>
        </row>
        <row r="45">
          <cell r="A45" t="str">
            <v>BMWﾓﾝｽ305108GA013</v>
          </cell>
          <cell r="B45" t="str">
            <v>BMWﾓﾝｽ</v>
          </cell>
          <cell r="C45" t="str">
            <v>305108GA013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I45" t="str">
            <v>BMWﾓﾝｽ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2.5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C45">
            <v>0</v>
          </cell>
          <cell r="AD45">
            <v>0</v>
          </cell>
          <cell r="AE45">
            <v>0</v>
          </cell>
          <cell r="AG45">
            <v>0</v>
          </cell>
          <cell r="AH45">
            <v>0</v>
          </cell>
          <cell r="AI45">
            <v>0</v>
          </cell>
        </row>
        <row r="46">
          <cell r="A46" t="str">
            <v>BMWﾓﾝｽ305108GA015</v>
          </cell>
          <cell r="B46" t="str">
            <v>BMWﾓﾝｽ</v>
          </cell>
          <cell r="C46" t="str">
            <v>305108GA015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I46" t="str">
            <v>BMWﾓﾝｽ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2.5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C46">
            <v>0</v>
          </cell>
          <cell r="AD46">
            <v>0</v>
          </cell>
          <cell r="AE46">
            <v>0</v>
          </cell>
          <cell r="AG46">
            <v>0</v>
          </cell>
          <cell r="AH46">
            <v>0</v>
          </cell>
          <cell r="AI46">
            <v>0</v>
          </cell>
        </row>
        <row r="47">
          <cell r="A47" t="str">
            <v>BMWﾓﾝｽ305108GA016</v>
          </cell>
          <cell r="B47" t="str">
            <v>BMWﾓﾝｽ</v>
          </cell>
          <cell r="C47" t="str">
            <v>305108GA016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I47" t="str">
            <v>BMWﾓﾝｽ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2.5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C47">
            <v>0</v>
          </cell>
          <cell r="AD47">
            <v>0</v>
          </cell>
          <cell r="AE47">
            <v>0</v>
          </cell>
          <cell r="AG47">
            <v>0</v>
          </cell>
          <cell r="AH47">
            <v>0</v>
          </cell>
          <cell r="AI47">
            <v>0</v>
          </cell>
        </row>
        <row r="48">
          <cell r="A48" t="str">
            <v>BMWﾓﾝｽ305108GA017</v>
          </cell>
          <cell r="B48" t="str">
            <v>BMWﾓﾝｽ</v>
          </cell>
          <cell r="C48" t="str">
            <v>305108GA017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I48" t="str">
            <v>BMWﾓﾝｽ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2.5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C48">
            <v>0</v>
          </cell>
          <cell r="AD48">
            <v>0</v>
          </cell>
          <cell r="AE48">
            <v>0</v>
          </cell>
          <cell r="AG48">
            <v>0</v>
          </cell>
          <cell r="AH48">
            <v>0</v>
          </cell>
          <cell r="AI48">
            <v>0</v>
          </cell>
        </row>
        <row r="49">
          <cell r="A49" t="str">
            <v>BMWﾓﾝｽ305108GA018</v>
          </cell>
          <cell r="B49" t="str">
            <v>BMWﾓﾝｽ</v>
          </cell>
          <cell r="C49" t="str">
            <v>305108GA018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I49" t="str">
            <v>BMWﾓﾝｽ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2.5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C49">
            <v>0</v>
          </cell>
          <cell r="AD49">
            <v>0</v>
          </cell>
          <cell r="AE49">
            <v>0</v>
          </cell>
          <cell r="AG49">
            <v>0</v>
          </cell>
          <cell r="AH49">
            <v>0</v>
          </cell>
          <cell r="AI49">
            <v>0</v>
          </cell>
        </row>
        <row r="50">
          <cell r="A50" t="str">
            <v>BMWﾓﾝｽ305108GA019</v>
          </cell>
          <cell r="B50" t="str">
            <v>BMWﾓﾝｽ</v>
          </cell>
          <cell r="C50" t="str">
            <v>305108GA019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I50" t="str">
            <v>BMWﾓﾝｽ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2.5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C50">
            <v>0</v>
          </cell>
          <cell r="AD50">
            <v>0</v>
          </cell>
          <cell r="AE50">
            <v>0</v>
          </cell>
          <cell r="AG50">
            <v>0</v>
          </cell>
          <cell r="AH50">
            <v>0</v>
          </cell>
          <cell r="AI50">
            <v>0</v>
          </cell>
        </row>
        <row r="51">
          <cell r="A51" t="str">
            <v>BMWﾓﾝｽ305108GA020</v>
          </cell>
          <cell r="B51" t="str">
            <v>BMWﾓﾝｽ</v>
          </cell>
          <cell r="C51" t="str">
            <v>305108GA020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I51" t="str">
            <v>BMWﾓﾝｽ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2.5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C51">
            <v>0</v>
          </cell>
          <cell r="AD51">
            <v>0</v>
          </cell>
          <cell r="AE51">
            <v>0</v>
          </cell>
          <cell r="AG51">
            <v>0</v>
          </cell>
          <cell r="AH51">
            <v>0</v>
          </cell>
          <cell r="AI51">
            <v>0</v>
          </cell>
        </row>
        <row r="52">
          <cell r="A52" t="str">
            <v>BMWﾓﾝｽ305108GA022</v>
          </cell>
          <cell r="B52" t="str">
            <v>BMWﾓﾝｽ</v>
          </cell>
          <cell r="C52" t="str">
            <v>305108GA022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I52" t="str">
            <v>BMWﾓﾝｽ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2.5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C52">
            <v>0</v>
          </cell>
          <cell r="AD52">
            <v>0</v>
          </cell>
          <cell r="AE52">
            <v>0</v>
          </cell>
          <cell r="AG52">
            <v>0</v>
          </cell>
          <cell r="AH52">
            <v>0</v>
          </cell>
          <cell r="AI52">
            <v>0</v>
          </cell>
        </row>
        <row r="53">
          <cell r="A53" t="str">
            <v>BMWﾓﾝｽ305108GA023</v>
          </cell>
          <cell r="B53" t="str">
            <v>BMWﾓﾝｽ</v>
          </cell>
          <cell r="C53" t="str">
            <v>305108GA023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I53" t="str">
            <v>BMWﾓﾝｽ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2.5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C53">
            <v>0</v>
          </cell>
          <cell r="AD53">
            <v>0</v>
          </cell>
          <cell r="AE53">
            <v>0</v>
          </cell>
          <cell r="AG53">
            <v>0</v>
          </cell>
          <cell r="AH53">
            <v>0</v>
          </cell>
          <cell r="AI53">
            <v>0</v>
          </cell>
        </row>
        <row r="54">
          <cell r="A54" t="str">
            <v>BMWﾓﾝｽ305108GA024</v>
          </cell>
          <cell r="B54" t="str">
            <v>BMWﾓﾝｽ</v>
          </cell>
          <cell r="C54" t="str">
            <v>305108GA024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I54" t="str">
            <v>BMWﾓﾝｽ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2.5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C54">
            <v>0</v>
          </cell>
          <cell r="AD54">
            <v>0</v>
          </cell>
          <cell r="AE54">
            <v>0</v>
          </cell>
          <cell r="AG54">
            <v>0</v>
          </cell>
          <cell r="AH54">
            <v>0</v>
          </cell>
          <cell r="AI54">
            <v>0</v>
          </cell>
        </row>
        <row r="55">
          <cell r="A55" t="str">
            <v>BMWﾓﾝｽ305108GA025</v>
          </cell>
          <cell r="B55" t="str">
            <v>BMWﾓﾝｽ</v>
          </cell>
          <cell r="C55" t="str">
            <v>305108GA025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I55" t="str">
            <v>BMWﾓﾝｽ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2.5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C55">
            <v>0</v>
          </cell>
          <cell r="AD55">
            <v>0</v>
          </cell>
          <cell r="AE55">
            <v>0</v>
          </cell>
          <cell r="AG55">
            <v>0</v>
          </cell>
          <cell r="AH55">
            <v>0</v>
          </cell>
          <cell r="AI55">
            <v>0</v>
          </cell>
        </row>
        <row r="56">
          <cell r="A56" t="str">
            <v>BMWﾓﾝｽ305108GA026</v>
          </cell>
          <cell r="B56" t="str">
            <v>BMWﾓﾝｽ</v>
          </cell>
          <cell r="C56" t="str">
            <v>305108GA026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I56" t="str">
            <v>BMWﾓﾝｽ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2.5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C56">
            <v>0</v>
          </cell>
          <cell r="AD56">
            <v>0</v>
          </cell>
          <cell r="AE56">
            <v>0</v>
          </cell>
          <cell r="AG56">
            <v>0</v>
          </cell>
          <cell r="AH56">
            <v>0</v>
          </cell>
          <cell r="AI56">
            <v>0</v>
          </cell>
        </row>
        <row r="57">
          <cell r="A57" t="str">
            <v>BMWﾓﾝｽ305108GA061</v>
          </cell>
          <cell r="B57" t="str">
            <v>BMWﾓﾝｽ</v>
          </cell>
          <cell r="C57" t="str">
            <v>305108GA061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I57" t="str">
            <v>BMWﾓﾝｽ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2.5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C57">
            <v>0</v>
          </cell>
          <cell r="AD57">
            <v>0</v>
          </cell>
          <cell r="AE57">
            <v>0</v>
          </cell>
          <cell r="AG57">
            <v>0</v>
          </cell>
          <cell r="AH57">
            <v>0</v>
          </cell>
          <cell r="AI57">
            <v>0</v>
          </cell>
        </row>
        <row r="58">
          <cell r="A58" t="str">
            <v>BMWﾓﾝｽ305108GA063</v>
          </cell>
          <cell r="B58" t="str">
            <v>BMWﾓﾝｽ</v>
          </cell>
          <cell r="C58" t="str">
            <v>305108GA063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I58" t="str">
            <v>BMWﾓﾝｽ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2.5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C58">
            <v>0</v>
          </cell>
          <cell r="AD58">
            <v>0</v>
          </cell>
          <cell r="AE58">
            <v>0</v>
          </cell>
          <cell r="AG58">
            <v>0</v>
          </cell>
          <cell r="AH58">
            <v>0</v>
          </cell>
          <cell r="AI58">
            <v>0</v>
          </cell>
        </row>
        <row r="59">
          <cell r="A59" t="str">
            <v>BMWﾓﾝｽ305108GA064</v>
          </cell>
          <cell r="B59" t="str">
            <v>BMWﾓﾝｽ</v>
          </cell>
          <cell r="C59" t="str">
            <v>305108GA064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I59" t="str">
            <v>BMWﾓﾝｽ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2.5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C59">
            <v>0</v>
          </cell>
          <cell r="AD59">
            <v>0</v>
          </cell>
          <cell r="AE59">
            <v>0</v>
          </cell>
          <cell r="AG59">
            <v>0</v>
          </cell>
          <cell r="AH59">
            <v>0</v>
          </cell>
          <cell r="AI59">
            <v>0</v>
          </cell>
        </row>
        <row r="60">
          <cell r="A60" t="str">
            <v>BMWﾓﾝｽ305108GA066</v>
          </cell>
          <cell r="B60" t="str">
            <v>BMWﾓﾝｽ</v>
          </cell>
          <cell r="C60" t="str">
            <v>305108GA066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I60" t="str">
            <v>BMWﾓﾝｽ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2.5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C60">
            <v>0</v>
          </cell>
          <cell r="AD60">
            <v>0</v>
          </cell>
          <cell r="AE60">
            <v>0</v>
          </cell>
          <cell r="AG60">
            <v>0</v>
          </cell>
          <cell r="AH60">
            <v>0</v>
          </cell>
          <cell r="AI60">
            <v>0</v>
          </cell>
        </row>
        <row r="61">
          <cell r="A61" t="str">
            <v>BMWﾓﾝｽ305108GA067</v>
          </cell>
          <cell r="B61" t="str">
            <v>BMWﾓﾝｽ</v>
          </cell>
          <cell r="C61" t="str">
            <v>305108GA067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I61" t="str">
            <v>BMWﾓﾝｽ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2.5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C61">
            <v>0</v>
          </cell>
          <cell r="AD61">
            <v>0</v>
          </cell>
          <cell r="AE61">
            <v>0</v>
          </cell>
          <cell r="AG61">
            <v>0</v>
          </cell>
          <cell r="AH61">
            <v>0</v>
          </cell>
          <cell r="AI61">
            <v>0</v>
          </cell>
        </row>
        <row r="62">
          <cell r="A62" t="str">
            <v>BMWﾓﾝｽ305108GA079</v>
          </cell>
          <cell r="B62" t="str">
            <v>BMWﾓﾝｽ</v>
          </cell>
          <cell r="C62" t="str">
            <v>305108GA079</v>
          </cell>
          <cell r="D62">
            <v>5</v>
          </cell>
          <cell r="E62">
            <v>0</v>
          </cell>
          <cell r="F62">
            <v>0</v>
          </cell>
          <cell r="G62">
            <v>0</v>
          </cell>
          <cell r="I62" t="str">
            <v>BMWﾓﾝｽ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2.5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9589</v>
          </cell>
          <cell r="AC62">
            <v>5</v>
          </cell>
          <cell r="AD62">
            <v>5</v>
          </cell>
          <cell r="AE62">
            <v>5</v>
          </cell>
          <cell r="AG62">
            <v>5</v>
          </cell>
          <cell r="AH62">
            <v>5</v>
          </cell>
          <cell r="AI62">
            <v>5</v>
          </cell>
        </row>
        <row r="63">
          <cell r="A63" t="str">
            <v>BMWﾓﾝｽ305108GA074</v>
          </cell>
          <cell r="B63" t="str">
            <v>BMWﾓﾝｽ</v>
          </cell>
          <cell r="C63" t="str">
            <v>305108GA074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I63" t="str">
            <v>BMWﾓﾝｽ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2.5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C63">
            <v>0</v>
          </cell>
          <cell r="AD63">
            <v>0</v>
          </cell>
          <cell r="AE63">
            <v>0</v>
          </cell>
          <cell r="AG63">
            <v>0</v>
          </cell>
          <cell r="AH63">
            <v>0</v>
          </cell>
          <cell r="AI63">
            <v>0</v>
          </cell>
        </row>
        <row r="64">
          <cell r="A64" t="str">
            <v>BMWﾓﾝｽ305108GA076</v>
          </cell>
          <cell r="B64" t="str">
            <v>BMWﾓﾝｽ</v>
          </cell>
          <cell r="C64" t="str">
            <v>305108GA076</v>
          </cell>
          <cell r="D64">
            <v>37</v>
          </cell>
          <cell r="E64">
            <v>0</v>
          </cell>
          <cell r="F64">
            <v>0</v>
          </cell>
          <cell r="G64">
            <v>0</v>
          </cell>
          <cell r="I64" t="str">
            <v>BMWﾓﾝｽ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2.5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C64">
            <v>37</v>
          </cell>
          <cell r="AD64">
            <v>37</v>
          </cell>
          <cell r="AE64">
            <v>37</v>
          </cell>
          <cell r="AG64">
            <v>37</v>
          </cell>
          <cell r="AH64">
            <v>37</v>
          </cell>
          <cell r="AI64">
            <v>37</v>
          </cell>
        </row>
        <row r="65">
          <cell r="A65" t="str">
            <v>BMWﾓﾝｽ305108GA090</v>
          </cell>
          <cell r="B65" t="str">
            <v>BMWﾓﾝｽ</v>
          </cell>
          <cell r="C65" t="str">
            <v>305108GA090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I65" t="str">
            <v>BMWﾓﾝｽ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2.5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C65">
            <v>0</v>
          </cell>
          <cell r="AD65">
            <v>0</v>
          </cell>
          <cell r="AE65">
            <v>0</v>
          </cell>
          <cell r="AG65">
            <v>0</v>
          </cell>
          <cell r="AH65">
            <v>0</v>
          </cell>
          <cell r="AI65">
            <v>0</v>
          </cell>
        </row>
        <row r="66">
          <cell r="A66" t="str">
            <v>BMWﾓﾝｽ305108GA091</v>
          </cell>
          <cell r="B66" t="str">
            <v>BMWﾓﾝｽ</v>
          </cell>
          <cell r="C66" t="str">
            <v>305108GA091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I66" t="str">
            <v>BMWﾓﾝｽ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2.5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C66">
            <v>0</v>
          </cell>
          <cell r="AD66">
            <v>0</v>
          </cell>
          <cell r="AE66">
            <v>0</v>
          </cell>
          <cell r="AG66">
            <v>0</v>
          </cell>
          <cell r="AH66">
            <v>0</v>
          </cell>
          <cell r="AI66">
            <v>0</v>
          </cell>
        </row>
        <row r="67">
          <cell r="A67" t="str">
            <v>BMWﾓﾝｽ305108GA092</v>
          </cell>
          <cell r="B67" t="str">
            <v>BMWﾓﾝｽ</v>
          </cell>
          <cell r="C67" t="str">
            <v>305108GA092</v>
          </cell>
          <cell r="D67">
            <v>5</v>
          </cell>
          <cell r="E67">
            <v>0</v>
          </cell>
          <cell r="F67">
            <v>0</v>
          </cell>
          <cell r="G67">
            <v>0</v>
          </cell>
          <cell r="I67" t="str">
            <v>BMWﾓﾝｽ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2.5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C67">
            <v>5</v>
          </cell>
          <cell r="AD67">
            <v>5</v>
          </cell>
          <cell r="AE67">
            <v>5</v>
          </cell>
          <cell r="AG67">
            <v>5</v>
          </cell>
          <cell r="AH67">
            <v>5</v>
          </cell>
          <cell r="AI67">
            <v>5</v>
          </cell>
        </row>
        <row r="68">
          <cell r="A68" t="str">
            <v>BMWﾓﾝｽ305108GA093</v>
          </cell>
          <cell r="B68" t="str">
            <v>BMWﾓﾝｽ</v>
          </cell>
          <cell r="C68" t="str">
            <v>305108GA093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I68" t="str">
            <v>BMWﾓﾝｽ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2.5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C68">
            <v>0</v>
          </cell>
          <cell r="AD68">
            <v>0</v>
          </cell>
          <cell r="AE68">
            <v>0</v>
          </cell>
          <cell r="AG68">
            <v>0</v>
          </cell>
          <cell r="AH68">
            <v>0</v>
          </cell>
          <cell r="AI68">
            <v>0</v>
          </cell>
        </row>
        <row r="69">
          <cell r="A69" t="str">
            <v>BMWﾓﾝｽ305108GA094</v>
          </cell>
          <cell r="B69" t="str">
            <v>BMWﾓﾝｽ</v>
          </cell>
          <cell r="C69" t="str">
            <v>305108GA094</v>
          </cell>
          <cell r="D69">
            <v>54</v>
          </cell>
          <cell r="E69">
            <v>0</v>
          </cell>
          <cell r="F69">
            <v>0</v>
          </cell>
          <cell r="G69">
            <v>0</v>
          </cell>
          <cell r="I69" t="str">
            <v>BMWﾓﾝｽ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2.5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C69">
            <v>54</v>
          </cell>
          <cell r="AD69">
            <v>54</v>
          </cell>
          <cell r="AE69">
            <v>54</v>
          </cell>
          <cell r="AG69">
            <v>54</v>
          </cell>
          <cell r="AH69">
            <v>54</v>
          </cell>
          <cell r="AI69">
            <v>54</v>
          </cell>
        </row>
        <row r="70">
          <cell r="A70" t="str">
            <v>BMWﾓﾝｽ305108GA095</v>
          </cell>
          <cell r="B70" t="str">
            <v>BMWﾓﾝｽ</v>
          </cell>
          <cell r="C70" t="str">
            <v>305108GA095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I70" t="str">
            <v>BMWﾓﾝｽ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2.5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C70">
            <v>0</v>
          </cell>
          <cell r="AD70">
            <v>0</v>
          </cell>
          <cell r="AE70">
            <v>0</v>
          </cell>
          <cell r="AG70">
            <v>0</v>
          </cell>
          <cell r="AH70">
            <v>0</v>
          </cell>
          <cell r="AI70">
            <v>0</v>
          </cell>
        </row>
        <row r="71">
          <cell r="A71" t="str">
            <v>BMWﾓﾝｽ305108GA096</v>
          </cell>
          <cell r="B71" t="str">
            <v>BMWﾓﾝｽ</v>
          </cell>
          <cell r="C71" t="str">
            <v>305108GA096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I71" t="str">
            <v>BMWﾓﾝｽ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2.5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C71">
            <v>0</v>
          </cell>
          <cell r="AD71">
            <v>0</v>
          </cell>
          <cell r="AE71">
            <v>0</v>
          </cell>
          <cell r="AG71">
            <v>0</v>
          </cell>
          <cell r="AH71">
            <v>0</v>
          </cell>
          <cell r="AI71">
            <v>0</v>
          </cell>
        </row>
        <row r="72">
          <cell r="A72" t="str">
            <v>BMWﾓﾝｽ305108GA097</v>
          </cell>
          <cell r="B72" t="str">
            <v>BMWﾓﾝｽ</v>
          </cell>
          <cell r="C72" t="str">
            <v>305108GA097</v>
          </cell>
          <cell r="D72">
            <v>37</v>
          </cell>
          <cell r="E72">
            <v>0</v>
          </cell>
          <cell r="F72">
            <v>0</v>
          </cell>
          <cell r="G72">
            <v>0</v>
          </cell>
          <cell r="I72" t="str">
            <v>BMWﾓﾝｽ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2.5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C72">
            <v>37</v>
          </cell>
          <cell r="AD72">
            <v>37</v>
          </cell>
          <cell r="AE72">
            <v>37</v>
          </cell>
          <cell r="AG72">
            <v>37</v>
          </cell>
          <cell r="AH72">
            <v>37</v>
          </cell>
          <cell r="AI72">
            <v>37</v>
          </cell>
        </row>
        <row r="73">
          <cell r="A73" t="str">
            <v>BMWﾓﾝｽ305108GA098</v>
          </cell>
          <cell r="B73" t="str">
            <v>BMWﾓﾝｽ</v>
          </cell>
          <cell r="C73" t="str">
            <v>305108GA098</v>
          </cell>
          <cell r="D73">
            <v>2</v>
          </cell>
          <cell r="E73">
            <v>0</v>
          </cell>
          <cell r="F73">
            <v>0</v>
          </cell>
          <cell r="G73">
            <v>0</v>
          </cell>
          <cell r="I73" t="str">
            <v>BMWﾓﾝｽ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2.5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C73">
            <v>2</v>
          </cell>
          <cell r="AD73">
            <v>2</v>
          </cell>
          <cell r="AE73">
            <v>2</v>
          </cell>
          <cell r="AG73">
            <v>2</v>
          </cell>
          <cell r="AH73">
            <v>2</v>
          </cell>
          <cell r="AI73">
            <v>2</v>
          </cell>
        </row>
        <row r="74">
          <cell r="A74" t="str">
            <v>BMWﾓﾝｽ305108GA099</v>
          </cell>
          <cell r="B74" t="str">
            <v>BMWﾓﾝｽ</v>
          </cell>
          <cell r="C74" t="str">
            <v>305108GA099</v>
          </cell>
          <cell r="D74">
            <v>4</v>
          </cell>
          <cell r="E74">
            <v>0</v>
          </cell>
          <cell r="F74">
            <v>0</v>
          </cell>
          <cell r="G74">
            <v>0</v>
          </cell>
          <cell r="I74" t="str">
            <v>BMWﾓﾝｽ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2.5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C74">
            <v>4</v>
          </cell>
          <cell r="AD74">
            <v>4</v>
          </cell>
          <cell r="AE74">
            <v>4</v>
          </cell>
          <cell r="AG74">
            <v>4</v>
          </cell>
          <cell r="AH74">
            <v>4</v>
          </cell>
          <cell r="AI74">
            <v>4</v>
          </cell>
        </row>
        <row r="75">
          <cell r="A75" t="str">
            <v>BMWﾓﾝｽ305108GA100</v>
          </cell>
          <cell r="B75" t="str">
            <v>BMWﾓﾝｽ</v>
          </cell>
          <cell r="C75" t="str">
            <v>305108GA100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I75" t="str">
            <v>BMWﾓﾝｽ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2.5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C75">
            <v>0</v>
          </cell>
          <cell r="AD75">
            <v>0</v>
          </cell>
          <cell r="AE75">
            <v>0</v>
          </cell>
          <cell r="AG75">
            <v>0</v>
          </cell>
          <cell r="AH75">
            <v>0</v>
          </cell>
          <cell r="AI75">
            <v>0</v>
          </cell>
        </row>
        <row r="76">
          <cell r="A76" t="str">
            <v>BMWﾓﾝｽ305108GA101</v>
          </cell>
          <cell r="B76" t="str">
            <v>BMWﾓﾝｽ</v>
          </cell>
          <cell r="C76" t="str">
            <v>305108GA101</v>
          </cell>
          <cell r="D76">
            <v>39</v>
          </cell>
          <cell r="E76">
            <v>0</v>
          </cell>
          <cell r="F76">
            <v>0</v>
          </cell>
          <cell r="G76">
            <v>0</v>
          </cell>
          <cell r="I76" t="str">
            <v>BMWﾓﾝｽ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2.5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C76">
            <v>39</v>
          </cell>
          <cell r="AD76">
            <v>39</v>
          </cell>
          <cell r="AE76">
            <v>39</v>
          </cell>
          <cell r="AG76">
            <v>39</v>
          </cell>
          <cell r="AH76">
            <v>39</v>
          </cell>
          <cell r="AI76">
            <v>39</v>
          </cell>
        </row>
        <row r="77">
          <cell r="A77" t="str">
            <v>BMWﾓﾝｽ305108GA102</v>
          </cell>
          <cell r="B77" t="str">
            <v>BMWﾓﾝｽ</v>
          </cell>
          <cell r="C77" t="str">
            <v>305108GA102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I77" t="str">
            <v>BMWﾓﾝｽ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2.5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C77">
            <v>0</v>
          </cell>
          <cell r="AD77">
            <v>0</v>
          </cell>
          <cell r="AE77">
            <v>0</v>
          </cell>
          <cell r="AG77">
            <v>0</v>
          </cell>
          <cell r="AH77">
            <v>0</v>
          </cell>
          <cell r="AI77">
            <v>0</v>
          </cell>
        </row>
        <row r="78">
          <cell r="A78" t="str">
            <v>BMWﾓﾝｽ305108GA103</v>
          </cell>
          <cell r="B78" t="str">
            <v>BMWﾓﾝｽ</v>
          </cell>
          <cell r="C78" t="str">
            <v>305108GA103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I78" t="str">
            <v>BMWﾓﾝｽ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2.5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C78">
            <v>0</v>
          </cell>
          <cell r="AD78">
            <v>0</v>
          </cell>
          <cell r="AE78">
            <v>0</v>
          </cell>
          <cell r="AG78">
            <v>0</v>
          </cell>
          <cell r="AH78">
            <v>0</v>
          </cell>
          <cell r="AI78">
            <v>0</v>
          </cell>
        </row>
        <row r="79">
          <cell r="A79" t="str">
            <v>BMWﾓﾝｽ305108GA109</v>
          </cell>
          <cell r="B79" t="str">
            <v>BMWﾓﾝｽ</v>
          </cell>
          <cell r="C79" t="str">
            <v>305108GA109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I79" t="str">
            <v>BMWﾓﾝｽ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2.5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C79">
            <v>0</v>
          </cell>
          <cell r="AD79">
            <v>0</v>
          </cell>
          <cell r="AE79">
            <v>0</v>
          </cell>
          <cell r="AG79">
            <v>0</v>
          </cell>
          <cell r="AH79">
            <v>0</v>
          </cell>
          <cell r="AI79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定"/>
      <sheetName val="年計"/>
      <sheetName val="先月情報"/>
      <sheetName val="10日情報"/>
      <sheetName val="20日情報"/>
      <sheetName val="TNS"/>
      <sheetName val="生計（E7)"/>
      <sheetName val="F22機種追加計画"/>
      <sheetName val="生計詳細(E2)"/>
      <sheetName val="品番別生計E7"/>
      <sheetName val="物流ｼｽﾃﾑ用ﾃﾞｰﾀ"/>
      <sheetName val="部品発注用ﾃﾞｰﾀ"/>
      <sheetName val="Sheet1"/>
      <sheetName val="17年1月度日20情報(F22)確定"/>
      <sheetName val="月末在庫集計"/>
      <sheetName val="出荷ｽｹｼﾞｭｰﾙ集計"/>
    </sheetNames>
    <sheetDataSet>
      <sheetData sheetId="0" refreshError="1"/>
      <sheetData sheetId="1" refreshError="1">
        <row r="1">
          <cell r="B1" t="str">
            <v>機種</v>
          </cell>
          <cell r="C1" t="str">
            <v>'16/01</v>
          </cell>
          <cell r="D1" t="str">
            <v>'16/02</v>
          </cell>
          <cell r="E1" t="str">
            <v>'16/03</v>
          </cell>
          <cell r="F1" t="str">
            <v>'16/04</v>
          </cell>
          <cell r="G1" t="str">
            <v>'16/05</v>
          </cell>
          <cell r="H1" t="str">
            <v>'16/06</v>
          </cell>
          <cell r="I1" t="str">
            <v>'16/07</v>
          </cell>
          <cell r="J1" t="str">
            <v>'16/08</v>
          </cell>
          <cell r="K1" t="str">
            <v>'16/09</v>
          </cell>
          <cell r="L1" t="str">
            <v>'16/10</v>
          </cell>
          <cell r="M1" t="str">
            <v>'16/11</v>
          </cell>
          <cell r="N1" t="str">
            <v>'16/12</v>
          </cell>
          <cell r="O1" t="str">
            <v>'16/</v>
          </cell>
        </row>
        <row r="2">
          <cell r="B2" t="str">
            <v>F22(VOLVO)</v>
          </cell>
          <cell r="C2">
            <v>23954</v>
          </cell>
          <cell r="D2">
            <v>23117</v>
          </cell>
          <cell r="E2">
            <v>26589</v>
          </cell>
          <cell r="F2">
            <v>20626</v>
          </cell>
          <cell r="G2">
            <v>3874</v>
          </cell>
          <cell r="H2">
            <v>8041</v>
          </cell>
          <cell r="I2">
            <v>4256</v>
          </cell>
          <cell r="J2">
            <v>4198</v>
          </cell>
          <cell r="K2">
            <v>11868</v>
          </cell>
          <cell r="L2">
            <v>11771</v>
          </cell>
          <cell r="M2">
            <v>13833</v>
          </cell>
          <cell r="N2">
            <v>14201</v>
          </cell>
          <cell r="O2">
            <v>166328</v>
          </cell>
        </row>
        <row r="3">
          <cell r="B3" t="str">
            <v>F22B(VW)</v>
          </cell>
          <cell r="C3">
            <v>2572</v>
          </cell>
          <cell r="D3">
            <v>1846.0000000000002</v>
          </cell>
          <cell r="E3">
            <v>5519</v>
          </cell>
          <cell r="F3">
            <v>5592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60</v>
          </cell>
          <cell r="L3">
            <v>238</v>
          </cell>
          <cell r="M3">
            <v>418</v>
          </cell>
          <cell r="N3">
            <v>1320</v>
          </cell>
          <cell r="O3">
            <v>17565</v>
          </cell>
        </row>
        <row r="4">
          <cell r="B4" t="str">
            <v>F22C(VW)</v>
          </cell>
          <cell r="D4">
            <v>39</v>
          </cell>
          <cell r="E4">
            <v>73</v>
          </cell>
          <cell r="F4">
            <v>322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F5909-16D4-4EF4-819A-A06D46994BDE}">
  <dimension ref="A2:BR248"/>
  <sheetViews>
    <sheetView tabSelected="1" zoomScale="85" zoomScaleNormal="85" workbookViewId="0">
      <selection activeCell="M29" sqref="M29"/>
    </sheetView>
  </sheetViews>
  <sheetFormatPr defaultRowHeight="13" x14ac:dyDescent="0.2"/>
  <cols>
    <col min="2" max="2" width="15.26953125" customWidth="1"/>
    <col min="3" max="3" width="16.08984375" bestFit="1" customWidth="1"/>
    <col min="4" max="4" width="14.6328125" bestFit="1" customWidth="1"/>
    <col min="6" max="6" width="7.08984375" bestFit="1" customWidth="1"/>
    <col min="7" max="9" width="9.08984375" bestFit="1" customWidth="1"/>
    <col min="10" max="10" width="10.08984375" bestFit="1" customWidth="1"/>
    <col min="11" max="11" width="10.54296875" customWidth="1"/>
    <col min="12" max="12" width="10.08984375" bestFit="1" customWidth="1"/>
    <col min="13" max="26" width="9.08984375" bestFit="1" customWidth="1"/>
    <col min="27" max="34" width="9.36328125" bestFit="1" customWidth="1"/>
    <col min="35" max="54" width="9.08984375" bestFit="1" customWidth="1"/>
    <col min="55" max="62" width="9.36328125" bestFit="1" customWidth="1"/>
    <col min="63" max="70" width="9.08984375" bestFit="1" customWidth="1"/>
  </cols>
  <sheetData>
    <row r="2" spans="2:18" ht="15" x14ac:dyDescent="0.2">
      <c r="B2" s="3" t="s">
        <v>88</v>
      </c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x14ac:dyDescent="0.2">
      <c r="B3" s="50" t="s">
        <v>228</v>
      </c>
      <c r="C3" s="49"/>
    </row>
    <row r="35" spans="1:70" ht="15" x14ac:dyDescent="0.2">
      <c r="B35" s="3" t="s">
        <v>318</v>
      </c>
      <c r="C35" s="53" t="s">
        <v>253</v>
      </c>
      <c r="D35" s="53" t="s">
        <v>254</v>
      </c>
      <c r="E35" s="53" t="s">
        <v>255</v>
      </c>
      <c r="F35" s="53" t="s">
        <v>256</v>
      </c>
      <c r="G35" s="55" t="s">
        <v>245</v>
      </c>
      <c r="H35" s="4" t="s">
        <v>246</v>
      </c>
      <c r="I35" s="55" t="s">
        <v>247</v>
      </c>
      <c r="J35" s="4" t="s">
        <v>248</v>
      </c>
      <c r="K35" s="55" t="s">
        <v>249</v>
      </c>
      <c r="L35" s="4" t="s">
        <v>250</v>
      </c>
      <c r="M35" s="55" t="s">
        <v>251</v>
      </c>
      <c r="N35" s="4" t="s">
        <v>252</v>
      </c>
      <c r="O35" s="55" t="s">
        <v>257</v>
      </c>
      <c r="P35" s="4" t="s">
        <v>259</v>
      </c>
      <c r="Q35" s="55" t="s">
        <v>260</v>
      </c>
      <c r="R35" s="55" t="s">
        <v>261</v>
      </c>
      <c r="S35" s="55" t="s">
        <v>258</v>
      </c>
      <c r="T35" s="55" t="s">
        <v>262</v>
      </c>
      <c r="U35" s="55" t="s">
        <v>263</v>
      </c>
      <c r="V35" s="55" t="s">
        <v>264</v>
      </c>
      <c r="W35" s="55" t="s">
        <v>265</v>
      </c>
      <c r="X35" s="55" t="s">
        <v>266</v>
      </c>
      <c r="Y35" s="55" t="s">
        <v>267</v>
      </c>
      <c r="Z35" s="55" t="s">
        <v>268</v>
      </c>
      <c r="AA35" s="63" t="s">
        <v>269</v>
      </c>
      <c r="AB35" s="63" t="s">
        <v>270</v>
      </c>
      <c r="AC35" s="63" t="s">
        <v>271</v>
      </c>
      <c r="AD35" s="63" t="s">
        <v>272</v>
      </c>
      <c r="AE35" s="63" t="s">
        <v>273</v>
      </c>
      <c r="AF35" s="63" t="s">
        <v>274</v>
      </c>
      <c r="AG35" s="63" t="s">
        <v>275</v>
      </c>
      <c r="AH35" s="63" t="s">
        <v>276</v>
      </c>
      <c r="AI35" s="55" t="s">
        <v>277</v>
      </c>
      <c r="AJ35" s="55" t="s">
        <v>278</v>
      </c>
      <c r="AK35" s="55" t="s">
        <v>279</v>
      </c>
      <c r="AL35" s="55" t="s">
        <v>280</v>
      </c>
      <c r="AM35" s="55" t="s">
        <v>281</v>
      </c>
      <c r="AN35" s="55" t="s">
        <v>282</v>
      </c>
      <c r="AO35" s="55" t="s">
        <v>283</v>
      </c>
      <c r="AP35" s="55" t="s">
        <v>284</v>
      </c>
      <c r="AQ35" s="55" t="s">
        <v>285</v>
      </c>
      <c r="AR35" s="55" t="s">
        <v>286</v>
      </c>
      <c r="AS35" s="55" t="s">
        <v>287</v>
      </c>
      <c r="AT35" s="55" t="s">
        <v>288</v>
      </c>
      <c r="AU35" s="55" t="s">
        <v>289</v>
      </c>
      <c r="AV35" s="55" t="s">
        <v>290</v>
      </c>
      <c r="AW35" s="55" t="s">
        <v>291</v>
      </c>
      <c r="AX35" s="55" t="s">
        <v>292</v>
      </c>
      <c r="AY35" s="55" t="s">
        <v>293</v>
      </c>
      <c r="AZ35" s="55" t="s">
        <v>294</v>
      </c>
      <c r="BA35" s="55" t="s">
        <v>295</v>
      </c>
      <c r="BB35" s="55" t="s">
        <v>296</v>
      </c>
      <c r="BC35" s="63" t="s">
        <v>297</v>
      </c>
      <c r="BD35" s="63" t="s">
        <v>298</v>
      </c>
      <c r="BE35" s="63" t="s">
        <v>299</v>
      </c>
      <c r="BF35" s="63" t="s">
        <v>300</v>
      </c>
      <c r="BG35" s="63" t="s">
        <v>301</v>
      </c>
      <c r="BH35" s="63" t="s">
        <v>302</v>
      </c>
      <c r="BI35" s="63" t="s">
        <v>303</v>
      </c>
      <c r="BJ35" s="63" t="s">
        <v>304</v>
      </c>
      <c r="BK35" s="55" t="s">
        <v>305</v>
      </c>
      <c r="BL35" s="55" t="s">
        <v>306</v>
      </c>
      <c r="BM35" s="55" t="s">
        <v>308</v>
      </c>
      <c r="BN35" s="55" t="s">
        <v>309</v>
      </c>
      <c r="BO35" s="55" t="s">
        <v>310</v>
      </c>
      <c r="BP35" s="55" t="s">
        <v>311</v>
      </c>
      <c r="BQ35" s="55" t="s">
        <v>307</v>
      </c>
      <c r="BR35" s="55" t="s">
        <v>312</v>
      </c>
    </row>
    <row r="36" spans="1:70" ht="15" x14ac:dyDescent="0.2">
      <c r="B36" s="3" t="s">
        <v>316</v>
      </c>
      <c r="C36" s="4"/>
      <c r="D36" s="58"/>
      <c r="E36" s="58"/>
      <c r="F36" s="58"/>
      <c r="G36" s="58">
        <v>22.619906550000003</v>
      </c>
      <c r="H36" s="58">
        <v>22.619906550000003</v>
      </c>
      <c r="I36" s="58">
        <v>22.619906550000003</v>
      </c>
      <c r="J36" s="58">
        <v>22.619906550000003</v>
      </c>
      <c r="K36" s="58">
        <v>22.151779050000005</v>
      </c>
      <c r="L36" s="58">
        <v>22.151779050000005</v>
      </c>
      <c r="M36" s="58">
        <v>22.151779050000005</v>
      </c>
      <c r="N36" s="58">
        <v>22.151779050000005</v>
      </c>
      <c r="O36" s="58">
        <v>21.134479050000007</v>
      </c>
      <c r="P36" s="58">
        <v>21.134479050000007</v>
      </c>
      <c r="Q36" s="58">
        <v>21.134479050000007</v>
      </c>
      <c r="R36" s="58">
        <v>21.134479050000007</v>
      </c>
      <c r="S36" s="58">
        <v>22.347342031250008</v>
      </c>
      <c r="T36" s="58">
        <v>22.347342031250008</v>
      </c>
      <c r="U36" s="58">
        <v>22.347342031250008</v>
      </c>
      <c r="V36" s="58">
        <v>22.347342031250008</v>
      </c>
      <c r="W36" s="58">
        <v>20.638846262500007</v>
      </c>
      <c r="X36" s="58">
        <v>20.638846262500007</v>
      </c>
      <c r="Y36" s="58">
        <v>20.638846262500007</v>
      </c>
      <c r="Z36" s="58">
        <v>20.638846262500007</v>
      </c>
      <c r="AA36" s="58"/>
      <c r="AB36" s="58"/>
      <c r="AC36" s="58"/>
      <c r="AD36" s="58"/>
      <c r="AE36" s="58"/>
      <c r="AF36" s="58"/>
      <c r="AG36" s="58"/>
      <c r="AH36" s="58"/>
      <c r="AI36" s="58">
        <v>22.423041550000004</v>
      </c>
      <c r="AJ36" s="58">
        <v>22.423041550000004</v>
      </c>
      <c r="AK36" s="58">
        <v>22.423041550000004</v>
      </c>
      <c r="AL36" s="58">
        <v>22.423041550000004</v>
      </c>
      <c r="AM36" s="58">
        <v>21.57801834375001</v>
      </c>
      <c r="AN36" s="58">
        <v>21.57801834375001</v>
      </c>
      <c r="AO36" s="58">
        <v>21.57801834375001</v>
      </c>
      <c r="AP36" s="58">
        <v>21.57801834375001</v>
      </c>
      <c r="AQ36" s="58">
        <v>21.110977800000004</v>
      </c>
      <c r="AR36" s="58">
        <v>21.110977800000004</v>
      </c>
      <c r="AS36" s="58">
        <v>21.110977800000004</v>
      </c>
      <c r="AT36" s="58">
        <v>21.110977800000004</v>
      </c>
      <c r="AU36" s="58">
        <v>22.312598031250005</v>
      </c>
      <c r="AV36" s="58">
        <v>22.312598031250005</v>
      </c>
      <c r="AW36" s="58">
        <v>22.312598031250005</v>
      </c>
      <c r="AX36" s="58">
        <v>22.312598031250005</v>
      </c>
      <c r="AY36" s="57">
        <v>21.128070300000005</v>
      </c>
      <c r="AZ36" s="57">
        <v>21.128070300000005</v>
      </c>
      <c r="BA36" s="57">
        <v>21.128070300000005</v>
      </c>
      <c r="BB36" s="57">
        <v>21.128070300000005</v>
      </c>
      <c r="BC36" s="58"/>
      <c r="BD36" s="58"/>
      <c r="BE36" s="58"/>
      <c r="BF36" s="58"/>
      <c r="BG36" s="58"/>
      <c r="BH36" s="58"/>
      <c r="BI36" s="58"/>
      <c r="BJ36" s="58"/>
      <c r="BK36" s="58">
        <v>22.745930443750005</v>
      </c>
      <c r="BL36" s="58">
        <v>22.745930443750005</v>
      </c>
      <c r="BM36" s="58">
        <v>22.745930443750005</v>
      </c>
      <c r="BN36" s="58">
        <v>22.745930443750005</v>
      </c>
      <c r="BO36" s="58">
        <v>22.693948893750001</v>
      </c>
      <c r="BP36" s="58">
        <v>22.693948893750001</v>
      </c>
      <c r="BQ36" s="58">
        <v>22.693948893750001</v>
      </c>
      <c r="BR36" s="58">
        <v>22.693948893750001</v>
      </c>
    </row>
    <row r="37" spans="1:70" ht="15" x14ac:dyDescent="0.2">
      <c r="B37" s="3" t="s">
        <v>317</v>
      </c>
      <c r="C37" s="4"/>
      <c r="D37" s="58"/>
      <c r="E37" s="58"/>
      <c r="F37" s="58"/>
      <c r="G37" s="58">
        <v>22.019581700000003</v>
      </c>
      <c r="H37" s="58">
        <v>24.588497275000002</v>
      </c>
      <c r="I37" s="58">
        <v>23.618613425000007</v>
      </c>
      <c r="J37" s="58">
        <v>19.163542500000002</v>
      </c>
      <c r="K37" s="58">
        <v>21.565702275000003</v>
      </c>
      <c r="L37" s="58">
        <v>20.940023200000006</v>
      </c>
      <c r="M37" s="58">
        <v>21.764610125000008</v>
      </c>
      <c r="N37" s="58">
        <v>21.673565000000011</v>
      </c>
      <c r="O37" s="58">
        <v>21.053222500000004</v>
      </c>
      <c r="P37" s="58">
        <v>24.467851275000001</v>
      </c>
      <c r="Q37" s="58">
        <v>21.677522625000009</v>
      </c>
      <c r="R37" s="58">
        <v>19.111357500000004</v>
      </c>
      <c r="S37" s="58">
        <v>21.66491820000001</v>
      </c>
      <c r="T37" s="58">
        <v>22.363721500000004</v>
      </c>
      <c r="U37" s="58">
        <v>18.828372625000004</v>
      </c>
      <c r="V37" s="58">
        <v>15.622637500000002</v>
      </c>
      <c r="W37" s="58">
        <v>23.753354200000011</v>
      </c>
      <c r="X37" s="58">
        <v>19.849858625000003</v>
      </c>
      <c r="Y37" s="58">
        <v>24.279947625000009</v>
      </c>
      <c r="Z37" s="58">
        <v>19.435236500000002</v>
      </c>
      <c r="AA37" s="4"/>
      <c r="AB37" s="4"/>
      <c r="AC37" s="4"/>
      <c r="AD37" s="4"/>
      <c r="AE37" s="4"/>
      <c r="AF37" s="4"/>
      <c r="AG37" s="4"/>
      <c r="AH37" s="4"/>
      <c r="AI37" s="58">
        <v>23.296317075000005</v>
      </c>
      <c r="AJ37" s="58">
        <v>24.842873775000001</v>
      </c>
      <c r="AK37" s="58">
        <v>23.427510125000005</v>
      </c>
      <c r="AL37" s="58">
        <v>21.666001500000007</v>
      </c>
      <c r="AM37" s="58">
        <v>15.308348200000005</v>
      </c>
      <c r="AN37" s="58">
        <v>21.773100250000002</v>
      </c>
      <c r="AO37" s="58">
        <v>22.734665125000006</v>
      </c>
      <c r="AP37" s="58">
        <v>20.671297500000009</v>
      </c>
      <c r="AQ37" s="58">
        <v>20.734154200000003</v>
      </c>
      <c r="AR37" s="58">
        <v>19.235906274999998</v>
      </c>
      <c r="AS37" s="58">
        <v>21.788526125000004</v>
      </c>
      <c r="AT37" s="58">
        <v>20.050880000000006</v>
      </c>
      <c r="AU37" s="58">
        <v>23.599556000000007</v>
      </c>
      <c r="AV37" s="58">
        <v>23.334611774999999</v>
      </c>
      <c r="AW37" s="58">
        <v>22.169366125000007</v>
      </c>
      <c r="AX37" s="58">
        <v>20.141237500000006</v>
      </c>
      <c r="AY37" s="58">
        <v>24.008984000000005</v>
      </c>
      <c r="AZ37" s="58">
        <v>19.693846274999999</v>
      </c>
      <c r="BA37" s="58">
        <v>21.580108425000006</v>
      </c>
      <c r="BB37" s="58">
        <v>20.252624000000004</v>
      </c>
      <c r="BC37" s="58"/>
      <c r="BD37" s="58"/>
      <c r="BE37" s="58"/>
      <c r="BF37" s="58"/>
      <c r="BG37" s="58"/>
      <c r="BH37" s="58"/>
      <c r="BI37" s="58"/>
      <c r="BJ37" s="58"/>
      <c r="BK37" s="58">
        <v>23.740548775000008</v>
      </c>
      <c r="BL37" s="58">
        <v>24.166583774999999</v>
      </c>
      <c r="BM37" s="58">
        <v>21.086935700000002</v>
      </c>
      <c r="BN37" s="58">
        <v>23.285511700000008</v>
      </c>
      <c r="BO37" s="58">
        <v>20.765922475000004</v>
      </c>
      <c r="BP37" s="58">
        <v>21.676477175000006</v>
      </c>
      <c r="BQ37" s="58">
        <v>25.9782157</v>
      </c>
      <c r="BR37" s="58">
        <v>23.150623625000009</v>
      </c>
    </row>
    <row r="38" spans="1:70" ht="15" x14ac:dyDescent="0.2">
      <c r="A38" s="4"/>
      <c r="B38" s="3" t="s">
        <v>314</v>
      </c>
      <c r="C38" s="4"/>
      <c r="D38" s="4"/>
      <c r="E38" s="4"/>
      <c r="F38" s="4"/>
      <c r="G38" s="65">
        <f>G37-G36</f>
        <v>-0.6003248499999998</v>
      </c>
      <c r="H38" s="65">
        <f t="shared" ref="H38:BR38" si="0">H37-H36</f>
        <v>1.9685907249999985</v>
      </c>
      <c r="I38" s="65">
        <f t="shared" si="0"/>
        <v>0.99870687500000344</v>
      </c>
      <c r="J38" s="65">
        <f t="shared" si="0"/>
        <v>-3.4563640500000012</v>
      </c>
      <c r="K38" s="65">
        <f t="shared" si="0"/>
        <v>-0.58607677500000221</v>
      </c>
      <c r="L38" s="65">
        <f t="shared" si="0"/>
        <v>-1.2117558499999994</v>
      </c>
      <c r="M38" s="65">
        <f t="shared" si="0"/>
        <v>-0.38716892499999744</v>
      </c>
      <c r="N38" s="65">
        <f t="shared" si="0"/>
        <v>-0.47821404999999473</v>
      </c>
      <c r="O38" s="65">
        <f t="shared" si="0"/>
        <v>-8.1256550000002647E-2</v>
      </c>
      <c r="P38" s="65">
        <f t="shared" si="0"/>
        <v>3.3333722249999944</v>
      </c>
      <c r="Q38" s="65">
        <f t="shared" si="0"/>
        <v>0.54304357500000222</v>
      </c>
      <c r="R38" s="65">
        <f t="shared" si="0"/>
        <v>-2.0231215500000026</v>
      </c>
      <c r="S38" s="65">
        <f t="shared" si="0"/>
        <v>-0.68242383124999861</v>
      </c>
      <c r="T38" s="65">
        <f t="shared" si="0"/>
        <v>1.6379468749995851E-2</v>
      </c>
      <c r="U38" s="65">
        <f t="shared" si="0"/>
        <v>-3.5189694062500045</v>
      </c>
      <c r="V38" s="65">
        <f t="shared" si="0"/>
        <v>-6.7247045312500067</v>
      </c>
      <c r="W38" s="65">
        <f t="shared" si="0"/>
        <v>3.1145079375000044</v>
      </c>
      <c r="X38" s="65">
        <f t="shared" si="0"/>
        <v>-0.78898763750000356</v>
      </c>
      <c r="Y38" s="65">
        <f t="shared" si="0"/>
        <v>3.6411013625000024</v>
      </c>
      <c r="Z38" s="65">
        <f t="shared" si="0"/>
        <v>-1.2036097625000046</v>
      </c>
      <c r="AA38" s="65">
        <f t="shared" si="0"/>
        <v>0</v>
      </c>
      <c r="AB38" s="65">
        <f t="shared" si="0"/>
        <v>0</v>
      </c>
      <c r="AC38" s="65">
        <f t="shared" si="0"/>
        <v>0</v>
      </c>
      <c r="AD38" s="65">
        <f t="shared" si="0"/>
        <v>0</v>
      </c>
      <c r="AE38" s="65">
        <f t="shared" si="0"/>
        <v>0</v>
      </c>
      <c r="AF38" s="65">
        <f t="shared" si="0"/>
        <v>0</v>
      </c>
      <c r="AG38" s="65">
        <f t="shared" si="0"/>
        <v>0</v>
      </c>
      <c r="AH38" s="65">
        <f t="shared" si="0"/>
        <v>0</v>
      </c>
      <c r="AI38" s="65">
        <f t="shared" si="0"/>
        <v>0.87327552500000039</v>
      </c>
      <c r="AJ38" s="65">
        <f t="shared" si="0"/>
        <v>2.4198322249999968</v>
      </c>
      <c r="AK38" s="65">
        <f t="shared" si="0"/>
        <v>1.0044685750000006</v>
      </c>
      <c r="AL38" s="65">
        <f t="shared" si="0"/>
        <v>-0.75704004999999697</v>
      </c>
      <c r="AM38" s="65">
        <f t="shared" si="0"/>
        <v>-6.2696701437500053</v>
      </c>
      <c r="AN38" s="65">
        <f t="shared" si="0"/>
        <v>0.19508190624999244</v>
      </c>
      <c r="AO38" s="65">
        <f t="shared" si="0"/>
        <v>1.1566467812499965</v>
      </c>
      <c r="AP38" s="65">
        <f t="shared" si="0"/>
        <v>-0.90672084375000139</v>
      </c>
      <c r="AQ38" s="65">
        <f t="shared" si="0"/>
        <v>-0.37682360000000159</v>
      </c>
      <c r="AR38" s="65">
        <f t="shared" si="0"/>
        <v>-1.8750715250000063</v>
      </c>
      <c r="AS38" s="65">
        <f t="shared" si="0"/>
        <v>0.67754832500000006</v>
      </c>
      <c r="AT38" s="65">
        <f t="shared" si="0"/>
        <v>-1.0600977999999976</v>
      </c>
      <c r="AU38" s="65">
        <f t="shared" si="0"/>
        <v>1.2869579687500021</v>
      </c>
      <c r="AV38" s="65">
        <f t="shared" si="0"/>
        <v>1.0220137437499943</v>
      </c>
      <c r="AW38" s="65">
        <f t="shared" si="0"/>
        <v>-0.14323190624999782</v>
      </c>
      <c r="AX38" s="65">
        <f t="shared" si="0"/>
        <v>-2.1713605312499986</v>
      </c>
      <c r="AY38" s="65">
        <f t="shared" si="0"/>
        <v>2.8809137000000007</v>
      </c>
      <c r="AZ38" s="65">
        <f t="shared" si="0"/>
        <v>-1.434224025000006</v>
      </c>
      <c r="BA38" s="65">
        <f t="shared" si="0"/>
        <v>0.4520381250000014</v>
      </c>
      <c r="BB38" s="65">
        <f t="shared" si="0"/>
        <v>-0.87544630000000012</v>
      </c>
      <c r="BC38" s="65">
        <f t="shared" si="0"/>
        <v>0</v>
      </c>
      <c r="BD38" s="65">
        <f t="shared" si="0"/>
        <v>0</v>
      </c>
      <c r="BE38" s="65">
        <f t="shared" si="0"/>
        <v>0</v>
      </c>
      <c r="BF38" s="65">
        <f t="shared" si="0"/>
        <v>0</v>
      </c>
      <c r="BG38" s="65">
        <f t="shared" si="0"/>
        <v>0</v>
      </c>
      <c r="BH38" s="65">
        <f t="shared" si="0"/>
        <v>0</v>
      </c>
      <c r="BI38" s="65">
        <f t="shared" si="0"/>
        <v>0</v>
      </c>
      <c r="BJ38" s="65">
        <f t="shared" si="0"/>
        <v>0</v>
      </c>
      <c r="BK38" s="65">
        <f t="shared" si="0"/>
        <v>0.99461833125000254</v>
      </c>
      <c r="BL38" s="65">
        <f t="shared" si="0"/>
        <v>1.4206533312499943</v>
      </c>
      <c r="BM38" s="65">
        <f t="shared" si="0"/>
        <v>-1.6589947437500037</v>
      </c>
      <c r="BN38" s="65">
        <f t="shared" si="0"/>
        <v>0.53958125625000264</v>
      </c>
      <c r="BO38" s="65">
        <f t="shared" si="0"/>
        <v>-1.9280264187499974</v>
      </c>
      <c r="BP38" s="65">
        <f t="shared" si="0"/>
        <v>-1.0174717187499951</v>
      </c>
      <c r="BQ38" s="65">
        <f t="shared" si="0"/>
        <v>3.2842668062499989</v>
      </c>
      <c r="BR38" s="65">
        <f t="shared" si="0"/>
        <v>0.45667473125000768</v>
      </c>
    </row>
    <row r="39" spans="1:70" ht="15" x14ac:dyDescent="0.2">
      <c r="A39" s="4"/>
      <c r="B39" s="64" t="s">
        <v>315</v>
      </c>
      <c r="C39" s="59"/>
      <c r="D39" s="59"/>
      <c r="E39" s="59"/>
      <c r="F39" s="59"/>
      <c r="G39" s="66">
        <f>G37/G36</f>
        <v>0.97346033023288503</v>
      </c>
      <c r="H39" s="66">
        <f t="shared" ref="H39:BR39" si="1">H37/H36</f>
        <v>1.0870291272268762</v>
      </c>
      <c r="I39" s="66">
        <f t="shared" si="1"/>
        <v>1.0441516799723474</v>
      </c>
      <c r="J39" s="66">
        <f t="shared" si="1"/>
        <v>0.84719812867661914</v>
      </c>
      <c r="K39" s="66">
        <f t="shared" si="1"/>
        <v>0.97354267692553564</v>
      </c>
      <c r="L39" s="66">
        <f t="shared" si="1"/>
        <v>0.94529758322052249</v>
      </c>
      <c r="M39" s="66">
        <f t="shared" si="1"/>
        <v>0.98252199409690311</v>
      </c>
      <c r="N39" s="66">
        <f t="shared" si="1"/>
        <v>0.97841193481929412</v>
      </c>
      <c r="O39" s="66">
        <f t="shared" si="1"/>
        <v>0.99615526127671439</v>
      </c>
      <c r="P39" s="66">
        <f t="shared" si="1"/>
        <v>1.1577219962277705</v>
      </c>
      <c r="Q39" s="66">
        <f t="shared" si="1"/>
        <v>1.0256946752136766</v>
      </c>
      <c r="R39" s="66">
        <f t="shared" si="1"/>
        <v>0.90427388604120795</v>
      </c>
      <c r="S39" s="66">
        <f t="shared" si="1"/>
        <v>0.96946286362397316</v>
      </c>
      <c r="T39" s="66">
        <f t="shared" si="1"/>
        <v>1.0007329493022969</v>
      </c>
      <c r="U39" s="66">
        <f t="shared" si="1"/>
        <v>0.84253297768794344</v>
      </c>
      <c r="V39" s="66">
        <f t="shared" si="1"/>
        <v>0.69908257895519144</v>
      </c>
      <c r="W39" s="66">
        <f t="shared" si="1"/>
        <v>1.1509051377139694</v>
      </c>
      <c r="X39" s="66">
        <f t="shared" si="1"/>
        <v>0.96177171788262394</v>
      </c>
      <c r="Y39" s="66">
        <f t="shared" si="1"/>
        <v>1.1764198112718995</v>
      </c>
      <c r="Z39" s="66">
        <f t="shared" si="1"/>
        <v>0.94168231367240152</v>
      </c>
      <c r="AA39" s="66" t="e">
        <f t="shared" si="1"/>
        <v>#DIV/0!</v>
      </c>
      <c r="AB39" s="66" t="e">
        <f t="shared" si="1"/>
        <v>#DIV/0!</v>
      </c>
      <c r="AC39" s="66" t="e">
        <f t="shared" si="1"/>
        <v>#DIV/0!</v>
      </c>
      <c r="AD39" s="66" t="e">
        <f t="shared" si="1"/>
        <v>#DIV/0!</v>
      </c>
      <c r="AE39" s="66" t="e">
        <f t="shared" si="1"/>
        <v>#DIV/0!</v>
      </c>
      <c r="AF39" s="66" t="e">
        <f t="shared" si="1"/>
        <v>#DIV/0!</v>
      </c>
      <c r="AG39" s="66" t="e">
        <f t="shared" si="1"/>
        <v>#DIV/0!</v>
      </c>
      <c r="AH39" s="66" t="e">
        <f t="shared" si="1"/>
        <v>#DIV/0!</v>
      </c>
      <c r="AI39" s="66">
        <f t="shared" si="1"/>
        <v>1.0389454536331624</v>
      </c>
      <c r="AJ39" s="66">
        <f t="shared" si="1"/>
        <v>1.1079172162975364</v>
      </c>
      <c r="AK39" s="66">
        <f t="shared" si="1"/>
        <v>1.0447962678372684</v>
      </c>
      <c r="AL39" s="66">
        <f t="shared" si="1"/>
        <v>0.9662382978548244</v>
      </c>
      <c r="AM39" s="66">
        <f t="shared" si="1"/>
        <v>0.70944180119459432</v>
      </c>
      <c r="AN39" s="66">
        <f t="shared" si="1"/>
        <v>1.0090407702478619</v>
      </c>
      <c r="AO39" s="66">
        <f t="shared" si="1"/>
        <v>1.0536030122332811</v>
      </c>
      <c r="AP39" s="66">
        <f t="shared" si="1"/>
        <v>0.95797942010682224</v>
      </c>
      <c r="AQ39" s="66">
        <f t="shared" si="1"/>
        <v>0.9821503483367785</v>
      </c>
      <c r="AR39" s="66">
        <f t="shared" si="1"/>
        <v>0.9111802616267255</v>
      </c>
      <c r="AS39" s="66">
        <f t="shared" si="1"/>
        <v>1.0320945970110393</v>
      </c>
      <c r="AT39" s="66">
        <f t="shared" si="1"/>
        <v>0.94978452395511503</v>
      </c>
      <c r="AU39" s="66">
        <f t="shared" si="1"/>
        <v>1.0576785351014502</v>
      </c>
      <c r="AV39" s="66">
        <f t="shared" si="1"/>
        <v>1.0458043362910321</v>
      </c>
      <c r="AW39" s="66">
        <f t="shared" si="1"/>
        <v>0.99358067106083325</v>
      </c>
      <c r="AX39" s="66">
        <f t="shared" si="1"/>
        <v>0.90268454940975984</v>
      </c>
      <c r="AY39" s="66">
        <f t="shared" si="1"/>
        <v>1.1363547952602184</v>
      </c>
      <c r="AZ39" s="66">
        <f t="shared" si="1"/>
        <v>0.93211760446480507</v>
      </c>
      <c r="BA39" s="66">
        <f t="shared" si="1"/>
        <v>1.0213951448751097</v>
      </c>
      <c r="BB39" s="66">
        <f t="shared" si="1"/>
        <v>0.95856477721015532</v>
      </c>
      <c r="BC39" s="66" t="e">
        <f t="shared" si="1"/>
        <v>#DIV/0!</v>
      </c>
      <c r="BD39" s="66" t="e">
        <f t="shared" si="1"/>
        <v>#DIV/0!</v>
      </c>
      <c r="BE39" s="66" t="e">
        <f t="shared" si="1"/>
        <v>#DIV/0!</v>
      </c>
      <c r="BF39" s="66" t="e">
        <f t="shared" si="1"/>
        <v>#DIV/0!</v>
      </c>
      <c r="BG39" s="66" t="e">
        <f t="shared" si="1"/>
        <v>#DIV/0!</v>
      </c>
      <c r="BH39" s="66" t="e">
        <f t="shared" si="1"/>
        <v>#DIV/0!</v>
      </c>
      <c r="BI39" s="66" t="e">
        <f t="shared" si="1"/>
        <v>#DIV/0!</v>
      </c>
      <c r="BJ39" s="66" t="e">
        <f t="shared" si="1"/>
        <v>#DIV/0!</v>
      </c>
      <c r="BK39" s="66">
        <f t="shared" si="1"/>
        <v>1.0437273090986392</v>
      </c>
      <c r="BL39" s="66">
        <f t="shared" si="1"/>
        <v>1.0624574727669738</v>
      </c>
      <c r="BM39" s="66">
        <f t="shared" si="1"/>
        <v>0.92706410723216415</v>
      </c>
      <c r="BN39" s="66">
        <f t="shared" si="1"/>
        <v>1.0237221008647841</v>
      </c>
      <c r="BO39" s="66">
        <f t="shared" si="1"/>
        <v>0.91504226841363057</v>
      </c>
      <c r="BP39" s="66">
        <f t="shared" si="1"/>
        <v>0.95516550585736926</v>
      </c>
      <c r="BQ39" s="66">
        <f t="shared" si="1"/>
        <v>1.1447199348877752</v>
      </c>
      <c r="BR39" s="66">
        <f t="shared" si="1"/>
        <v>1.0201231937812187</v>
      </c>
    </row>
    <row r="40" spans="1:70" ht="15" x14ac:dyDescent="0.2">
      <c r="A40" s="4"/>
      <c r="B40" s="64"/>
      <c r="C40" s="59"/>
      <c r="D40" s="59"/>
      <c r="E40" s="59"/>
      <c r="F40" s="59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/>
      <c r="BJ40" s="66"/>
      <c r="BK40" s="66"/>
      <c r="BL40" s="66"/>
      <c r="BM40" s="66"/>
      <c r="BN40" s="66"/>
      <c r="BO40" s="66"/>
      <c r="BP40" s="66"/>
      <c r="BQ40" s="66"/>
      <c r="BR40" s="66"/>
    </row>
    <row r="41" spans="1:70" ht="15" x14ac:dyDescent="0.2">
      <c r="A41" s="4"/>
      <c r="B41" s="59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59"/>
      <c r="AI41" s="59"/>
      <c r="AJ41" s="59"/>
      <c r="AK41" s="59"/>
      <c r="AL41" s="59"/>
      <c r="AM41" s="59"/>
      <c r="AN41" s="59"/>
      <c r="AO41" s="59"/>
      <c r="AP41" s="2"/>
      <c r="AQ41" s="2"/>
      <c r="AR41" s="2"/>
      <c r="AS41" s="2"/>
      <c r="AT41" s="2"/>
      <c r="AU41" s="2"/>
      <c r="AV41" s="2"/>
      <c r="AW41" s="2"/>
      <c r="AX41" s="2"/>
    </row>
    <row r="42" spans="1:70" ht="15" x14ac:dyDescent="0.2">
      <c r="A42" s="4"/>
      <c r="B42" s="59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59"/>
      <c r="AI42" s="59"/>
      <c r="AJ42" s="59"/>
      <c r="AK42" s="59"/>
      <c r="AL42" s="59"/>
      <c r="AM42" s="59"/>
      <c r="AN42" s="59"/>
      <c r="AO42" s="59"/>
      <c r="AP42" s="2"/>
      <c r="AQ42" s="2"/>
      <c r="AR42" s="2"/>
      <c r="AS42" s="2"/>
      <c r="AT42" s="2"/>
      <c r="AU42" s="2"/>
      <c r="AV42" s="2"/>
      <c r="AW42" s="2"/>
      <c r="AX42" s="2"/>
    </row>
    <row r="43" spans="1:70" ht="15" x14ac:dyDescent="0.2">
      <c r="A43" s="4"/>
      <c r="B43" s="59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59"/>
      <c r="AI43" s="59"/>
      <c r="AJ43" s="59"/>
      <c r="AK43" s="59"/>
      <c r="AL43" s="59"/>
      <c r="AM43" s="59"/>
      <c r="AN43" s="59"/>
      <c r="AO43" s="59"/>
      <c r="AP43" s="2"/>
      <c r="AQ43" s="2"/>
      <c r="AR43" s="2"/>
      <c r="AS43" s="2"/>
      <c r="AT43" s="2"/>
      <c r="AU43" s="2"/>
      <c r="AV43" s="2"/>
      <c r="AW43" s="2"/>
      <c r="AX43" s="2"/>
    </row>
    <row r="44" spans="1:70" ht="15" x14ac:dyDescent="0.2">
      <c r="A44" s="4"/>
      <c r="B44" s="59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59"/>
      <c r="AI44" s="59"/>
      <c r="AJ44" s="59"/>
      <c r="AK44" s="59"/>
      <c r="AL44" s="59"/>
      <c r="AM44" s="59"/>
      <c r="AN44" s="59"/>
      <c r="AO44" s="59"/>
      <c r="AP44" s="2"/>
      <c r="AQ44" s="2"/>
      <c r="AR44" s="2"/>
      <c r="AS44" s="2"/>
      <c r="AT44" s="2"/>
      <c r="AU44" s="2"/>
      <c r="AV44" s="2"/>
      <c r="AW44" s="2"/>
      <c r="AX44" s="2"/>
    </row>
    <row r="45" spans="1:70" ht="15" x14ac:dyDescent="0.2">
      <c r="A45" s="4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2"/>
      <c r="AQ45" s="2"/>
      <c r="AR45" s="2"/>
      <c r="AS45" s="2"/>
      <c r="AT45" s="2"/>
      <c r="AU45" s="2"/>
      <c r="AV45" s="2"/>
      <c r="AW45" s="2"/>
      <c r="AX45" s="2"/>
    </row>
    <row r="46" spans="1:70" ht="15" x14ac:dyDescent="0.2">
      <c r="A46" s="4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2"/>
      <c r="AQ46" s="2"/>
      <c r="AR46" s="2"/>
      <c r="AS46" s="2"/>
      <c r="AT46" s="2"/>
      <c r="AU46" s="2"/>
      <c r="AV46" s="2"/>
      <c r="AW46" s="2"/>
      <c r="AX46" s="2"/>
    </row>
    <row r="47" spans="1:70" ht="15" x14ac:dyDescent="0.2">
      <c r="A47" s="4"/>
      <c r="B47" s="59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2"/>
      <c r="AQ47" s="2"/>
      <c r="AR47" s="2"/>
      <c r="AS47" s="2"/>
      <c r="AT47" s="2"/>
      <c r="AU47" s="2"/>
      <c r="AV47" s="2"/>
      <c r="AW47" s="2"/>
      <c r="AX47" s="2"/>
    </row>
    <row r="48" spans="1:70" ht="15" x14ac:dyDescent="0.2">
      <c r="A48" s="4"/>
      <c r="B48" s="59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2"/>
      <c r="AQ48" s="2"/>
      <c r="AR48" s="2"/>
      <c r="AS48" s="2"/>
      <c r="AT48" s="2"/>
      <c r="AU48" s="2"/>
      <c r="AV48" s="2"/>
      <c r="AW48" s="2"/>
      <c r="AX48" s="2"/>
    </row>
    <row r="49" spans="1:50" ht="15" x14ac:dyDescent="0.2">
      <c r="A49" s="4"/>
      <c r="B49" s="59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2"/>
      <c r="AQ49" s="2"/>
      <c r="AR49" s="2"/>
      <c r="AS49" s="2"/>
      <c r="AT49" s="2"/>
      <c r="AU49" s="2"/>
      <c r="AV49" s="2"/>
      <c r="AW49" s="2"/>
      <c r="AX49" s="2"/>
    </row>
    <row r="50" spans="1:50" ht="15" x14ac:dyDescent="0.2">
      <c r="A50" s="4"/>
      <c r="B50" s="59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2"/>
      <c r="AQ50" s="2"/>
      <c r="AR50" s="2"/>
      <c r="AS50" s="2"/>
      <c r="AT50" s="2"/>
      <c r="AU50" s="2"/>
      <c r="AV50" s="2"/>
      <c r="AW50" s="2"/>
      <c r="AX50" s="2"/>
    </row>
    <row r="51" spans="1:50" ht="15" x14ac:dyDescent="0.2">
      <c r="A51" s="4"/>
      <c r="B51" s="59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2"/>
      <c r="AQ51" s="2"/>
      <c r="AR51" s="2"/>
      <c r="AS51" s="2"/>
      <c r="AT51" s="2"/>
      <c r="AU51" s="2"/>
      <c r="AV51" s="2"/>
      <c r="AW51" s="2"/>
      <c r="AX51" s="2"/>
    </row>
    <row r="52" spans="1:50" ht="15" x14ac:dyDescent="0.2">
      <c r="A52" s="4"/>
      <c r="B52" s="59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2"/>
      <c r="AQ52" s="2"/>
      <c r="AR52" s="2"/>
      <c r="AS52" s="2"/>
      <c r="AT52" s="2"/>
      <c r="AU52" s="2"/>
      <c r="AV52" s="2"/>
      <c r="AW52" s="2"/>
      <c r="AX52" s="2"/>
    </row>
    <row r="53" spans="1:50" ht="15" x14ac:dyDescent="0.2">
      <c r="A53" s="4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2"/>
      <c r="AQ53" s="2"/>
      <c r="AR53" s="2"/>
      <c r="AS53" s="2"/>
      <c r="AT53" s="2"/>
      <c r="AU53" s="2"/>
      <c r="AV53" s="2"/>
      <c r="AW53" s="2"/>
      <c r="AX53" s="2"/>
    </row>
    <row r="54" spans="1:50" ht="15" x14ac:dyDescent="0.2">
      <c r="A54" s="4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2"/>
      <c r="AQ54" s="2"/>
      <c r="AR54" s="2"/>
      <c r="AS54" s="2"/>
      <c r="AT54" s="2"/>
      <c r="AU54" s="2"/>
      <c r="AV54" s="2"/>
      <c r="AW54" s="2"/>
      <c r="AX54" s="2"/>
    </row>
    <row r="55" spans="1:50" ht="15" x14ac:dyDescent="0.2">
      <c r="A55" s="4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2"/>
      <c r="AQ55" s="2"/>
      <c r="AR55" s="2"/>
      <c r="AS55" s="2"/>
      <c r="AT55" s="2"/>
      <c r="AU55" s="2"/>
      <c r="AV55" s="2"/>
      <c r="AW55" s="2"/>
      <c r="AX55" s="2"/>
    </row>
    <row r="56" spans="1:50" ht="15" x14ac:dyDescent="0.2">
      <c r="A56" s="4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2"/>
      <c r="AQ56" s="2"/>
      <c r="AR56" s="2"/>
      <c r="AS56" s="2"/>
      <c r="AT56" s="2"/>
      <c r="AU56" s="2"/>
      <c r="AV56" s="2"/>
      <c r="AW56" s="2"/>
      <c r="AX56" s="2"/>
    </row>
    <row r="57" spans="1:50" ht="15" x14ac:dyDescent="0.2">
      <c r="A57" s="4"/>
      <c r="B57" s="3" t="s">
        <v>86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spans="1:50" ht="15" x14ac:dyDescent="0.2">
      <c r="A58" s="4"/>
      <c r="B58" s="4" t="s">
        <v>19</v>
      </c>
      <c r="C58" s="4" t="s">
        <v>20</v>
      </c>
      <c r="D58" s="4" t="s">
        <v>21</v>
      </c>
      <c r="E58" s="4" t="s">
        <v>0</v>
      </c>
      <c r="F58" s="4" t="s">
        <v>1</v>
      </c>
      <c r="G58" s="4" t="s">
        <v>89</v>
      </c>
      <c r="H58" s="4" t="s">
        <v>225</v>
      </c>
      <c r="I58" s="4" t="s">
        <v>22</v>
      </c>
      <c r="J58" s="4" t="s">
        <v>23</v>
      </c>
      <c r="K58" s="4" t="s">
        <v>24</v>
      </c>
      <c r="L58" s="4" t="s">
        <v>25</v>
      </c>
      <c r="M58" s="4" t="s">
        <v>26</v>
      </c>
      <c r="N58" s="4" t="s">
        <v>27</v>
      </c>
      <c r="O58" s="4" t="s">
        <v>28</v>
      </c>
      <c r="P58" s="4" t="s">
        <v>29</v>
      </c>
      <c r="Q58" s="4" t="s">
        <v>30</v>
      </c>
      <c r="R58" s="4" t="s">
        <v>31</v>
      </c>
      <c r="S58" s="4" t="s">
        <v>32</v>
      </c>
      <c r="T58" s="4" t="s">
        <v>33</v>
      </c>
      <c r="U58" s="4" t="s">
        <v>34</v>
      </c>
      <c r="V58" s="4" t="s">
        <v>35</v>
      </c>
      <c r="W58" s="4" t="s">
        <v>36</v>
      </c>
      <c r="X58" s="4" t="s">
        <v>37</v>
      </c>
      <c r="Y58" s="4" t="s">
        <v>38</v>
      </c>
      <c r="Z58" s="4" t="s">
        <v>39</v>
      </c>
      <c r="AA58" s="4" t="s">
        <v>40</v>
      </c>
      <c r="AB58" s="4" t="s">
        <v>41</v>
      </c>
      <c r="AC58" s="4" t="s">
        <v>42</v>
      </c>
      <c r="AD58" s="4" t="s">
        <v>43</v>
      </c>
      <c r="AE58" s="4" t="s">
        <v>44</v>
      </c>
      <c r="AF58" s="4" t="s">
        <v>45</v>
      </c>
      <c r="AG58" s="4" t="s">
        <v>46</v>
      </c>
      <c r="AH58" s="4" t="s">
        <v>47</v>
      </c>
      <c r="AI58" s="4" t="s">
        <v>48</v>
      </c>
      <c r="AJ58" s="4" t="s">
        <v>49</v>
      </c>
      <c r="AK58" s="4" t="s">
        <v>50</v>
      </c>
      <c r="AL58" s="4" t="s">
        <v>51</v>
      </c>
      <c r="AM58" s="4" t="s">
        <v>52</v>
      </c>
      <c r="AN58" s="4" t="s">
        <v>53</v>
      </c>
      <c r="AO58" s="4"/>
    </row>
    <row r="59" spans="1:50" ht="15" x14ac:dyDescent="0.2">
      <c r="A59" s="4"/>
      <c r="B59" s="4">
        <v>2038</v>
      </c>
      <c r="C59" s="4" t="s">
        <v>54</v>
      </c>
      <c r="D59" s="54" t="s">
        <v>319</v>
      </c>
      <c r="E59" s="4" t="s">
        <v>12</v>
      </c>
      <c r="F59" s="4">
        <v>150</v>
      </c>
      <c r="G59" s="4">
        <v>6.2458000000000001E-3</v>
      </c>
      <c r="H59" s="4" t="s">
        <v>155</v>
      </c>
      <c r="I59" s="4" t="s">
        <v>3</v>
      </c>
      <c r="J59" s="4">
        <v>0</v>
      </c>
      <c r="K59" s="4">
        <v>9</v>
      </c>
      <c r="L59" s="4">
        <v>9</v>
      </c>
      <c r="M59" s="4">
        <v>9</v>
      </c>
      <c r="N59" s="4">
        <v>12</v>
      </c>
      <c r="O59" s="4">
        <v>9</v>
      </c>
      <c r="P59" s="4">
        <v>0</v>
      </c>
      <c r="Q59" s="4">
        <v>0</v>
      </c>
      <c r="R59" s="4">
        <v>12</v>
      </c>
      <c r="S59" s="4">
        <v>12</v>
      </c>
      <c r="T59" s="4">
        <v>12</v>
      </c>
      <c r="U59" s="4">
        <v>9</v>
      </c>
      <c r="V59" s="4">
        <v>12</v>
      </c>
      <c r="W59" s="4">
        <v>0</v>
      </c>
      <c r="X59" s="4">
        <v>0</v>
      </c>
      <c r="Y59" s="4">
        <v>15</v>
      </c>
      <c r="Z59" s="4">
        <v>12</v>
      </c>
      <c r="AA59" s="4">
        <v>12</v>
      </c>
      <c r="AB59" s="4">
        <v>18</v>
      </c>
      <c r="AC59" s="4">
        <v>15</v>
      </c>
      <c r="AD59" s="4">
        <v>0</v>
      </c>
      <c r="AE59" s="4">
        <v>0</v>
      </c>
      <c r="AF59" s="4">
        <v>18</v>
      </c>
      <c r="AG59" s="4">
        <v>18</v>
      </c>
      <c r="AH59" s="4">
        <v>18</v>
      </c>
      <c r="AI59" s="4">
        <v>18</v>
      </c>
      <c r="AJ59" s="4">
        <v>21</v>
      </c>
      <c r="AK59" s="4">
        <v>0</v>
      </c>
      <c r="AL59" s="4">
        <v>0</v>
      </c>
      <c r="AM59" s="4">
        <v>24</v>
      </c>
      <c r="AN59" s="4">
        <v>24</v>
      </c>
      <c r="AO59" s="4"/>
    </row>
    <row r="60" spans="1:50" ht="15" x14ac:dyDescent="0.2">
      <c r="A60" s="4"/>
      <c r="B60" s="4">
        <v>2038</v>
      </c>
      <c r="C60" s="4" t="s">
        <v>54</v>
      </c>
      <c r="D60" s="54" t="s">
        <v>319</v>
      </c>
      <c r="E60" s="4" t="s">
        <v>13</v>
      </c>
      <c r="F60" s="4">
        <v>150</v>
      </c>
      <c r="G60" s="4">
        <v>6.2458000000000001E-3</v>
      </c>
      <c r="H60" s="4" t="s">
        <v>155</v>
      </c>
      <c r="I60" s="4" t="s">
        <v>3</v>
      </c>
      <c r="J60" s="4">
        <v>0</v>
      </c>
      <c r="K60" s="4">
        <v>98</v>
      </c>
      <c r="L60" s="4">
        <v>98</v>
      </c>
      <c r="M60" s="4">
        <v>98</v>
      </c>
      <c r="N60" s="4">
        <v>98</v>
      </c>
      <c r="O60" s="4">
        <v>98</v>
      </c>
      <c r="P60" s="4">
        <v>0</v>
      </c>
      <c r="Q60" s="4">
        <v>0</v>
      </c>
      <c r="R60" s="4">
        <v>98</v>
      </c>
      <c r="S60" s="4">
        <v>103</v>
      </c>
      <c r="T60" s="4">
        <v>98</v>
      </c>
      <c r="U60" s="4">
        <v>98</v>
      </c>
      <c r="V60" s="4">
        <v>98</v>
      </c>
      <c r="W60" s="4">
        <v>0</v>
      </c>
      <c r="X60" s="4">
        <v>0</v>
      </c>
      <c r="Y60" s="4">
        <v>98</v>
      </c>
      <c r="Z60" s="4">
        <v>98</v>
      </c>
      <c r="AA60" s="4">
        <v>98</v>
      </c>
      <c r="AB60" s="4">
        <v>98</v>
      </c>
      <c r="AC60" s="4">
        <v>98</v>
      </c>
      <c r="AD60" s="4">
        <v>0</v>
      </c>
      <c r="AE60" s="4">
        <v>0</v>
      </c>
      <c r="AF60" s="4">
        <v>98</v>
      </c>
      <c r="AG60" s="4">
        <v>98</v>
      </c>
      <c r="AH60" s="4">
        <v>98</v>
      </c>
      <c r="AI60" s="4">
        <v>98</v>
      </c>
      <c r="AJ60" s="4">
        <v>98</v>
      </c>
      <c r="AK60" s="4">
        <v>0</v>
      </c>
      <c r="AL60" s="4">
        <v>0</v>
      </c>
      <c r="AM60" s="4">
        <v>98</v>
      </c>
      <c r="AN60" s="4">
        <v>98</v>
      </c>
      <c r="AO60" s="4"/>
    </row>
    <row r="61" spans="1:50" ht="15" x14ac:dyDescent="0.2">
      <c r="A61" s="4"/>
      <c r="B61" s="4">
        <v>2038</v>
      </c>
      <c r="C61" s="4" t="s">
        <v>54</v>
      </c>
      <c r="D61" s="54" t="s">
        <v>320</v>
      </c>
      <c r="E61" s="4" t="s">
        <v>12</v>
      </c>
      <c r="F61" s="4">
        <v>6</v>
      </c>
      <c r="G61" s="4">
        <v>2.7744000000000001E-2</v>
      </c>
      <c r="H61" s="4" t="s">
        <v>181</v>
      </c>
      <c r="I61" s="4" t="s">
        <v>3</v>
      </c>
      <c r="J61" s="4">
        <v>0</v>
      </c>
      <c r="K61" s="4">
        <v>17</v>
      </c>
      <c r="L61" s="4">
        <v>17</v>
      </c>
      <c r="M61" s="4">
        <v>14</v>
      </c>
      <c r="N61" s="4">
        <v>14</v>
      </c>
      <c r="O61" s="4">
        <v>14</v>
      </c>
      <c r="P61" s="4">
        <v>0</v>
      </c>
      <c r="Q61" s="4">
        <v>0</v>
      </c>
      <c r="R61" s="4">
        <v>14</v>
      </c>
      <c r="S61" s="4">
        <v>19</v>
      </c>
      <c r="T61" s="4">
        <v>17</v>
      </c>
      <c r="U61" s="4">
        <v>14</v>
      </c>
      <c r="V61" s="4">
        <v>14</v>
      </c>
      <c r="W61" s="4">
        <v>0</v>
      </c>
      <c r="X61" s="4">
        <v>0</v>
      </c>
      <c r="Y61" s="4">
        <v>14</v>
      </c>
      <c r="Z61" s="4">
        <v>14</v>
      </c>
      <c r="AA61" s="4">
        <v>14</v>
      </c>
      <c r="AB61" s="4">
        <v>11</v>
      </c>
      <c r="AC61" s="4">
        <v>11</v>
      </c>
      <c r="AD61" s="4">
        <v>0</v>
      </c>
      <c r="AE61" s="4">
        <v>0</v>
      </c>
      <c r="AF61" s="4">
        <v>12</v>
      </c>
      <c r="AG61" s="4">
        <v>15</v>
      </c>
      <c r="AH61" s="4">
        <v>18</v>
      </c>
      <c r="AI61" s="4">
        <v>15</v>
      </c>
      <c r="AJ61" s="4">
        <v>8</v>
      </c>
      <c r="AK61" s="4">
        <v>0</v>
      </c>
      <c r="AL61" s="4">
        <v>0</v>
      </c>
      <c r="AM61" s="4">
        <v>9</v>
      </c>
      <c r="AN61" s="4">
        <v>9</v>
      </c>
      <c r="AO61" s="4"/>
    </row>
    <row r="62" spans="1:50" ht="15" x14ac:dyDescent="0.2">
      <c r="A62" s="4"/>
      <c r="B62" s="4">
        <v>2038</v>
      </c>
      <c r="C62" s="4" t="s">
        <v>54</v>
      </c>
      <c r="D62" s="54" t="s">
        <v>321</v>
      </c>
      <c r="E62" s="4" t="s">
        <v>14</v>
      </c>
      <c r="F62" s="4">
        <v>2</v>
      </c>
      <c r="G62" s="4">
        <v>2.3120000000000002E-2</v>
      </c>
      <c r="H62" s="4" t="s">
        <v>197</v>
      </c>
      <c r="I62" s="4" t="s">
        <v>3</v>
      </c>
      <c r="J62" s="4">
        <v>0</v>
      </c>
      <c r="K62" s="4">
        <v>98</v>
      </c>
      <c r="L62" s="4">
        <v>98</v>
      </c>
      <c r="M62" s="4">
        <v>98</v>
      </c>
      <c r="N62" s="4">
        <v>98</v>
      </c>
      <c r="O62" s="4">
        <v>98</v>
      </c>
      <c r="P62" s="4">
        <v>0</v>
      </c>
      <c r="Q62" s="4">
        <v>0</v>
      </c>
      <c r="R62" s="4">
        <v>98</v>
      </c>
      <c r="S62" s="4">
        <v>103</v>
      </c>
      <c r="T62" s="4">
        <v>98</v>
      </c>
      <c r="U62" s="4">
        <v>98</v>
      </c>
      <c r="V62" s="4">
        <v>98</v>
      </c>
      <c r="W62" s="4">
        <v>0</v>
      </c>
      <c r="X62" s="4">
        <v>0</v>
      </c>
      <c r="Y62" s="4">
        <v>98</v>
      </c>
      <c r="Z62" s="4">
        <v>98</v>
      </c>
      <c r="AA62" s="4">
        <v>98</v>
      </c>
      <c r="AB62" s="4">
        <v>98</v>
      </c>
      <c r="AC62" s="4">
        <v>98</v>
      </c>
      <c r="AD62" s="4">
        <v>0</v>
      </c>
      <c r="AE62" s="4">
        <v>0</v>
      </c>
      <c r="AF62" s="4">
        <v>98</v>
      </c>
      <c r="AG62" s="4">
        <v>98</v>
      </c>
      <c r="AH62" s="4">
        <v>98</v>
      </c>
      <c r="AI62" s="4">
        <v>98</v>
      </c>
      <c r="AJ62" s="4">
        <v>98</v>
      </c>
      <c r="AK62" s="4">
        <v>0</v>
      </c>
      <c r="AL62" s="4">
        <v>0</v>
      </c>
      <c r="AM62" s="4">
        <v>98</v>
      </c>
      <c r="AN62" s="4">
        <v>98</v>
      </c>
      <c r="AO62" s="4"/>
    </row>
    <row r="63" spans="1:50" ht="15" x14ac:dyDescent="0.2">
      <c r="A63" s="4"/>
      <c r="B63" s="4">
        <v>2038</v>
      </c>
      <c r="C63" s="4" t="s">
        <v>54</v>
      </c>
      <c r="D63" s="54" t="s">
        <v>322</v>
      </c>
      <c r="E63" s="4" t="s">
        <v>63</v>
      </c>
      <c r="F63" s="4">
        <v>1</v>
      </c>
      <c r="G63" s="4">
        <v>1.6721525000000001E-2</v>
      </c>
      <c r="H63" s="4" t="s">
        <v>196</v>
      </c>
      <c r="I63" s="4" t="s">
        <v>3</v>
      </c>
      <c r="J63" s="4">
        <v>0</v>
      </c>
      <c r="K63" s="4">
        <v>135</v>
      </c>
      <c r="L63" s="4">
        <v>135</v>
      </c>
      <c r="M63" s="4">
        <v>135</v>
      </c>
      <c r="N63" s="4">
        <v>135</v>
      </c>
      <c r="O63" s="4">
        <v>135</v>
      </c>
      <c r="P63" s="4">
        <v>0</v>
      </c>
      <c r="Q63" s="4">
        <v>0</v>
      </c>
      <c r="R63" s="4">
        <v>135</v>
      </c>
      <c r="S63" s="4">
        <v>135</v>
      </c>
      <c r="T63" s="4">
        <v>135</v>
      </c>
      <c r="U63" s="4">
        <v>135</v>
      </c>
      <c r="V63" s="4">
        <v>135</v>
      </c>
      <c r="W63" s="4">
        <v>0</v>
      </c>
      <c r="X63" s="4">
        <v>0</v>
      </c>
      <c r="Y63" s="4">
        <v>135</v>
      </c>
      <c r="Z63" s="4">
        <v>135</v>
      </c>
      <c r="AA63" s="4">
        <v>135</v>
      </c>
      <c r="AB63" s="4">
        <v>135</v>
      </c>
      <c r="AC63" s="4">
        <v>135</v>
      </c>
      <c r="AD63" s="4">
        <v>0</v>
      </c>
      <c r="AE63" s="4">
        <v>0</v>
      </c>
      <c r="AF63" s="4">
        <v>135</v>
      </c>
      <c r="AG63" s="4">
        <v>135</v>
      </c>
      <c r="AH63" s="4">
        <v>135</v>
      </c>
      <c r="AI63" s="4">
        <v>135</v>
      </c>
      <c r="AJ63" s="4">
        <v>135</v>
      </c>
      <c r="AK63" s="4">
        <v>0</v>
      </c>
      <c r="AL63" s="4">
        <v>0</v>
      </c>
      <c r="AM63" s="4">
        <v>135</v>
      </c>
      <c r="AN63" s="4">
        <v>135</v>
      </c>
      <c r="AO63" s="4"/>
    </row>
    <row r="64" spans="1:50" ht="15" x14ac:dyDescent="0.2">
      <c r="A64" s="4"/>
      <c r="B64" s="4">
        <v>2038</v>
      </c>
      <c r="C64" s="4" t="s">
        <v>54</v>
      </c>
      <c r="D64" s="54" t="s">
        <v>323</v>
      </c>
      <c r="E64" s="4" t="s">
        <v>16</v>
      </c>
      <c r="F64" s="4">
        <v>2</v>
      </c>
      <c r="G64" s="4">
        <v>6.6300000000000012E-2</v>
      </c>
      <c r="H64" s="4" t="s">
        <v>230</v>
      </c>
      <c r="I64" s="4" t="s">
        <v>3</v>
      </c>
      <c r="J64" s="4">
        <v>0</v>
      </c>
      <c r="K64" s="4">
        <v>668</v>
      </c>
      <c r="L64" s="4">
        <v>664</v>
      </c>
      <c r="M64" s="4">
        <v>616</v>
      </c>
      <c r="N64" s="4">
        <v>664</v>
      </c>
      <c r="O64" s="4">
        <v>614</v>
      </c>
      <c r="P64" s="4">
        <v>0</v>
      </c>
      <c r="Q64" s="4">
        <v>0</v>
      </c>
      <c r="R64" s="4">
        <v>664</v>
      </c>
      <c r="S64" s="4">
        <v>620</v>
      </c>
      <c r="T64" s="4">
        <v>620</v>
      </c>
      <c r="U64" s="4">
        <v>668</v>
      </c>
      <c r="V64" s="4">
        <v>622</v>
      </c>
      <c r="W64" s="4">
        <v>0</v>
      </c>
      <c r="X64" s="4">
        <v>0</v>
      </c>
      <c r="Y64" s="4">
        <v>664</v>
      </c>
      <c r="Z64" s="4">
        <v>668</v>
      </c>
      <c r="AA64" s="4">
        <v>620</v>
      </c>
      <c r="AB64" s="4">
        <v>664</v>
      </c>
      <c r="AC64" s="4">
        <v>622</v>
      </c>
      <c r="AD64" s="4">
        <v>0</v>
      </c>
      <c r="AE64" s="4">
        <v>0</v>
      </c>
      <c r="AF64" s="4">
        <v>752</v>
      </c>
      <c r="AG64" s="4">
        <v>752</v>
      </c>
      <c r="AH64" s="4">
        <v>704</v>
      </c>
      <c r="AI64" s="4">
        <v>752</v>
      </c>
      <c r="AJ64" s="4">
        <v>702</v>
      </c>
      <c r="AK64" s="4">
        <v>0</v>
      </c>
      <c r="AL64" s="4">
        <v>0</v>
      </c>
      <c r="AM64" s="4">
        <v>920</v>
      </c>
      <c r="AN64" s="4">
        <v>920</v>
      </c>
      <c r="AO64" s="4"/>
    </row>
    <row r="65" spans="1:41" ht="15" x14ac:dyDescent="0.2">
      <c r="A65" s="4"/>
      <c r="B65" s="4">
        <v>2038</v>
      </c>
      <c r="C65" s="4" t="s">
        <v>54</v>
      </c>
      <c r="D65" s="54" t="s">
        <v>324</v>
      </c>
      <c r="E65" s="4" t="s">
        <v>16</v>
      </c>
      <c r="F65" s="4">
        <v>2</v>
      </c>
      <c r="G65" s="4">
        <v>5.6100000000000004E-2</v>
      </c>
      <c r="H65" s="4" t="s">
        <v>230</v>
      </c>
      <c r="I65" s="4" t="s">
        <v>3</v>
      </c>
      <c r="J65" s="4">
        <v>0</v>
      </c>
      <c r="K65" s="4">
        <v>44</v>
      </c>
      <c r="L65" s="4">
        <v>44</v>
      </c>
      <c r="M65" s="4">
        <v>40</v>
      </c>
      <c r="N65" s="4">
        <v>44</v>
      </c>
      <c r="O65" s="4">
        <v>40</v>
      </c>
      <c r="P65" s="4">
        <v>0</v>
      </c>
      <c r="Q65" s="4">
        <v>0</v>
      </c>
      <c r="R65" s="4">
        <v>44</v>
      </c>
      <c r="S65" s="4">
        <v>40</v>
      </c>
      <c r="T65" s="4">
        <v>40</v>
      </c>
      <c r="U65" s="4">
        <v>44</v>
      </c>
      <c r="V65" s="4">
        <v>40</v>
      </c>
      <c r="W65" s="4">
        <v>0</v>
      </c>
      <c r="X65" s="4">
        <v>0</v>
      </c>
      <c r="Y65" s="4">
        <v>40</v>
      </c>
      <c r="Z65" s="4">
        <v>40</v>
      </c>
      <c r="AA65" s="4">
        <v>36</v>
      </c>
      <c r="AB65" s="4">
        <v>40</v>
      </c>
      <c r="AC65" s="4">
        <v>36</v>
      </c>
      <c r="AD65" s="4">
        <v>0</v>
      </c>
      <c r="AE65" s="4">
        <v>0</v>
      </c>
      <c r="AF65" s="4">
        <v>40</v>
      </c>
      <c r="AG65" s="4">
        <v>40</v>
      </c>
      <c r="AH65" s="4">
        <v>36</v>
      </c>
      <c r="AI65" s="4">
        <v>40</v>
      </c>
      <c r="AJ65" s="4">
        <v>40</v>
      </c>
      <c r="AK65" s="4">
        <v>0</v>
      </c>
      <c r="AL65" s="4">
        <v>0</v>
      </c>
      <c r="AM65" s="4">
        <v>36</v>
      </c>
      <c r="AN65" s="4">
        <v>36</v>
      </c>
      <c r="AO65" s="4"/>
    </row>
    <row r="66" spans="1:41" ht="15" x14ac:dyDescent="0.2">
      <c r="A66" s="4"/>
      <c r="B66" s="4">
        <v>2038</v>
      </c>
      <c r="C66" s="4" t="s">
        <v>54</v>
      </c>
      <c r="D66" s="54" t="s">
        <v>325</v>
      </c>
      <c r="E66" s="4" t="s">
        <v>12</v>
      </c>
      <c r="F66" s="4">
        <v>3</v>
      </c>
      <c r="G66" s="4">
        <v>5.2019999999999997E-2</v>
      </c>
      <c r="H66" s="4" t="s">
        <v>188</v>
      </c>
      <c r="I66" s="4" t="s">
        <v>3</v>
      </c>
      <c r="J66" s="4">
        <v>0</v>
      </c>
      <c r="K66" s="4">
        <v>6</v>
      </c>
      <c r="L66" s="4">
        <v>9</v>
      </c>
      <c r="M66" s="4">
        <v>9</v>
      </c>
      <c r="N66" s="4">
        <v>12</v>
      </c>
      <c r="O66" s="4">
        <v>9</v>
      </c>
      <c r="P66" s="4">
        <v>0</v>
      </c>
      <c r="Q66" s="4">
        <v>0</v>
      </c>
      <c r="R66" s="4">
        <v>12</v>
      </c>
      <c r="S66" s="4">
        <v>9</v>
      </c>
      <c r="T66" s="4">
        <v>9</v>
      </c>
      <c r="U66" s="4">
        <v>9</v>
      </c>
      <c r="V66" s="4">
        <v>12</v>
      </c>
      <c r="W66" s="4">
        <v>0</v>
      </c>
      <c r="X66" s="4">
        <v>0</v>
      </c>
      <c r="Y66" s="4">
        <v>15</v>
      </c>
      <c r="Z66" s="4">
        <v>12</v>
      </c>
      <c r="AA66" s="4">
        <v>12</v>
      </c>
      <c r="AB66" s="4">
        <v>18</v>
      </c>
      <c r="AC66" s="4">
        <v>15</v>
      </c>
      <c r="AD66" s="4">
        <v>0</v>
      </c>
      <c r="AE66" s="4">
        <v>0</v>
      </c>
      <c r="AF66" s="4">
        <v>18</v>
      </c>
      <c r="AG66" s="4">
        <v>15</v>
      </c>
      <c r="AH66" s="4">
        <v>18</v>
      </c>
      <c r="AI66" s="4">
        <v>15</v>
      </c>
      <c r="AJ66" s="4">
        <v>21</v>
      </c>
      <c r="AK66" s="4">
        <v>0</v>
      </c>
      <c r="AL66" s="4">
        <v>0</v>
      </c>
      <c r="AM66" s="4">
        <v>24</v>
      </c>
      <c r="AN66" s="4">
        <v>24</v>
      </c>
      <c r="AO66" s="4"/>
    </row>
    <row r="67" spans="1:41" ht="15" x14ac:dyDescent="0.2">
      <c r="A67" s="4"/>
      <c r="B67" s="4">
        <v>2038</v>
      </c>
      <c r="C67" s="4" t="s">
        <v>54</v>
      </c>
      <c r="D67" s="54" t="s">
        <v>326</v>
      </c>
      <c r="E67" s="4" t="s">
        <v>12</v>
      </c>
      <c r="F67" s="4">
        <v>3</v>
      </c>
      <c r="G67" s="4">
        <v>4.9950000000000001E-2</v>
      </c>
      <c r="H67" s="4" t="s">
        <v>188</v>
      </c>
      <c r="I67" s="4" t="s">
        <v>3</v>
      </c>
      <c r="J67" s="4">
        <v>0</v>
      </c>
      <c r="K67" s="4">
        <v>3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3</v>
      </c>
      <c r="T67" s="4">
        <v>3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3</v>
      </c>
      <c r="AH67" s="4">
        <v>0</v>
      </c>
      <c r="AI67" s="4">
        <v>3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/>
    </row>
    <row r="68" spans="1:41" ht="15" x14ac:dyDescent="0.2">
      <c r="A68" s="4"/>
      <c r="B68" s="4">
        <v>2038</v>
      </c>
      <c r="C68" s="4" t="s">
        <v>54</v>
      </c>
      <c r="D68" s="54" t="s">
        <v>327</v>
      </c>
      <c r="E68" s="4" t="s">
        <v>12</v>
      </c>
      <c r="F68" s="4">
        <v>3</v>
      </c>
      <c r="G68" s="4">
        <v>5.2019999999999997E-2</v>
      </c>
      <c r="H68" s="4" t="s">
        <v>188</v>
      </c>
      <c r="I68" s="4" t="s">
        <v>3</v>
      </c>
      <c r="J68" s="4">
        <v>0</v>
      </c>
      <c r="K68" s="4">
        <v>26</v>
      </c>
      <c r="L68" s="4">
        <v>26</v>
      </c>
      <c r="M68" s="4">
        <v>26</v>
      </c>
      <c r="N68" s="4">
        <v>23</v>
      </c>
      <c r="O68" s="4">
        <v>26</v>
      </c>
      <c r="P68" s="4">
        <v>0</v>
      </c>
      <c r="Q68" s="4">
        <v>0</v>
      </c>
      <c r="R68" s="4">
        <v>23</v>
      </c>
      <c r="S68" s="4">
        <v>25</v>
      </c>
      <c r="T68" s="4">
        <v>23</v>
      </c>
      <c r="U68" s="4">
        <v>26</v>
      </c>
      <c r="V68" s="4">
        <v>23</v>
      </c>
      <c r="W68" s="4">
        <v>0</v>
      </c>
      <c r="X68" s="4">
        <v>0</v>
      </c>
      <c r="Y68" s="4">
        <v>20</v>
      </c>
      <c r="Z68" s="4">
        <v>23</v>
      </c>
      <c r="AA68" s="4">
        <v>23</v>
      </c>
      <c r="AB68" s="4">
        <v>17</v>
      </c>
      <c r="AC68" s="4">
        <v>20</v>
      </c>
      <c r="AD68" s="4">
        <v>0</v>
      </c>
      <c r="AE68" s="4">
        <v>0</v>
      </c>
      <c r="AF68" s="4">
        <v>21</v>
      </c>
      <c r="AG68" s="4">
        <v>21</v>
      </c>
      <c r="AH68" s="4">
        <v>21</v>
      </c>
      <c r="AI68" s="4">
        <v>21</v>
      </c>
      <c r="AJ68" s="4">
        <v>14</v>
      </c>
      <c r="AK68" s="4">
        <v>0</v>
      </c>
      <c r="AL68" s="4">
        <v>0</v>
      </c>
      <c r="AM68" s="4">
        <v>15</v>
      </c>
      <c r="AN68" s="4">
        <v>15</v>
      </c>
      <c r="AO68" s="4"/>
    </row>
    <row r="69" spans="1:41" ht="15" x14ac:dyDescent="0.2">
      <c r="A69" s="4"/>
      <c r="B69" s="4">
        <v>2038</v>
      </c>
      <c r="C69" s="4" t="s">
        <v>54</v>
      </c>
      <c r="D69" s="54" t="s">
        <v>328</v>
      </c>
      <c r="E69" s="4" t="s">
        <v>16</v>
      </c>
      <c r="F69" s="4">
        <v>2</v>
      </c>
      <c r="G69" s="4">
        <v>6.9360000000000005E-2</v>
      </c>
      <c r="H69" s="4" t="s">
        <v>190</v>
      </c>
      <c r="I69" s="4" t="s">
        <v>3</v>
      </c>
      <c r="J69" s="4">
        <v>0</v>
      </c>
      <c r="K69" s="4">
        <v>736</v>
      </c>
      <c r="L69" s="4">
        <v>740</v>
      </c>
      <c r="M69" s="4">
        <v>704</v>
      </c>
      <c r="N69" s="4">
        <v>740</v>
      </c>
      <c r="O69" s="4">
        <v>708</v>
      </c>
      <c r="P69" s="4">
        <v>0</v>
      </c>
      <c r="Q69" s="4">
        <v>0</v>
      </c>
      <c r="R69" s="4">
        <v>740</v>
      </c>
      <c r="S69" s="4">
        <v>700</v>
      </c>
      <c r="T69" s="4">
        <v>700</v>
      </c>
      <c r="U69" s="4">
        <v>736</v>
      </c>
      <c r="V69" s="4">
        <v>700</v>
      </c>
      <c r="W69" s="4">
        <v>0</v>
      </c>
      <c r="X69" s="4">
        <v>0</v>
      </c>
      <c r="Y69" s="4">
        <v>744</v>
      </c>
      <c r="Z69" s="4">
        <v>740</v>
      </c>
      <c r="AA69" s="4">
        <v>704</v>
      </c>
      <c r="AB69" s="4">
        <v>744</v>
      </c>
      <c r="AC69" s="4">
        <v>704</v>
      </c>
      <c r="AD69" s="4">
        <v>0</v>
      </c>
      <c r="AE69" s="4">
        <v>0</v>
      </c>
      <c r="AF69" s="4">
        <v>668</v>
      </c>
      <c r="AG69" s="4">
        <v>668</v>
      </c>
      <c r="AH69" s="4">
        <v>632</v>
      </c>
      <c r="AI69" s="4">
        <v>668</v>
      </c>
      <c r="AJ69" s="4">
        <v>632</v>
      </c>
      <c r="AK69" s="4">
        <v>0</v>
      </c>
      <c r="AL69" s="4">
        <v>0</v>
      </c>
      <c r="AM69" s="4">
        <v>516</v>
      </c>
      <c r="AN69" s="4">
        <v>516</v>
      </c>
      <c r="AO69" s="4"/>
    </row>
    <row r="70" spans="1:41" ht="15" x14ac:dyDescent="0.2">
      <c r="A70" s="4"/>
      <c r="B70" s="4">
        <v>2038</v>
      </c>
      <c r="C70" s="4" t="s">
        <v>54</v>
      </c>
      <c r="D70" s="54" t="s">
        <v>329</v>
      </c>
      <c r="E70" s="4" t="s">
        <v>16</v>
      </c>
      <c r="F70" s="4">
        <v>2</v>
      </c>
      <c r="G70" s="4">
        <v>6.9360000000000005E-2</v>
      </c>
      <c r="H70" s="4" t="s">
        <v>190</v>
      </c>
      <c r="I70" s="4" t="s">
        <v>3</v>
      </c>
      <c r="J70" s="4">
        <v>0</v>
      </c>
      <c r="K70" s="4">
        <v>76</v>
      </c>
      <c r="L70" s="4">
        <v>76</v>
      </c>
      <c r="M70" s="4">
        <v>72</v>
      </c>
      <c r="N70" s="4">
        <v>76</v>
      </c>
      <c r="O70" s="4">
        <v>72</v>
      </c>
      <c r="P70" s="4">
        <v>0</v>
      </c>
      <c r="Q70" s="4">
        <v>0</v>
      </c>
      <c r="R70" s="4">
        <v>76</v>
      </c>
      <c r="S70" s="4">
        <v>72</v>
      </c>
      <c r="T70" s="4">
        <v>72</v>
      </c>
      <c r="U70" s="4">
        <v>76</v>
      </c>
      <c r="V70" s="4">
        <v>72</v>
      </c>
      <c r="W70" s="4">
        <v>0</v>
      </c>
      <c r="X70" s="4">
        <v>0</v>
      </c>
      <c r="Y70" s="4">
        <v>76</v>
      </c>
      <c r="Z70" s="4">
        <v>76</v>
      </c>
      <c r="AA70" s="4">
        <v>72</v>
      </c>
      <c r="AB70" s="4">
        <v>76</v>
      </c>
      <c r="AC70" s="4">
        <v>72</v>
      </c>
      <c r="AD70" s="4">
        <v>0</v>
      </c>
      <c r="AE70" s="4">
        <v>0</v>
      </c>
      <c r="AF70" s="4">
        <v>64</v>
      </c>
      <c r="AG70" s="4">
        <v>64</v>
      </c>
      <c r="AH70" s="4">
        <v>60</v>
      </c>
      <c r="AI70" s="4">
        <v>64</v>
      </c>
      <c r="AJ70" s="4">
        <v>60</v>
      </c>
      <c r="AK70" s="4">
        <v>0</v>
      </c>
      <c r="AL70" s="4">
        <v>0</v>
      </c>
      <c r="AM70" s="4">
        <v>52</v>
      </c>
      <c r="AN70" s="4">
        <v>52</v>
      </c>
      <c r="AO70" s="4"/>
    </row>
    <row r="71" spans="1:41" ht="15" x14ac:dyDescent="0.2">
      <c r="A71" s="4"/>
      <c r="B71" s="4">
        <v>2038</v>
      </c>
      <c r="C71" s="4" t="s">
        <v>54</v>
      </c>
      <c r="D71" s="54" t="s">
        <v>330</v>
      </c>
      <c r="E71" s="4" t="s">
        <v>63</v>
      </c>
      <c r="F71" s="4">
        <v>1</v>
      </c>
      <c r="G71" s="4">
        <v>2.8900000000000002E-2</v>
      </c>
      <c r="H71" s="4" t="s">
        <v>235</v>
      </c>
      <c r="I71" s="4" t="s">
        <v>3</v>
      </c>
      <c r="J71" s="4">
        <v>0</v>
      </c>
      <c r="K71" s="4">
        <v>114</v>
      </c>
      <c r="L71" s="4">
        <v>114</v>
      </c>
      <c r="M71" s="4">
        <v>108</v>
      </c>
      <c r="N71" s="4">
        <v>120</v>
      </c>
      <c r="O71" s="4">
        <v>108</v>
      </c>
      <c r="P71" s="4">
        <v>0</v>
      </c>
      <c r="Q71" s="4">
        <v>0</v>
      </c>
      <c r="R71" s="4">
        <v>108</v>
      </c>
      <c r="S71" s="4">
        <v>114</v>
      </c>
      <c r="T71" s="4">
        <v>126</v>
      </c>
      <c r="U71" s="4">
        <v>132</v>
      </c>
      <c r="V71" s="4">
        <v>126</v>
      </c>
      <c r="W71" s="4">
        <v>0</v>
      </c>
      <c r="X71" s="4">
        <v>0</v>
      </c>
      <c r="Y71" s="4">
        <v>132</v>
      </c>
      <c r="Z71" s="4">
        <v>132</v>
      </c>
      <c r="AA71" s="4">
        <v>120</v>
      </c>
      <c r="AB71" s="4">
        <v>126</v>
      </c>
      <c r="AC71" s="4">
        <v>108</v>
      </c>
      <c r="AD71" s="4">
        <v>0</v>
      </c>
      <c r="AE71" s="4">
        <v>0</v>
      </c>
      <c r="AF71" s="4">
        <v>120</v>
      </c>
      <c r="AG71" s="4">
        <v>120</v>
      </c>
      <c r="AH71" s="4">
        <v>114</v>
      </c>
      <c r="AI71" s="4">
        <v>120</v>
      </c>
      <c r="AJ71" s="4">
        <v>120</v>
      </c>
      <c r="AK71" s="4">
        <v>0</v>
      </c>
      <c r="AL71" s="4">
        <v>0</v>
      </c>
      <c r="AM71" s="4">
        <v>126</v>
      </c>
      <c r="AN71" s="4">
        <v>126</v>
      </c>
      <c r="AO71" s="4"/>
    </row>
    <row r="72" spans="1:41" ht="15" x14ac:dyDescent="0.2">
      <c r="A72" s="4"/>
      <c r="B72" s="4">
        <v>2038</v>
      </c>
      <c r="C72" s="4" t="s">
        <v>54</v>
      </c>
      <c r="D72" s="54" t="s">
        <v>331</v>
      </c>
      <c r="E72" s="4" t="s">
        <v>16</v>
      </c>
      <c r="F72" s="4">
        <v>30</v>
      </c>
      <c r="G72" s="4">
        <v>0.38556000000000001</v>
      </c>
      <c r="H72" s="4" t="s">
        <v>239</v>
      </c>
      <c r="I72" s="4" t="s">
        <v>3</v>
      </c>
      <c r="J72" s="4">
        <v>0</v>
      </c>
      <c r="K72" s="4">
        <v>44</v>
      </c>
      <c r="L72" s="4">
        <v>44</v>
      </c>
      <c r="M72" s="4">
        <v>40</v>
      </c>
      <c r="N72" s="4">
        <v>44</v>
      </c>
      <c r="O72" s="4">
        <v>40</v>
      </c>
      <c r="P72" s="4">
        <v>0</v>
      </c>
      <c r="Q72" s="4">
        <v>0</v>
      </c>
      <c r="R72" s="4">
        <v>44</v>
      </c>
      <c r="S72" s="4">
        <v>40</v>
      </c>
      <c r="T72" s="4">
        <v>40</v>
      </c>
      <c r="U72" s="4">
        <v>44</v>
      </c>
      <c r="V72" s="4">
        <v>40</v>
      </c>
      <c r="W72" s="4">
        <v>0</v>
      </c>
      <c r="X72" s="4">
        <v>0</v>
      </c>
      <c r="Y72" s="4">
        <v>40</v>
      </c>
      <c r="Z72" s="4">
        <v>40</v>
      </c>
      <c r="AA72" s="4">
        <v>36</v>
      </c>
      <c r="AB72" s="4">
        <v>40</v>
      </c>
      <c r="AC72" s="4">
        <v>36</v>
      </c>
      <c r="AD72" s="4">
        <v>0</v>
      </c>
      <c r="AE72" s="4">
        <v>0</v>
      </c>
      <c r="AF72" s="4">
        <v>40</v>
      </c>
      <c r="AG72" s="4">
        <v>40</v>
      </c>
      <c r="AH72" s="4">
        <v>36</v>
      </c>
      <c r="AI72" s="4">
        <v>40</v>
      </c>
      <c r="AJ72" s="4">
        <v>40</v>
      </c>
      <c r="AK72" s="4">
        <v>0</v>
      </c>
      <c r="AL72" s="4">
        <v>0</v>
      </c>
      <c r="AM72" s="4">
        <v>36</v>
      </c>
      <c r="AN72" s="4">
        <v>36</v>
      </c>
      <c r="AO72" s="4"/>
    </row>
    <row r="73" spans="1:41" ht="15" x14ac:dyDescent="0.2">
      <c r="A73" s="4"/>
      <c r="B73" s="4">
        <v>2038</v>
      </c>
      <c r="C73" s="4" t="s">
        <v>54</v>
      </c>
      <c r="D73" s="54" t="s">
        <v>332</v>
      </c>
      <c r="E73" s="4" t="s">
        <v>16</v>
      </c>
      <c r="F73" s="4">
        <v>30</v>
      </c>
      <c r="G73" s="4">
        <v>0.38556000000000001</v>
      </c>
      <c r="H73" s="4" t="s">
        <v>239</v>
      </c>
      <c r="I73" s="4" t="s">
        <v>3</v>
      </c>
      <c r="J73" s="4">
        <v>0</v>
      </c>
      <c r="K73" s="4">
        <v>1480</v>
      </c>
      <c r="L73" s="4">
        <v>1480</v>
      </c>
      <c r="M73" s="4">
        <v>1392</v>
      </c>
      <c r="N73" s="4">
        <v>1480</v>
      </c>
      <c r="O73" s="4">
        <v>1394</v>
      </c>
      <c r="P73" s="4">
        <v>0</v>
      </c>
      <c r="Q73" s="4">
        <v>0</v>
      </c>
      <c r="R73" s="4">
        <v>1480</v>
      </c>
      <c r="S73" s="4">
        <v>1392</v>
      </c>
      <c r="T73" s="4">
        <v>1392</v>
      </c>
      <c r="U73" s="4">
        <v>1480</v>
      </c>
      <c r="V73" s="4">
        <v>1394</v>
      </c>
      <c r="W73" s="4">
        <v>0</v>
      </c>
      <c r="X73" s="4">
        <v>0</v>
      </c>
      <c r="Y73" s="4">
        <v>1484</v>
      </c>
      <c r="Z73" s="4">
        <v>1484</v>
      </c>
      <c r="AA73" s="4">
        <v>1396</v>
      </c>
      <c r="AB73" s="4">
        <v>1484</v>
      </c>
      <c r="AC73" s="4">
        <v>1398</v>
      </c>
      <c r="AD73" s="4">
        <v>0</v>
      </c>
      <c r="AE73" s="4">
        <v>0</v>
      </c>
      <c r="AF73" s="4">
        <v>1484</v>
      </c>
      <c r="AG73" s="4">
        <v>1484</v>
      </c>
      <c r="AH73" s="4">
        <v>1396</v>
      </c>
      <c r="AI73" s="4">
        <v>1484</v>
      </c>
      <c r="AJ73" s="4">
        <v>1394</v>
      </c>
      <c r="AK73" s="4">
        <v>0</v>
      </c>
      <c r="AL73" s="4">
        <v>0</v>
      </c>
      <c r="AM73" s="4">
        <v>1488</v>
      </c>
      <c r="AN73" s="4">
        <v>1488</v>
      </c>
      <c r="AO73" s="4"/>
    </row>
    <row r="74" spans="1:41" ht="15" x14ac:dyDescent="0.2">
      <c r="A74" s="4"/>
      <c r="B74" s="4">
        <v>2038</v>
      </c>
      <c r="C74" s="4" t="s">
        <v>54</v>
      </c>
      <c r="D74" s="54" t="s">
        <v>333</v>
      </c>
      <c r="E74" s="4" t="s">
        <v>14</v>
      </c>
      <c r="F74" s="4">
        <v>7</v>
      </c>
      <c r="G74" s="4">
        <v>2.8900000000000002E-2</v>
      </c>
      <c r="H74" s="4" t="s">
        <v>235</v>
      </c>
      <c r="I74" s="4" t="s">
        <v>3</v>
      </c>
      <c r="J74" s="4">
        <v>0</v>
      </c>
      <c r="K74" s="4">
        <v>159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146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123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135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140</v>
      </c>
      <c r="AN74" s="4">
        <v>0</v>
      </c>
      <c r="AO74" s="4"/>
    </row>
    <row r="75" spans="1:41" ht="15" x14ac:dyDescent="0.2">
      <c r="A75" s="4"/>
      <c r="B75" s="4">
        <v>2038</v>
      </c>
      <c r="C75" s="4" t="s">
        <v>54</v>
      </c>
      <c r="D75" s="54" t="s">
        <v>334</v>
      </c>
      <c r="E75" s="4" t="s">
        <v>13</v>
      </c>
      <c r="F75" s="4">
        <v>2</v>
      </c>
      <c r="G75" s="4">
        <v>2.8900000000000002E-2</v>
      </c>
      <c r="H75" s="4" t="s">
        <v>235</v>
      </c>
      <c r="I75" s="4" t="s">
        <v>3</v>
      </c>
      <c r="J75" s="4">
        <v>0</v>
      </c>
      <c r="K75" s="4">
        <v>33</v>
      </c>
      <c r="L75" s="4">
        <v>33</v>
      </c>
      <c r="M75" s="4">
        <v>32</v>
      </c>
      <c r="N75" s="4">
        <v>32</v>
      </c>
      <c r="O75" s="4">
        <v>32</v>
      </c>
      <c r="P75" s="4">
        <v>0</v>
      </c>
      <c r="Q75" s="4">
        <v>0</v>
      </c>
      <c r="R75" s="4">
        <v>32</v>
      </c>
      <c r="S75" s="4">
        <v>33</v>
      </c>
      <c r="T75" s="4">
        <v>32</v>
      </c>
      <c r="U75" s="4">
        <v>32</v>
      </c>
      <c r="V75" s="4">
        <v>32</v>
      </c>
      <c r="W75" s="4">
        <v>0</v>
      </c>
      <c r="X75" s="4">
        <v>0</v>
      </c>
      <c r="Y75" s="4">
        <v>32</v>
      </c>
      <c r="Z75" s="4">
        <v>32</v>
      </c>
      <c r="AA75" s="4">
        <v>32</v>
      </c>
      <c r="AB75" s="4">
        <v>32</v>
      </c>
      <c r="AC75" s="4">
        <v>32</v>
      </c>
      <c r="AD75" s="4">
        <v>0</v>
      </c>
      <c r="AE75" s="4">
        <v>0</v>
      </c>
      <c r="AF75" s="4">
        <v>32</v>
      </c>
      <c r="AG75" s="4">
        <v>32</v>
      </c>
      <c r="AH75" s="4">
        <v>32</v>
      </c>
      <c r="AI75" s="4">
        <v>32</v>
      </c>
      <c r="AJ75" s="4">
        <v>33</v>
      </c>
      <c r="AK75" s="4">
        <v>0</v>
      </c>
      <c r="AL75" s="4">
        <v>0</v>
      </c>
      <c r="AM75" s="4">
        <v>32</v>
      </c>
      <c r="AN75" s="4">
        <v>31</v>
      </c>
      <c r="AO75" s="4"/>
    </row>
    <row r="76" spans="1:41" ht="15" x14ac:dyDescent="0.2">
      <c r="A76" s="4"/>
      <c r="B76" s="4">
        <v>2038</v>
      </c>
      <c r="C76" s="4" t="s">
        <v>54</v>
      </c>
      <c r="D76" s="54" t="s">
        <v>335</v>
      </c>
      <c r="E76" s="4" t="s">
        <v>18</v>
      </c>
      <c r="F76" s="4">
        <v>15</v>
      </c>
      <c r="G76" s="4">
        <v>1.6750000000000001E-2</v>
      </c>
      <c r="H76" s="4" t="s">
        <v>202</v>
      </c>
      <c r="I76" s="4" t="s">
        <v>3</v>
      </c>
      <c r="J76" s="4">
        <v>0</v>
      </c>
      <c r="K76" s="4">
        <v>1524</v>
      </c>
      <c r="L76" s="4">
        <v>1524</v>
      </c>
      <c r="M76" s="4">
        <v>1432</v>
      </c>
      <c r="N76" s="4">
        <v>1524</v>
      </c>
      <c r="O76" s="4">
        <v>1434</v>
      </c>
      <c r="P76" s="4">
        <v>0</v>
      </c>
      <c r="Q76" s="4">
        <v>0</v>
      </c>
      <c r="R76" s="4">
        <v>1524</v>
      </c>
      <c r="S76" s="4">
        <v>1432</v>
      </c>
      <c r="T76" s="4">
        <v>1432</v>
      </c>
      <c r="U76" s="4">
        <v>1524</v>
      </c>
      <c r="V76" s="4">
        <v>1434</v>
      </c>
      <c r="W76" s="4">
        <v>0</v>
      </c>
      <c r="X76" s="4">
        <v>0</v>
      </c>
      <c r="Y76" s="4">
        <v>1524</v>
      </c>
      <c r="Z76" s="4">
        <v>1524</v>
      </c>
      <c r="AA76" s="4">
        <v>1432</v>
      </c>
      <c r="AB76" s="4">
        <v>1524</v>
      </c>
      <c r="AC76" s="4">
        <v>1434</v>
      </c>
      <c r="AD76" s="4">
        <v>0</v>
      </c>
      <c r="AE76" s="4">
        <v>0</v>
      </c>
      <c r="AF76" s="4">
        <v>1524</v>
      </c>
      <c r="AG76" s="4">
        <v>1524</v>
      </c>
      <c r="AH76" s="4">
        <v>1432</v>
      </c>
      <c r="AI76" s="4">
        <v>1524</v>
      </c>
      <c r="AJ76" s="4">
        <v>1434</v>
      </c>
      <c r="AK76" s="4">
        <v>0</v>
      </c>
      <c r="AL76" s="4">
        <v>0</v>
      </c>
      <c r="AM76" s="4">
        <v>1524</v>
      </c>
      <c r="AN76" s="4">
        <v>1524</v>
      </c>
      <c r="AO76" s="4"/>
    </row>
    <row r="77" spans="1:41" ht="15" x14ac:dyDescent="0.2">
      <c r="A77" s="4"/>
      <c r="B77" s="4">
        <v>2038</v>
      </c>
      <c r="C77" s="4" t="s">
        <v>54</v>
      </c>
      <c r="D77" s="54" t="s">
        <v>336</v>
      </c>
      <c r="E77" s="4" t="s">
        <v>17</v>
      </c>
      <c r="F77" s="4">
        <v>4</v>
      </c>
      <c r="G77" s="4">
        <v>1.6833750000000001E-2</v>
      </c>
      <c r="H77" s="4" t="s">
        <v>196</v>
      </c>
      <c r="I77" s="4" t="s">
        <v>3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/>
    </row>
    <row r="78" spans="1:41" ht="15" x14ac:dyDescent="0.2">
      <c r="A78" s="4"/>
      <c r="B78" s="4">
        <v>2038</v>
      </c>
      <c r="C78" s="4" t="s">
        <v>54</v>
      </c>
      <c r="D78" s="54" t="s">
        <v>337</v>
      </c>
      <c r="E78" s="4" t="s">
        <v>17</v>
      </c>
      <c r="F78" s="4">
        <v>4</v>
      </c>
      <c r="G78" s="4">
        <v>1.6833750000000001E-2</v>
      </c>
      <c r="H78" s="4" t="s">
        <v>196</v>
      </c>
      <c r="I78" s="4" t="s">
        <v>3</v>
      </c>
      <c r="J78" s="4">
        <v>0</v>
      </c>
      <c r="K78" s="4">
        <v>0</v>
      </c>
      <c r="L78" s="4">
        <v>0</v>
      </c>
      <c r="M78" s="4">
        <v>144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188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188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/>
    </row>
    <row r="79" spans="1:41" ht="15" x14ac:dyDescent="0.2">
      <c r="A79" s="4"/>
      <c r="B79" s="4">
        <v>2038</v>
      </c>
      <c r="C79" s="4" t="s">
        <v>54</v>
      </c>
      <c r="D79" s="54" t="s">
        <v>338</v>
      </c>
      <c r="E79" s="4" t="s">
        <v>17</v>
      </c>
      <c r="F79" s="4">
        <v>8</v>
      </c>
      <c r="G79" s="4">
        <v>1.1559175E-2</v>
      </c>
      <c r="H79" s="4" t="s">
        <v>233</v>
      </c>
      <c r="I79" s="4" t="s">
        <v>3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200</v>
      </c>
      <c r="AA79" s="4">
        <v>176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/>
    </row>
    <row r="80" spans="1:41" ht="15" x14ac:dyDescent="0.2">
      <c r="A80" s="4"/>
      <c r="B80" s="4">
        <v>2038</v>
      </c>
      <c r="C80" s="4" t="s">
        <v>54</v>
      </c>
      <c r="D80" s="54" t="s">
        <v>339</v>
      </c>
      <c r="E80" s="4" t="s">
        <v>17</v>
      </c>
      <c r="F80" s="4">
        <v>10</v>
      </c>
      <c r="G80" s="4">
        <v>1.12225E-2</v>
      </c>
      <c r="H80" s="4" t="s">
        <v>233</v>
      </c>
      <c r="I80" s="4" t="s">
        <v>3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192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192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/>
    </row>
    <row r="81" spans="1:41" ht="15" x14ac:dyDescent="0.2">
      <c r="A81" s="4"/>
      <c r="B81" s="4">
        <v>2038</v>
      </c>
      <c r="C81" s="4" t="s">
        <v>54</v>
      </c>
      <c r="D81" s="54" t="s">
        <v>340</v>
      </c>
      <c r="E81" s="4" t="s">
        <v>17</v>
      </c>
      <c r="F81" s="4">
        <v>5</v>
      </c>
      <c r="G81" s="4">
        <v>1.2716000000000002E-2</v>
      </c>
      <c r="H81" s="4" t="s">
        <v>233</v>
      </c>
      <c r="I81" s="4" t="s">
        <v>3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170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170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/>
    </row>
    <row r="82" spans="1:41" ht="15" x14ac:dyDescent="0.2">
      <c r="A82" s="4"/>
      <c r="B82" s="4">
        <v>2038</v>
      </c>
      <c r="C82" s="4" t="s">
        <v>54</v>
      </c>
      <c r="D82" s="54" t="s">
        <v>341</v>
      </c>
      <c r="E82" s="4" t="s">
        <v>17</v>
      </c>
      <c r="F82" s="4">
        <v>5</v>
      </c>
      <c r="G82" s="4">
        <v>0</v>
      </c>
      <c r="H82" s="4">
        <v>0</v>
      </c>
      <c r="I82" s="4" t="s">
        <v>3</v>
      </c>
      <c r="J82" s="4">
        <v>0</v>
      </c>
      <c r="K82" s="4">
        <v>170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/>
    </row>
    <row r="83" spans="1:41" ht="15" x14ac:dyDescent="0.2">
      <c r="A83" s="4"/>
      <c r="B83" s="4">
        <v>2038</v>
      </c>
      <c r="C83" s="4" t="s">
        <v>54</v>
      </c>
      <c r="D83" s="54" t="s">
        <v>342</v>
      </c>
      <c r="E83" s="4" t="s">
        <v>18</v>
      </c>
      <c r="F83" s="4">
        <v>8</v>
      </c>
      <c r="G83" s="4">
        <v>1.12225E-2</v>
      </c>
      <c r="H83" s="4" t="s">
        <v>233</v>
      </c>
      <c r="I83" s="4" t="s">
        <v>3</v>
      </c>
      <c r="J83" s="4">
        <v>0</v>
      </c>
      <c r="K83" s="4">
        <v>224</v>
      </c>
      <c r="L83" s="4">
        <v>224</v>
      </c>
      <c r="M83" s="4">
        <v>204</v>
      </c>
      <c r="N83" s="4">
        <v>224</v>
      </c>
      <c r="O83" s="4">
        <v>204</v>
      </c>
      <c r="P83" s="4">
        <v>0</v>
      </c>
      <c r="Q83" s="4">
        <v>0</v>
      </c>
      <c r="R83" s="4">
        <v>224</v>
      </c>
      <c r="S83" s="4">
        <v>204</v>
      </c>
      <c r="T83" s="4">
        <v>204</v>
      </c>
      <c r="U83" s="4">
        <v>224</v>
      </c>
      <c r="V83" s="4">
        <v>208</v>
      </c>
      <c r="W83" s="4">
        <v>0</v>
      </c>
      <c r="X83" s="4">
        <v>0</v>
      </c>
      <c r="Y83" s="4">
        <v>224</v>
      </c>
      <c r="Z83" s="4">
        <v>224</v>
      </c>
      <c r="AA83" s="4">
        <v>204</v>
      </c>
      <c r="AB83" s="4">
        <v>224</v>
      </c>
      <c r="AC83" s="4">
        <v>208</v>
      </c>
      <c r="AD83" s="4">
        <v>0</v>
      </c>
      <c r="AE83" s="4">
        <v>0</v>
      </c>
      <c r="AF83" s="4">
        <v>324</v>
      </c>
      <c r="AG83" s="4">
        <v>324</v>
      </c>
      <c r="AH83" s="4">
        <v>304</v>
      </c>
      <c r="AI83" s="4">
        <v>320</v>
      </c>
      <c r="AJ83" s="4">
        <v>300</v>
      </c>
      <c r="AK83" s="4">
        <v>0</v>
      </c>
      <c r="AL83" s="4">
        <v>0</v>
      </c>
      <c r="AM83" s="4">
        <v>548</v>
      </c>
      <c r="AN83" s="4">
        <v>548</v>
      </c>
      <c r="AO83" s="4"/>
    </row>
    <row r="84" spans="1:41" ht="15" x14ac:dyDescent="0.2">
      <c r="A84" s="4"/>
      <c r="B84" s="4">
        <v>2038</v>
      </c>
      <c r="C84" s="4" t="s">
        <v>54</v>
      </c>
      <c r="D84" s="54" t="s">
        <v>343</v>
      </c>
      <c r="E84" s="4" t="s">
        <v>18</v>
      </c>
      <c r="F84" s="4">
        <v>8</v>
      </c>
      <c r="G84" s="4">
        <v>1.12225E-2</v>
      </c>
      <c r="H84" s="4" t="s">
        <v>233</v>
      </c>
      <c r="I84" s="4" t="s">
        <v>3</v>
      </c>
      <c r="J84" s="4">
        <v>0</v>
      </c>
      <c r="K84" s="4">
        <v>416</v>
      </c>
      <c r="L84" s="4">
        <v>416</v>
      </c>
      <c r="M84" s="4">
        <v>392</v>
      </c>
      <c r="N84" s="4">
        <v>416</v>
      </c>
      <c r="O84" s="4">
        <v>390</v>
      </c>
      <c r="P84" s="4">
        <v>0</v>
      </c>
      <c r="Q84" s="4">
        <v>0</v>
      </c>
      <c r="R84" s="4">
        <v>416</v>
      </c>
      <c r="S84" s="4">
        <v>392</v>
      </c>
      <c r="T84" s="4">
        <v>392</v>
      </c>
      <c r="U84" s="4">
        <v>416</v>
      </c>
      <c r="V84" s="4">
        <v>390</v>
      </c>
      <c r="W84" s="4">
        <v>0</v>
      </c>
      <c r="X84" s="4">
        <v>0</v>
      </c>
      <c r="Y84" s="4">
        <v>416</v>
      </c>
      <c r="Z84" s="4">
        <v>416</v>
      </c>
      <c r="AA84" s="4">
        <v>392</v>
      </c>
      <c r="AB84" s="4">
        <v>416</v>
      </c>
      <c r="AC84" s="4">
        <v>394</v>
      </c>
      <c r="AD84" s="4">
        <v>0</v>
      </c>
      <c r="AE84" s="4">
        <v>0</v>
      </c>
      <c r="AF84" s="4">
        <v>400</v>
      </c>
      <c r="AG84" s="4">
        <v>404</v>
      </c>
      <c r="AH84" s="4">
        <v>376</v>
      </c>
      <c r="AI84" s="4">
        <v>408</v>
      </c>
      <c r="AJ84" s="4">
        <v>378</v>
      </c>
      <c r="AK84" s="4">
        <v>0</v>
      </c>
      <c r="AL84" s="4">
        <v>0</v>
      </c>
      <c r="AM84" s="4">
        <v>344</v>
      </c>
      <c r="AN84" s="4">
        <v>348</v>
      </c>
      <c r="AO84" s="4"/>
    </row>
    <row r="85" spans="1:41" ht="15" x14ac:dyDescent="0.2">
      <c r="A85" s="4"/>
      <c r="B85" s="4">
        <v>2038</v>
      </c>
      <c r="C85" s="4" t="s">
        <v>54</v>
      </c>
      <c r="D85" s="54" t="s">
        <v>344</v>
      </c>
      <c r="E85" s="4" t="s">
        <v>18</v>
      </c>
      <c r="F85" s="4">
        <v>8</v>
      </c>
      <c r="G85" s="4">
        <v>1.12225E-2</v>
      </c>
      <c r="H85" s="4" t="s">
        <v>233</v>
      </c>
      <c r="I85" s="4" t="s">
        <v>3</v>
      </c>
      <c r="J85" s="4">
        <v>0</v>
      </c>
      <c r="K85" s="4">
        <v>72</v>
      </c>
      <c r="L85" s="4">
        <v>68</v>
      </c>
      <c r="M85" s="4">
        <v>60</v>
      </c>
      <c r="N85" s="4">
        <v>68</v>
      </c>
      <c r="O85" s="4">
        <v>60</v>
      </c>
      <c r="P85" s="4">
        <v>0</v>
      </c>
      <c r="Q85" s="4">
        <v>0</v>
      </c>
      <c r="R85" s="4">
        <v>68</v>
      </c>
      <c r="S85" s="4">
        <v>64</v>
      </c>
      <c r="T85" s="4">
        <v>64</v>
      </c>
      <c r="U85" s="4">
        <v>72</v>
      </c>
      <c r="V85" s="4">
        <v>64</v>
      </c>
      <c r="W85" s="4">
        <v>0</v>
      </c>
      <c r="X85" s="4">
        <v>0</v>
      </c>
      <c r="Y85" s="4">
        <v>64</v>
      </c>
      <c r="Z85" s="4">
        <v>68</v>
      </c>
      <c r="AA85" s="4">
        <v>60</v>
      </c>
      <c r="AB85" s="4">
        <v>64</v>
      </c>
      <c r="AC85" s="4">
        <v>56</v>
      </c>
      <c r="AD85" s="4">
        <v>0</v>
      </c>
      <c r="AE85" s="4">
        <v>0</v>
      </c>
      <c r="AF85" s="4">
        <v>68</v>
      </c>
      <c r="AG85" s="4">
        <v>64</v>
      </c>
      <c r="AH85" s="4">
        <v>60</v>
      </c>
      <c r="AI85" s="4">
        <v>64</v>
      </c>
      <c r="AJ85" s="4">
        <v>64</v>
      </c>
      <c r="AK85" s="4">
        <v>0</v>
      </c>
      <c r="AL85" s="4">
        <v>0</v>
      </c>
      <c r="AM85" s="4">
        <v>64</v>
      </c>
      <c r="AN85" s="4">
        <v>60</v>
      </c>
      <c r="AO85" s="4"/>
    </row>
    <row r="86" spans="1:41" ht="15" x14ac:dyDescent="0.2">
      <c r="A86" s="4"/>
      <c r="B86" s="4">
        <v>2038</v>
      </c>
      <c r="C86" s="4" t="s">
        <v>54</v>
      </c>
      <c r="D86" s="54" t="s">
        <v>345</v>
      </c>
      <c r="E86" s="4" t="s">
        <v>62</v>
      </c>
      <c r="F86" s="4">
        <v>8</v>
      </c>
      <c r="G86" s="4">
        <v>2.7046225E-2</v>
      </c>
      <c r="H86" s="4" t="s">
        <v>235</v>
      </c>
      <c r="I86" s="4" t="s">
        <v>3</v>
      </c>
      <c r="J86" s="4">
        <v>0</v>
      </c>
      <c r="K86" s="4">
        <v>0</v>
      </c>
      <c r="L86" s="4">
        <v>216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216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216</v>
      </c>
      <c r="AG86" s="4">
        <v>0</v>
      </c>
      <c r="AH86" s="4">
        <v>0</v>
      </c>
      <c r="AI86" s="4">
        <v>216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/>
    </row>
    <row r="87" spans="1:41" ht="15" x14ac:dyDescent="0.2">
      <c r="A87" s="4"/>
      <c r="B87" s="4">
        <v>2038</v>
      </c>
      <c r="C87" s="4" t="s">
        <v>54</v>
      </c>
      <c r="D87" s="54" t="s">
        <v>346</v>
      </c>
      <c r="E87" s="4" t="s">
        <v>62</v>
      </c>
      <c r="F87" s="4">
        <v>8</v>
      </c>
      <c r="G87" s="4">
        <v>2.7046225E-2</v>
      </c>
      <c r="H87" s="4" t="s">
        <v>235</v>
      </c>
      <c r="I87" s="4" t="s">
        <v>3</v>
      </c>
      <c r="J87" s="4">
        <v>0</v>
      </c>
      <c r="K87" s="4">
        <v>432</v>
      </c>
      <c r="L87" s="4">
        <v>216</v>
      </c>
      <c r="M87" s="4">
        <v>432</v>
      </c>
      <c r="N87" s="4">
        <v>216</v>
      </c>
      <c r="O87" s="4">
        <v>216</v>
      </c>
      <c r="P87" s="4">
        <v>0</v>
      </c>
      <c r="Q87" s="4">
        <v>0</v>
      </c>
      <c r="R87" s="4">
        <v>432</v>
      </c>
      <c r="S87" s="4">
        <v>216</v>
      </c>
      <c r="T87" s="4">
        <v>432</v>
      </c>
      <c r="U87" s="4">
        <v>216</v>
      </c>
      <c r="V87" s="4">
        <v>432</v>
      </c>
      <c r="W87" s="4">
        <v>0</v>
      </c>
      <c r="X87" s="4">
        <v>0</v>
      </c>
      <c r="Y87" s="4">
        <v>432</v>
      </c>
      <c r="Z87" s="4">
        <v>432</v>
      </c>
      <c r="AA87" s="4">
        <v>432</v>
      </c>
      <c r="AB87" s="4">
        <v>432</v>
      </c>
      <c r="AC87" s="4">
        <v>432</v>
      </c>
      <c r="AD87" s="4">
        <v>0</v>
      </c>
      <c r="AE87" s="4">
        <v>0</v>
      </c>
      <c r="AF87" s="4">
        <v>432</v>
      </c>
      <c r="AG87" s="4">
        <v>432</v>
      </c>
      <c r="AH87" s="4">
        <v>432</v>
      </c>
      <c r="AI87" s="4">
        <v>432</v>
      </c>
      <c r="AJ87" s="4">
        <v>432</v>
      </c>
      <c r="AK87" s="4">
        <v>0</v>
      </c>
      <c r="AL87" s="4">
        <v>0</v>
      </c>
      <c r="AM87" s="4">
        <v>432</v>
      </c>
      <c r="AN87" s="4">
        <v>648</v>
      </c>
      <c r="AO87" s="4"/>
    </row>
    <row r="88" spans="1:41" ht="15" x14ac:dyDescent="0.2">
      <c r="A88" s="4"/>
      <c r="B88" s="4">
        <v>2038</v>
      </c>
      <c r="C88" s="4" t="s">
        <v>54</v>
      </c>
      <c r="D88" s="54" t="s">
        <v>347</v>
      </c>
      <c r="E88" s="4" t="s">
        <v>62</v>
      </c>
      <c r="F88" s="4">
        <v>8</v>
      </c>
      <c r="G88" s="4">
        <v>2.8900000000000002E-2</v>
      </c>
      <c r="H88" s="4" t="s">
        <v>235</v>
      </c>
      <c r="I88" s="4" t="s">
        <v>3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/>
    </row>
    <row r="89" spans="1:41" ht="15" x14ac:dyDescent="0.2">
      <c r="A89" s="4"/>
      <c r="B89" s="4">
        <v>2038</v>
      </c>
      <c r="C89" s="4" t="s">
        <v>54</v>
      </c>
      <c r="D89" s="54" t="s">
        <v>348</v>
      </c>
      <c r="E89" s="4" t="s">
        <v>62</v>
      </c>
      <c r="F89" s="4">
        <v>6</v>
      </c>
      <c r="G89" s="4">
        <v>2.7046225E-2</v>
      </c>
      <c r="H89" s="4" t="s">
        <v>235</v>
      </c>
      <c r="I89" s="4" t="s">
        <v>3</v>
      </c>
      <c r="J89" s="4">
        <v>0</v>
      </c>
      <c r="K89" s="4">
        <v>162</v>
      </c>
      <c r="L89" s="4">
        <v>162</v>
      </c>
      <c r="M89" s="4">
        <v>162</v>
      </c>
      <c r="N89" s="4">
        <v>162</v>
      </c>
      <c r="O89" s="4">
        <v>0</v>
      </c>
      <c r="P89" s="4">
        <v>0</v>
      </c>
      <c r="Q89" s="4">
        <v>0</v>
      </c>
      <c r="R89" s="4">
        <v>162</v>
      </c>
      <c r="S89" s="4">
        <v>162</v>
      </c>
      <c r="T89" s="4">
        <v>162</v>
      </c>
      <c r="U89" s="4">
        <v>162</v>
      </c>
      <c r="V89" s="4">
        <v>162</v>
      </c>
      <c r="W89" s="4">
        <v>0</v>
      </c>
      <c r="X89" s="4">
        <v>0</v>
      </c>
      <c r="Y89" s="4">
        <v>162</v>
      </c>
      <c r="Z89" s="4">
        <v>162</v>
      </c>
      <c r="AA89" s="4">
        <v>162</v>
      </c>
      <c r="AB89" s="4">
        <v>162</v>
      </c>
      <c r="AC89" s="4">
        <v>162</v>
      </c>
      <c r="AD89" s="4">
        <v>0</v>
      </c>
      <c r="AE89" s="4">
        <v>0</v>
      </c>
      <c r="AF89" s="4">
        <v>162</v>
      </c>
      <c r="AG89" s="4">
        <v>162</v>
      </c>
      <c r="AH89" s="4">
        <v>162</v>
      </c>
      <c r="AI89" s="4">
        <v>162</v>
      </c>
      <c r="AJ89" s="4">
        <v>162</v>
      </c>
      <c r="AK89" s="4">
        <v>0</v>
      </c>
      <c r="AL89" s="4">
        <v>0</v>
      </c>
      <c r="AM89" s="4">
        <v>162</v>
      </c>
      <c r="AN89" s="4">
        <v>162</v>
      </c>
      <c r="AO89" s="4"/>
    </row>
    <row r="90" spans="1:41" ht="15" x14ac:dyDescent="0.2">
      <c r="A90" s="4"/>
      <c r="B90" s="4">
        <v>2038</v>
      </c>
      <c r="C90" s="4" t="s">
        <v>54</v>
      </c>
      <c r="D90" s="54" t="s">
        <v>349</v>
      </c>
      <c r="E90" s="4" t="s">
        <v>18</v>
      </c>
      <c r="F90" s="4">
        <v>8</v>
      </c>
      <c r="G90" s="4">
        <v>1.1560000000000001E-2</v>
      </c>
      <c r="H90" s="4" t="s">
        <v>233</v>
      </c>
      <c r="I90" s="4" t="s">
        <v>3</v>
      </c>
      <c r="J90" s="4">
        <v>0</v>
      </c>
      <c r="K90" s="4">
        <v>812</v>
      </c>
      <c r="L90" s="4">
        <v>816</v>
      </c>
      <c r="M90" s="4">
        <v>776</v>
      </c>
      <c r="N90" s="4">
        <v>816</v>
      </c>
      <c r="O90" s="4">
        <v>780</v>
      </c>
      <c r="P90" s="4">
        <v>0</v>
      </c>
      <c r="Q90" s="4">
        <v>0</v>
      </c>
      <c r="R90" s="4">
        <v>816</v>
      </c>
      <c r="S90" s="4">
        <v>772</v>
      </c>
      <c r="T90" s="4">
        <v>772</v>
      </c>
      <c r="U90" s="4">
        <v>812</v>
      </c>
      <c r="V90" s="4">
        <v>772</v>
      </c>
      <c r="W90" s="4">
        <v>0</v>
      </c>
      <c r="X90" s="4">
        <v>0</v>
      </c>
      <c r="Y90" s="4">
        <v>820</v>
      </c>
      <c r="Z90" s="4">
        <v>816</v>
      </c>
      <c r="AA90" s="4">
        <v>776</v>
      </c>
      <c r="AB90" s="4">
        <v>820</v>
      </c>
      <c r="AC90" s="4">
        <v>776</v>
      </c>
      <c r="AD90" s="4">
        <v>0</v>
      </c>
      <c r="AE90" s="4">
        <v>0</v>
      </c>
      <c r="AF90" s="4">
        <v>732</v>
      </c>
      <c r="AG90" s="4">
        <v>732</v>
      </c>
      <c r="AH90" s="4">
        <v>692</v>
      </c>
      <c r="AI90" s="4">
        <v>732</v>
      </c>
      <c r="AJ90" s="4">
        <v>692</v>
      </c>
      <c r="AK90" s="4">
        <v>0</v>
      </c>
      <c r="AL90" s="4">
        <v>0</v>
      </c>
      <c r="AM90" s="4">
        <v>568</v>
      </c>
      <c r="AN90" s="4">
        <v>568</v>
      </c>
      <c r="AO90" s="4"/>
    </row>
    <row r="91" spans="1:41" ht="15" x14ac:dyDescent="0.2">
      <c r="A91" s="4"/>
      <c r="B91" s="4">
        <v>2038</v>
      </c>
      <c r="C91" s="4" t="s">
        <v>54</v>
      </c>
      <c r="D91" s="54" t="s">
        <v>350</v>
      </c>
      <c r="E91" s="4" t="s">
        <v>18</v>
      </c>
      <c r="F91" s="4">
        <v>30</v>
      </c>
      <c r="G91" s="4">
        <v>0.152</v>
      </c>
      <c r="H91" s="4" t="s">
        <v>237</v>
      </c>
      <c r="I91" s="4" t="s">
        <v>3</v>
      </c>
      <c r="J91" s="4">
        <v>0</v>
      </c>
      <c r="K91" s="4">
        <v>0</v>
      </c>
      <c r="L91" s="4">
        <v>300</v>
      </c>
      <c r="M91" s="4">
        <v>300</v>
      </c>
      <c r="N91" s="4">
        <v>300</v>
      </c>
      <c r="O91" s="4">
        <v>280</v>
      </c>
      <c r="P91" s="4">
        <v>0</v>
      </c>
      <c r="Q91" s="4">
        <v>0</v>
      </c>
      <c r="R91" s="4">
        <v>240</v>
      </c>
      <c r="S91" s="4">
        <v>240</v>
      </c>
      <c r="T91" s="4">
        <v>280</v>
      </c>
      <c r="U91" s="4">
        <v>0</v>
      </c>
      <c r="V91" s="4">
        <v>300</v>
      </c>
      <c r="W91" s="4">
        <v>0</v>
      </c>
      <c r="X91" s="4">
        <v>0</v>
      </c>
      <c r="Y91" s="4">
        <v>240</v>
      </c>
      <c r="Z91" s="4">
        <v>280</v>
      </c>
      <c r="AA91" s="4">
        <v>0</v>
      </c>
      <c r="AB91" s="4">
        <v>240</v>
      </c>
      <c r="AC91" s="4">
        <v>280</v>
      </c>
      <c r="AD91" s="4">
        <v>0</v>
      </c>
      <c r="AE91" s="4">
        <v>0</v>
      </c>
      <c r="AF91" s="4">
        <v>280</v>
      </c>
      <c r="AG91" s="4">
        <v>480</v>
      </c>
      <c r="AH91" s="4">
        <v>400</v>
      </c>
      <c r="AI91" s="4">
        <v>0</v>
      </c>
      <c r="AJ91" s="4">
        <v>480</v>
      </c>
      <c r="AK91" s="4">
        <v>0</v>
      </c>
      <c r="AL91" s="4">
        <v>0</v>
      </c>
      <c r="AM91" s="4">
        <v>280</v>
      </c>
      <c r="AN91" s="4">
        <v>800</v>
      </c>
      <c r="AO91" s="4"/>
    </row>
    <row r="92" spans="1:41" ht="15" x14ac:dyDescent="0.2">
      <c r="A92" s="4"/>
      <c r="B92" s="4">
        <v>2038</v>
      </c>
      <c r="C92" s="4" t="s">
        <v>54</v>
      </c>
      <c r="D92" s="54" t="s">
        <v>351</v>
      </c>
      <c r="E92" s="4" t="s">
        <v>18</v>
      </c>
      <c r="F92" s="4">
        <v>30</v>
      </c>
      <c r="G92" s="4">
        <v>0.152</v>
      </c>
      <c r="H92" s="4" t="s">
        <v>237</v>
      </c>
      <c r="I92" s="4" t="s">
        <v>3</v>
      </c>
      <c r="J92" s="4">
        <v>0</v>
      </c>
      <c r="K92" s="4">
        <v>840</v>
      </c>
      <c r="L92" s="4">
        <v>300</v>
      </c>
      <c r="M92" s="4">
        <v>300</v>
      </c>
      <c r="N92" s="4">
        <v>560</v>
      </c>
      <c r="O92" s="4">
        <v>0</v>
      </c>
      <c r="P92" s="4">
        <v>0</v>
      </c>
      <c r="Q92" s="4">
        <v>0</v>
      </c>
      <c r="R92" s="4">
        <v>440</v>
      </c>
      <c r="S92" s="4">
        <v>520</v>
      </c>
      <c r="T92" s="4">
        <v>280</v>
      </c>
      <c r="U92" s="4">
        <v>680</v>
      </c>
      <c r="V92" s="4">
        <v>300</v>
      </c>
      <c r="W92" s="4">
        <v>0</v>
      </c>
      <c r="X92" s="4">
        <v>0</v>
      </c>
      <c r="Y92" s="4">
        <v>480</v>
      </c>
      <c r="Z92" s="4">
        <v>180</v>
      </c>
      <c r="AA92" s="4">
        <v>480</v>
      </c>
      <c r="AB92" s="4">
        <v>480</v>
      </c>
      <c r="AC92" s="4">
        <v>480</v>
      </c>
      <c r="AD92" s="4">
        <v>0</v>
      </c>
      <c r="AE92" s="4">
        <v>0</v>
      </c>
      <c r="AF92" s="4">
        <v>520</v>
      </c>
      <c r="AG92" s="4">
        <v>240</v>
      </c>
      <c r="AH92" s="4">
        <v>280</v>
      </c>
      <c r="AI92" s="4">
        <v>560</v>
      </c>
      <c r="AJ92" s="4">
        <v>340</v>
      </c>
      <c r="AK92" s="4">
        <v>0</v>
      </c>
      <c r="AL92" s="4">
        <v>0</v>
      </c>
      <c r="AM92" s="4">
        <v>520</v>
      </c>
      <c r="AN92" s="4">
        <v>0</v>
      </c>
      <c r="AO92" s="4"/>
    </row>
    <row r="93" spans="1:41" ht="15" x14ac:dyDescent="0.2">
      <c r="A93" s="4"/>
      <c r="B93" s="4">
        <v>2038</v>
      </c>
      <c r="C93" s="4" t="s">
        <v>54</v>
      </c>
      <c r="D93" s="54" t="s">
        <v>352</v>
      </c>
      <c r="E93" s="4" t="s">
        <v>18</v>
      </c>
      <c r="F93" s="4">
        <v>30</v>
      </c>
      <c r="G93" s="4">
        <v>0.152</v>
      </c>
      <c r="H93" s="4" t="s">
        <v>237</v>
      </c>
      <c r="I93" s="4" t="s">
        <v>3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300</v>
      </c>
      <c r="P93" s="4">
        <v>0</v>
      </c>
      <c r="Q93" s="4">
        <v>0</v>
      </c>
      <c r="R93" s="4">
        <v>0</v>
      </c>
      <c r="S93" s="4">
        <v>200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380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280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280</v>
      </c>
      <c r="AN93" s="4">
        <v>0</v>
      </c>
      <c r="AO93" s="4"/>
    </row>
    <row r="94" spans="1:4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</row>
    <row r="95" spans="1:41" ht="15" x14ac:dyDescent="0.2">
      <c r="A95" s="4"/>
      <c r="B95" s="3" t="s">
        <v>313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</row>
    <row r="96" spans="1:41" ht="15" x14ac:dyDescent="0.2">
      <c r="A96" s="4"/>
      <c r="B96" s="4" t="s">
        <v>19</v>
      </c>
      <c r="C96" s="4" t="s">
        <v>20</v>
      </c>
      <c r="D96" s="4" t="s">
        <v>21</v>
      </c>
      <c r="E96" s="4" t="s">
        <v>0</v>
      </c>
      <c r="F96" s="4" t="s">
        <v>1</v>
      </c>
      <c r="G96" s="4" t="s">
        <v>89</v>
      </c>
      <c r="H96" s="4" t="s">
        <v>225</v>
      </c>
      <c r="I96" s="4" t="s">
        <v>22</v>
      </c>
      <c r="J96" s="4" t="s">
        <v>23</v>
      </c>
      <c r="K96" s="4" t="s">
        <v>24</v>
      </c>
      <c r="L96" s="4" t="s">
        <v>25</v>
      </c>
      <c r="M96" s="4" t="s">
        <v>26</v>
      </c>
      <c r="N96" s="4" t="s">
        <v>27</v>
      </c>
      <c r="O96" s="4" t="s">
        <v>28</v>
      </c>
      <c r="P96" s="4" t="s">
        <v>29</v>
      </c>
      <c r="Q96" s="4" t="s">
        <v>30</v>
      </c>
      <c r="R96" s="4" t="s">
        <v>31</v>
      </c>
      <c r="S96" s="4" t="s">
        <v>32</v>
      </c>
      <c r="T96" s="4" t="s">
        <v>33</v>
      </c>
      <c r="U96" s="4" t="s">
        <v>34</v>
      </c>
      <c r="V96" s="4" t="s">
        <v>35</v>
      </c>
      <c r="W96" s="4" t="s">
        <v>36</v>
      </c>
      <c r="X96" s="4" t="s">
        <v>37</v>
      </c>
      <c r="Y96" s="4" t="s">
        <v>38</v>
      </c>
      <c r="Z96" s="4" t="s">
        <v>39</v>
      </c>
      <c r="AA96" s="4" t="s">
        <v>40</v>
      </c>
      <c r="AB96" s="4" t="s">
        <v>41</v>
      </c>
      <c r="AC96" s="4" t="s">
        <v>42</v>
      </c>
      <c r="AD96" s="4" t="s">
        <v>43</v>
      </c>
      <c r="AE96" s="4" t="s">
        <v>44</v>
      </c>
      <c r="AF96" s="4" t="s">
        <v>45</v>
      </c>
      <c r="AG96" s="4" t="s">
        <v>46</v>
      </c>
      <c r="AH96" s="4" t="s">
        <v>47</v>
      </c>
      <c r="AI96" s="4" t="s">
        <v>48</v>
      </c>
      <c r="AJ96" s="4" t="s">
        <v>49</v>
      </c>
      <c r="AK96" s="4" t="s">
        <v>50</v>
      </c>
      <c r="AL96" s="4" t="s">
        <v>51</v>
      </c>
      <c r="AM96" s="4" t="s">
        <v>52</v>
      </c>
      <c r="AN96" s="4" t="s">
        <v>53</v>
      </c>
      <c r="AO96" s="4"/>
    </row>
    <row r="97" spans="1:41" ht="15" x14ac:dyDescent="0.2">
      <c r="A97" s="4"/>
      <c r="B97" s="4">
        <v>2038</v>
      </c>
      <c r="C97" s="4" t="s">
        <v>54</v>
      </c>
      <c r="D97" s="54" t="s">
        <v>319</v>
      </c>
      <c r="E97" s="4" t="s">
        <v>12</v>
      </c>
      <c r="F97" s="4">
        <v>150</v>
      </c>
      <c r="G97" s="4">
        <v>6.2458000000000001E-3</v>
      </c>
      <c r="H97" s="4" t="s">
        <v>155</v>
      </c>
      <c r="I97" s="4" t="s">
        <v>3</v>
      </c>
      <c r="J97" s="4">
        <f>J59/$F59</f>
        <v>0</v>
      </c>
      <c r="K97" s="4">
        <f>ROUNDUP(K59/$F59,0)</f>
        <v>1</v>
      </c>
      <c r="L97" s="4">
        <f t="shared" ref="L97:AN97" si="2">ROUNDUP(L59/$F59,0)</f>
        <v>1</v>
      </c>
      <c r="M97" s="4">
        <f t="shared" si="2"/>
        <v>1</v>
      </c>
      <c r="N97" s="4">
        <f t="shared" si="2"/>
        <v>1</v>
      </c>
      <c r="O97" s="4">
        <f t="shared" si="2"/>
        <v>1</v>
      </c>
      <c r="P97" s="4">
        <f t="shared" si="2"/>
        <v>0</v>
      </c>
      <c r="Q97" s="4">
        <f t="shared" si="2"/>
        <v>0</v>
      </c>
      <c r="R97" s="4">
        <f t="shared" si="2"/>
        <v>1</v>
      </c>
      <c r="S97" s="4">
        <f t="shared" si="2"/>
        <v>1</v>
      </c>
      <c r="T97" s="4">
        <f t="shared" si="2"/>
        <v>1</v>
      </c>
      <c r="U97" s="4">
        <f t="shared" si="2"/>
        <v>1</v>
      </c>
      <c r="V97" s="4">
        <f t="shared" si="2"/>
        <v>1</v>
      </c>
      <c r="W97" s="4">
        <f t="shared" si="2"/>
        <v>0</v>
      </c>
      <c r="X97" s="4">
        <f t="shared" si="2"/>
        <v>0</v>
      </c>
      <c r="Y97" s="4">
        <f t="shared" si="2"/>
        <v>1</v>
      </c>
      <c r="Z97" s="4">
        <f t="shared" si="2"/>
        <v>1</v>
      </c>
      <c r="AA97" s="4">
        <f t="shared" si="2"/>
        <v>1</v>
      </c>
      <c r="AB97" s="4">
        <f t="shared" si="2"/>
        <v>1</v>
      </c>
      <c r="AC97" s="4">
        <f t="shared" si="2"/>
        <v>1</v>
      </c>
      <c r="AD97" s="4">
        <f t="shared" si="2"/>
        <v>0</v>
      </c>
      <c r="AE97" s="4">
        <f t="shared" si="2"/>
        <v>0</v>
      </c>
      <c r="AF97" s="4">
        <f t="shared" si="2"/>
        <v>1</v>
      </c>
      <c r="AG97" s="4">
        <f t="shared" si="2"/>
        <v>1</v>
      </c>
      <c r="AH97" s="4">
        <f t="shared" si="2"/>
        <v>1</v>
      </c>
      <c r="AI97" s="4">
        <f t="shared" si="2"/>
        <v>1</v>
      </c>
      <c r="AJ97" s="4">
        <f t="shared" si="2"/>
        <v>1</v>
      </c>
      <c r="AK97" s="4">
        <f t="shared" si="2"/>
        <v>0</v>
      </c>
      <c r="AL97" s="4">
        <f t="shared" si="2"/>
        <v>0</v>
      </c>
      <c r="AM97" s="4">
        <f t="shared" si="2"/>
        <v>1</v>
      </c>
      <c r="AN97" s="4">
        <f t="shared" si="2"/>
        <v>1</v>
      </c>
      <c r="AO97" s="4"/>
    </row>
    <row r="98" spans="1:41" ht="15" x14ac:dyDescent="0.2">
      <c r="A98" s="4"/>
      <c r="B98" s="4">
        <v>2038</v>
      </c>
      <c r="C98" s="4" t="s">
        <v>54</v>
      </c>
      <c r="D98" s="54" t="s">
        <v>319</v>
      </c>
      <c r="E98" s="4" t="s">
        <v>13</v>
      </c>
      <c r="F98" s="4">
        <v>150</v>
      </c>
      <c r="G98" s="4">
        <v>6.2458000000000001E-3</v>
      </c>
      <c r="H98" s="4" t="s">
        <v>155</v>
      </c>
      <c r="I98" s="4" t="s">
        <v>3</v>
      </c>
      <c r="J98" s="4">
        <f t="shared" ref="J98:J131" si="3">J60/$F60</f>
        <v>0</v>
      </c>
      <c r="K98" s="4">
        <f t="shared" ref="K98:X131" si="4">ROUNDUP(K60/$F60,0)</f>
        <v>1</v>
      </c>
      <c r="L98" s="4">
        <f t="shared" si="4"/>
        <v>1</v>
      </c>
      <c r="M98" s="4">
        <f t="shared" si="4"/>
        <v>1</v>
      </c>
      <c r="N98" s="4">
        <f t="shared" si="4"/>
        <v>1</v>
      </c>
      <c r="O98" s="4">
        <f t="shared" si="4"/>
        <v>1</v>
      </c>
      <c r="P98" s="4">
        <f t="shared" si="4"/>
        <v>0</v>
      </c>
      <c r="Q98" s="4">
        <f t="shared" si="4"/>
        <v>0</v>
      </c>
      <c r="R98" s="4">
        <f t="shared" si="4"/>
        <v>1</v>
      </c>
      <c r="S98" s="4">
        <f t="shared" ref="S98:V98" si="5">ROUNDUP(S60/$F60,0)</f>
        <v>1</v>
      </c>
      <c r="T98" s="4">
        <f t="shared" si="5"/>
        <v>1</v>
      </c>
      <c r="U98" s="4">
        <f t="shared" si="5"/>
        <v>1</v>
      </c>
      <c r="V98" s="4">
        <f t="shared" si="5"/>
        <v>1</v>
      </c>
      <c r="W98" s="4">
        <f t="shared" si="4"/>
        <v>0</v>
      </c>
      <c r="X98" s="4">
        <f t="shared" si="4"/>
        <v>0</v>
      </c>
      <c r="Y98" s="4">
        <f t="shared" ref="Y98:AN98" si="6">ROUNDUP(Y60/$F60,0)</f>
        <v>1</v>
      </c>
      <c r="Z98" s="4">
        <f t="shared" si="6"/>
        <v>1</v>
      </c>
      <c r="AA98" s="4">
        <f t="shared" si="6"/>
        <v>1</v>
      </c>
      <c r="AB98" s="4">
        <f t="shared" si="6"/>
        <v>1</v>
      </c>
      <c r="AC98" s="4">
        <f t="shared" si="6"/>
        <v>1</v>
      </c>
      <c r="AD98" s="4">
        <f t="shared" si="6"/>
        <v>0</v>
      </c>
      <c r="AE98" s="4">
        <f t="shared" si="6"/>
        <v>0</v>
      </c>
      <c r="AF98" s="4">
        <f t="shared" si="6"/>
        <v>1</v>
      </c>
      <c r="AG98" s="4">
        <f t="shared" si="6"/>
        <v>1</v>
      </c>
      <c r="AH98" s="4">
        <f t="shared" si="6"/>
        <v>1</v>
      </c>
      <c r="AI98" s="4">
        <f t="shared" si="6"/>
        <v>1</v>
      </c>
      <c r="AJ98" s="4">
        <f t="shared" si="6"/>
        <v>1</v>
      </c>
      <c r="AK98" s="4">
        <f t="shared" si="6"/>
        <v>0</v>
      </c>
      <c r="AL98" s="4">
        <f t="shared" si="6"/>
        <v>0</v>
      </c>
      <c r="AM98" s="4">
        <f t="shared" si="6"/>
        <v>1</v>
      </c>
      <c r="AN98" s="4">
        <f t="shared" si="6"/>
        <v>1</v>
      </c>
      <c r="AO98" s="4"/>
    </row>
    <row r="99" spans="1:41" ht="15" x14ac:dyDescent="0.2">
      <c r="A99" s="4"/>
      <c r="B99" s="4">
        <v>2038</v>
      </c>
      <c r="C99" s="4" t="s">
        <v>54</v>
      </c>
      <c r="D99" s="54" t="s">
        <v>320</v>
      </c>
      <c r="E99" s="4" t="s">
        <v>12</v>
      </c>
      <c r="F99" s="4">
        <v>6</v>
      </c>
      <c r="G99" s="4">
        <v>2.7744000000000001E-2</v>
      </c>
      <c r="H99" s="4" t="s">
        <v>181</v>
      </c>
      <c r="I99" s="4" t="s">
        <v>3</v>
      </c>
      <c r="J99" s="4">
        <f t="shared" si="3"/>
        <v>0</v>
      </c>
      <c r="K99" s="4">
        <f t="shared" si="4"/>
        <v>3</v>
      </c>
      <c r="L99" s="4">
        <f t="shared" si="4"/>
        <v>3</v>
      </c>
      <c r="M99" s="4">
        <f t="shared" si="4"/>
        <v>3</v>
      </c>
      <c r="N99" s="4">
        <f t="shared" si="4"/>
        <v>3</v>
      </c>
      <c r="O99" s="4">
        <f t="shared" si="4"/>
        <v>3</v>
      </c>
      <c r="P99" s="4">
        <f t="shared" si="4"/>
        <v>0</v>
      </c>
      <c r="Q99" s="4">
        <f t="shared" si="4"/>
        <v>0</v>
      </c>
      <c r="R99" s="4">
        <f t="shared" si="4"/>
        <v>3</v>
      </c>
      <c r="S99" s="4">
        <f t="shared" ref="S99:V99" si="7">ROUNDUP(S61/$F61,0)</f>
        <v>4</v>
      </c>
      <c r="T99" s="4">
        <f t="shared" si="7"/>
        <v>3</v>
      </c>
      <c r="U99" s="4">
        <f t="shared" si="7"/>
        <v>3</v>
      </c>
      <c r="V99" s="4">
        <f t="shared" si="7"/>
        <v>3</v>
      </c>
      <c r="W99" s="4">
        <f t="shared" ref="W99:X99" si="8">W61/$F61</f>
        <v>0</v>
      </c>
      <c r="X99" s="4">
        <f t="shared" si="8"/>
        <v>0</v>
      </c>
      <c r="Y99" s="4">
        <f t="shared" ref="Y99:AN99" si="9">ROUNDUP(Y61/$F61,0)</f>
        <v>3</v>
      </c>
      <c r="Z99" s="4">
        <f t="shared" si="9"/>
        <v>3</v>
      </c>
      <c r="AA99" s="4">
        <f t="shared" si="9"/>
        <v>3</v>
      </c>
      <c r="AB99" s="4">
        <f t="shared" si="9"/>
        <v>2</v>
      </c>
      <c r="AC99" s="4">
        <f t="shared" si="9"/>
        <v>2</v>
      </c>
      <c r="AD99" s="4">
        <f t="shared" si="9"/>
        <v>0</v>
      </c>
      <c r="AE99" s="4">
        <f t="shared" si="9"/>
        <v>0</v>
      </c>
      <c r="AF99" s="4">
        <f t="shared" si="9"/>
        <v>2</v>
      </c>
      <c r="AG99" s="4">
        <f t="shared" si="9"/>
        <v>3</v>
      </c>
      <c r="AH99" s="4">
        <f t="shared" si="9"/>
        <v>3</v>
      </c>
      <c r="AI99" s="4">
        <f t="shared" si="9"/>
        <v>3</v>
      </c>
      <c r="AJ99" s="4">
        <f t="shared" si="9"/>
        <v>2</v>
      </c>
      <c r="AK99" s="4">
        <f t="shared" si="9"/>
        <v>0</v>
      </c>
      <c r="AL99" s="4">
        <f t="shared" si="9"/>
        <v>0</v>
      </c>
      <c r="AM99" s="4">
        <f t="shared" si="9"/>
        <v>2</v>
      </c>
      <c r="AN99" s="4">
        <f t="shared" si="9"/>
        <v>2</v>
      </c>
      <c r="AO99" s="4"/>
    </row>
    <row r="100" spans="1:41" ht="15" x14ac:dyDescent="0.2">
      <c r="A100" s="4"/>
      <c r="B100" s="4">
        <v>2038</v>
      </c>
      <c r="C100" s="4" t="s">
        <v>54</v>
      </c>
      <c r="D100" s="54" t="s">
        <v>321</v>
      </c>
      <c r="E100" s="4" t="s">
        <v>14</v>
      </c>
      <c r="F100" s="4">
        <v>2</v>
      </c>
      <c r="G100" s="4">
        <v>2.3120000000000002E-2</v>
      </c>
      <c r="H100" s="4" t="s">
        <v>197</v>
      </c>
      <c r="I100" s="4" t="s">
        <v>3</v>
      </c>
      <c r="J100" s="4">
        <f t="shared" si="3"/>
        <v>0</v>
      </c>
      <c r="K100" s="4">
        <f t="shared" si="4"/>
        <v>49</v>
      </c>
      <c r="L100" s="4">
        <f t="shared" si="4"/>
        <v>49</v>
      </c>
      <c r="M100" s="4">
        <f t="shared" si="4"/>
        <v>49</v>
      </c>
      <c r="N100" s="4">
        <f t="shared" si="4"/>
        <v>49</v>
      </c>
      <c r="O100" s="4">
        <f t="shared" si="4"/>
        <v>49</v>
      </c>
      <c r="P100" s="4">
        <f t="shared" si="4"/>
        <v>0</v>
      </c>
      <c r="Q100" s="4">
        <f t="shared" si="4"/>
        <v>0</v>
      </c>
      <c r="R100" s="4">
        <f t="shared" ref="R100:V100" si="10">ROUNDUP(R62/$F62,0)</f>
        <v>49</v>
      </c>
      <c r="S100" s="4">
        <f t="shared" si="10"/>
        <v>52</v>
      </c>
      <c r="T100" s="4">
        <f t="shared" si="10"/>
        <v>49</v>
      </c>
      <c r="U100" s="4">
        <f t="shared" si="10"/>
        <v>49</v>
      </c>
      <c r="V100" s="4">
        <f t="shared" si="10"/>
        <v>49</v>
      </c>
      <c r="W100" s="4">
        <f t="shared" ref="W100:X100" si="11">W62/$F62</f>
        <v>0</v>
      </c>
      <c r="X100" s="4">
        <f t="shared" si="11"/>
        <v>0</v>
      </c>
      <c r="Y100" s="4">
        <f t="shared" ref="Y100:AN100" si="12">ROUNDUP(Y62/$F62,0)</f>
        <v>49</v>
      </c>
      <c r="Z100" s="4">
        <f t="shared" si="12"/>
        <v>49</v>
      </c>
      <c r="AA100" s="4">
        <f t="shared" si="12"/>
        <v>49</v>
      </c>
      <c r="AB100" s="4">
        <f t="shared" si="12"/>
        <v>49</v>
      </c>
      <c r="AC100" s="4">
        <f t="shared" si="12"/>
        <v>49</v>
      </c>
      <c r="AD100" s="4">
        <f t="shared" si="12"/>
        <v>0</v>
      </c>
      <c r="AE100" s="4">
        <f t="shared" si="12"/>
        <v>0</v>
      </c>
      <c r="AF100" s="4">
        <f t="shared" si="12"/>
        <v>49</v>
      </c>
      <c r="AG100" s="4">
        <f t="shared" si="12"/>
        <v>49</v>
      </c>
      <c r="AH100" s="4">
        <f t="shared" si="12"/>
        <v>49</v>
      </c>
      <c r="AI100" s="4">
        <f t="shared" si="12"/>
        <v>49</v>
      </c>
      <c r="AJ100" s="4">
        <f t="shared" si="12"/>
        <v>49</v>
      </c>
      <c r="AK100" s="4">
        <f t="shared" si="12"/>
        <v>0</v>
      </c>
      <c r="AL100" s="4">
        <f t="shared" si="12"/>
        <v>0</v>
      </c>
      <c r="AM100" s="4">
        <f t="shared" si="12"/>
        <v>49</v>
      </c>
      <c r="AN100" s="4">
        <f t="shared" si="12"/>
        <v>49</v>
      </c>
      <c r="AO100" s="4"/>
    </row>
    <row r="101" spans="1:41" ht="15" x14ac:dyDescent="0.2">
      <c r="A101" s="4"/>
      <c r="B101" s="4">
        <v>2038</v>
      </c>
      <c r="C101" s="4" t="s">
        <v>54</v>
      </c>
      <c r="D101" s="54" t="s">
        <v>322</v>
      </c>
      <c r="E101" s="4" t="s">
        <v>63</v>
      </c>
      <c r="F101" s="4">
        <v>1</v>
      </c>
      <c r="G101" s="4">
        <v>1.6721525000000001E-2</v>
      </c>
      <c r="H101" s="4" t="s">
        <v>196</v>
      </c>
      <c r="I101" s="4" t="s">
        <v>3</v>
      </c>
      <c r="J101" s="4">
        <f t="shared" si="3"/>
        <v>0</v>
      </c>
      <c r="K101" s="4">
        <f t="shared" si="4"/>
        <v>135</v>
      </c>
      <c r="L101" s="4">
        <f t="shared" si="4"/>
        <v>135</v>
      </c>
      <c r="M101" s="4">
        <f t="shared" si="4"/>
        <v>135</v>
      </c>
      <c r="N101" s="4">
        <f t="shared" si="4"/>
        <v>135</v>
      </c>
      <c r="O101" s="4">
        <f t="shared" si="4"/>
        <v>135</v>
      </c>
      <c r="P101" s="4">
        <f t="shared" si="4"/>
        <v>0</v>
      </c>
      <c r="Q101" s="4">
        <f t="shared" si="4"/>
        <v>0</v>
      </c>
      <c r="R101" s="4">
        <f t="shared" ref="R101:V101" si="13">ROUNDUP(R63/$F63,0)</f>
        <v>135</v>
      </c>
      <c r="S101" s="4">
        <f t="shared" si="13"/>
        <v>135</v>
      </c>
      <c r="T101" s="4">
        <f t="shared" si="13"/>
        <v>135</v>
      </c>
      <c r="U101" s="4">
        <f t="shared" si="13"/>
        <v>135</v>
      </c>
      <c r="V101" s="4">
        <f t="shared" si="13"/>
        <v>135</v>
      </c>
      <c r="W101" s="4">
        <f t="shared" ref="W101:X101" si="14">W63/$F63</f>
        <v>0</v>
      </c>
      <c r="X101" s="4">
        <f t="shared" si="14"/>
        <v>0</v>
      </c>
      <c r="Y101" s="4">
        <f t="shared" ref="Y101:AN101" si="15">ROUNDUP(Y63/$F63,0)</f>
        <v>135</v>
      </c>
      <c r="Z101" s="4">
        <f t="shared" si="15"/>
        <v>135</v>
      </c>
      <c r="AA101" s="4">
        <f t="shared" si="15"/>
        <v>135</v>
      </c>
      <c r="AB101" s="4">
        <f t="shared" si="15"/>
        <v>135</v>
      </c>
      <c r="AC101" s="4">
        <f t="shared" si="15"/>
        <v>135</v>
      </c>
      <c r="AD101" s="4">
        <f t="shared" si="15"/>
        <v>0</v>
      </c>
      <c r="AE101" s="4">
        <f t="shared" si="15"/>
        <v>0</v>
      </c>
      <c r="AF101" s="4">
        <f t="shared" si="15"/>
        <v>135</v>
      </c>
      <c r="AG101" s="4">
        <f t="shared" si="15"/>
        <v>135</v>
      </c>
      <c r="AH101" s="4">
        <f t="shared" si="15"/>
        <v>135</v>
      </c>
      <c r="AI101" s="4">
        <f t="shared" si="15"/>
        <v>135</v>
      </c>
      <c r="AJ101" s="4">
        <f t="shared" si="15"/>
        <v>135</v>
      </c>
      <c r="AK101" s="4">
        <f t="shared" si="15"/>
        <v>0</v>
      </c>
      <c r="AL101" s="4">
        <f t="shared" si="15"/>
        <v>0</v>
      </c>
      <c r="AM101" s="4">
        <f t="shared" si="15"/>
        <v>135</v>
      </c>
      <c r="AN101" s="4">
        <f t="shared" si="15"/>
        <v>135</v>
      </c>
      <c r="AO101" s="4"/>
    </row>
    <row r="102" spans="1:41" ht="15" x14ac:dyDescent="0.2">
      <c r="A102" s="4"/>
      <c r="B102" s="4">
        <v>2038</v>
      </c>
      <c r="C102" s="4" t="s">
        <v>54</v>
      </c>
      <c r="D102" s="54" t="s">
        <v>323</v>
      </c>
      <c r="E102" s="4" t="s">
        <v>16</v>
      </c>
      <c r="F102" s="4">
        <v>2</v>
      </c>
      <c r="G102" s="4">
        <v>6.6300000000000012E-2</v>
      </c>
      <c r="H102" s="4" t="s">
        <v>230</v>
      </c>
      <c r="I102" s="4" t="s">
        <v>3</v>
      </c>
      <c r="J102" s="4">
        <f t="shared" si="3"/>
        <v>0</v>
      </c>
      <c r="K102" s="4">
        <f t="shared" si="4"/>
        <v>334</v>
      </c>
      <c r="L102" s="4">
        <f t="shared" si="4"/>
        <v>332</v>
      </c>
      <c r="M102" s="4">
        <f t="shared" si="4"/>
        <v>308</v>
      </c>
      <c r="N102" s="4">
        <f t="shared" si="4"/>
        <v>332</v>
      </c>
      <c r="O102" s="4">
        <f t="shared" si="4"/>
        <v>307</v>
      </c>
      <c r="P102" s="4">
        <f t="shared" si="4"/>
        <v>0</v>
      </c>
      <c r="Q102" s="4">
        <f t="shared" si="4"/>
        <v>0</v>
      </c>
      <c r="R102" s="4">
        <f t="shared" ref="R102:V102" si="16">ROUNDUP(R64/$F64,0)</f>
        <v>332</v>
      </c>
      <c r="S102" s="4">
        <f t="shared" si="16"/>
        <v>310</v>
      </c>
      <c r="T102" s="4">
        <f t="shared" si="16"/>
        <v>310</v>
      </c>
      <c r="U102" s="4">
        <f t="shared" si="16"/>
        <v>334</v>
      </c>
      <c r="V102" s="4">
        <f t="shared" si="16"/>
        <v>311</v>
      </c>
      <c r="W102" s="4">
        <f t="shared" ref="W102:X102" si="17">W64/$F64</f>
        <v>0</v>
      </c>
      <c r="X102" s="4">
        <f t="shared" si="17"/>
        <v>0</v>
      </c>
      <c r="Y102" s="4">
        <f t="shared" ref="Y102:AN102" si="18">ROUNDUP(Y64/$F64,0)</f>
        <v>332</v>
      </c>
      <c r="Z102" s="4">
        <f t="shared" si="18"/>
        <v>334</v>
      </c>
      <c r="AA102" s="4">
        <f t="shared" si="18"/>
        <v>310</v>
      </c>
      <c r="AB102" s="4">
        <f t="shared" si="18"/>
        <v>332</v>
      </c>
      <c r="AC102" s="4">
        <f t="shared" si="18"/>
        <v>311</v>
      </c>
      <c r="AD102" s="4">
        <f t="shared" si="18"/>
        <v>0</v>
      </c>
      <c r="AE102" s="4">
        <f t="shared" si="18"/>
        <v>0</v>
      </c>
      <c r="AF102" s="4">
        <f t="shared" si="18"/>
        <v>376</v>
      </c>
      <c r="AG102" s="4">
        <f t="shared" si="18"/>
        <v>376</v>
      </c>
      <c r="AH102" s="4">
        <f t="shared" si="18"/>
        <v>352</v>
      </c>
      <c r="AI102" s="4">
        <f t="shared" si="18"/>
        <v>376</v>
      </c>
      <c r="AJ102" s="4">
        <f t="shared" si="18"/>
        <v>351</v>
      </c>
      <c r="AK102" s="4">
        <f t="shared" si="18"/>
        <v>0</v>
      </c>
      <c r="AL102" s="4">
        <f t="shared" si="18"/>
        <v>0</v>
      </c>
      <c r="AM102" s="4">
        <f t="shared" si="18"/>
        <v>460</v>
      </c>
      <c r="AN102" s="4">
        <f t="shared" si="18"/>
        <v>460</v>
      </c>
      <c r="AO102" s="4"/>
    </row>
    <row r="103" spans="1:41" ht="15" x14ac:dyDescent="0.2">
      <c r="A103" s="4"/>
      <c r="B103" s="4">
        <v>2038</v>
      </c>
      <c r="C103" s="4" t="s">
        <v>54</v>
      </c>
      <c r="D103" s="54" t="s">
        <v>324</v>
      </c>
      <c r="E103" s="4" t="s">
        <v>16</v>
      </c>
      <c r="F103" s="4">
        <v>2</v>
      </c>
      <c r="G103" s="4">
        <v>5.6100000000000004E-2</v>
      </c>
      <c r="H103" s="4" t="s">
        <v>230</v>
      </c>
      <c r="I103" s="4" t="s">
        <v>3</v>
      </c>
      <c r="J103" s="4">
        <f t="shared" si="3"/>
        <v>0</v>
      </c>
      <c r="K103" s="4">
        <f t="shared" si="4"/>
        <v>22</v>
      </c>
      <c r="L103" s="4">
        <f t="shared" si="4"/>
        <v>22</v>
      </c>
      <c r="M103" s="4">
        <f t="shared" si="4"/>
        <v>20</v>
      </c>
      <c r="N103" s="4">
        <f t="shared" si="4"/>
        <v>22</v>
      </c>
      <c r="O103" s="4">
        <f t="shared" si="4"/>
        <v>20</v>
      </c>
      <c r="P103" s="4">
        <f t="shared" si="4"/>
        <v>0</v>
      </c>
      <c r="Q103" s="4">
        <f t="shared" si="4"/>
        <v>0</v>
      </c>
      <c r="R103" s="4">
        <f t="shared" ref="R103:V103" si="19">ROUNDUP(R65/$F65,0)</f>
        <v>22</v>
      </c>
      <c r="S103" s="4">
        <f t="shared" si="19"/>
        <v>20</v>
      </c>
      <c r="T103" s="4">
        <f t="shared" si="19"/>
        <v>20</v>
      </c>
      <c r="U103" s="4">
        <f t="shared" si="19"/>
        <v>22</v>
      </c>
      <c r="V103" s="4">
        <f t="shared" si="19"/>
        <v>20</v>
      </c>
      <c r="W103" s="4">
        <f t="shared" ref="W103:X103" si="20">W65/$F65</f>
        <v>0</v>
      </c>
      <c r="X103" s="4">
        <f t="shared" si="20"/>
        <v>0</v>
      </c>
      <c r="Y103" s="4">
        <f t="shared" ref="Y103:AN103" si="21">ROUNDUP(Y65/$F65,0)</f>
        <v>20</v>
      </c>
      <c r="Z103" s="4">
        <f t="shared" si="21"/>
        <v>20</v>
      </c>
      <c r="AA103" s="4">
        <f t="shared" si="21"/>
        <v>18</v>
      </c>
      <c r="AB103" s="4">
        <f t="shared" si="21"/>
        <v>20</v>
      </c>
      <c r="AC103" s="4">
        <f t="shared" si="21"/>
        <v>18</v>
      </c>
      <c r="AD103" s="4">
        <f t="shared" si="21"/>
        <v>0</v>
      </c>
      <c r="AE103" s="4">
        <f t="shared" si="21"/>
        <v>0</v>
      </c>
      <c r="AF103" s="4">
        <f t="shared" si="21"/>
        <v>20</v>
      </c>
      <c r="AG103" s="4">
        <f t="shared" si="21"/>
        <v>20</v>
      </c>
      <c r="AH103" s="4">
        <f t="shared" si="21"/>
        <v>18</v>
      </c>
      <c r="AI103" s="4">
        <f t="shared" si="21"/>
        <v>20</v>
      </c>
      <c r="AJ103" s="4">
        <f t="shared" si="21"/>
        <v>20</v>
      </c>
      <c r="AK103" s="4">
        <f t="shared" si="21"/>
        <v>0</v>
      </c>
      <c r="AL103" s="4">
        <f t="shared" si="21"/>
        <v>0</v>
      </c>
      <c r="AM103" s="4">
        <f t="shared" si="21"/>
        <v>18</v>
      </c>
      <c r="AN103" s="4">
        <f t="shared" si="21"/>
        <v>18</v>
      </c>
      <c r="AO103" s="4"/>
    </row>
    <row r="104" spans="1:41" ht="15" x14ac:dyDescent="0.2">
      <c r="A104" s="4"/>
      <c r="B104" s="4">
        <v>2038</v>
      </c>
      <c r="C104" s="4" t="s">
        <v>54</v>
      </c>
      <c r="D104" s="54" t="s">
        <v>325</v>
      </c>
      <c r="E104" s="4" t="s">
        <v>12</v>
      </c>
      <c r="F104" s="4">
        <v>3</v>
      </c>
      <c r="G104" s="4">
        <v>5.2019999999999997E-2</v>
      </c>
      <c r="H104" s="4" t="s">
        <v>188</v>
      </c>
      <c r="I104" s="4" t="s">
        <v>3</v>
      </c>
      <c r="J104" s="4">
        <f t="shared" si="3"/>
        <v>0</v>
      </c>
      <c r="K104" s="4">
        <f t="shared" si="4"/>
        <v>2</v>
      </c>
      <c r="L104" s="4">
        <f t="shared" si="4"/>
        <v>3</v>
      </c>
      <c r="M104" s="4">
        <f t="shared" si="4"/>
        <v>3</v>
      </c>
      <c r="N104" s="4">
        <f t="shared" si="4"/>
        <v>4</v>
      </c>
      <c r="O104" s="4">
        <f t="shared" si="4"/>
        <v>3</v>
      </c>
      <c r="P104" s="4">
        <f t="shared" si="4"/>
        <v>0</v>
      </c>
      <c r="Q104" s="4">
        <f t="shared" si="4"/>
        <v>0</v>
      </c>
      <c r="R104" s="4">
        <f t="shared" ref="R104:V104" si="22">ROUNDUP(R66/$F66,0)</f>
        <v>4</v>
      </c>
      <c r="S104" s="4">
        <f t="shared" si="22"/>
        <v>3</v>
      </c>
      <c r="T104" s="4">
        <f t="shared" si="22"/>
        <v>3</v>
      </c>
      <c r="U104" s="4">
        <f t="shared" si="22"/>
        <v>3</v>
      </c>
      <c r="V104" s="4">
        <f t="shared" si="22"/>
        <v>4</v>
      </c>
      <c r="W104" s="4">
        <f t="shared" ref="W104:X104" si="23">W66/$F66</f>
        <v>0</v>
      </c>
      <c r="X104" s="4">
        <f t="shared" si="23"/>
        <v>0</v>
      </c>
      <c r="Y104" s="4">
        <f t="shared" ref="Y104:AN104" si="24">ROUNDUP(Y66/$F66,0)</f>
        <v>5</v>
      </c>
      <c r="Z104" s="4">
        <f t="shared" si="24"/>
        <v>4</v>
      </c>
      <c r="AA104" s="4">
        <f t="shared" si="24"/>
        <v>4</v>
      </c>
      <c r="AB104" s="4">
        <f t="shared" si="24"/>
        <v>6</v>
      </c>
      <c r="AC104" s="4">
        <f t="shared" si="24"/>
        <v>5</v>
      </c>
      <c r="AD104" s="4">
        <f t="shared" si="24"/>
        <v>0</v>
      </c>
      <c r="AE104" s="4">
        <f t="shared" si="24"/>
        <v>0</v>
      </c>
      <c r="AF104" s="4">
        <f t="shared" si="24"/>
        <v>6</v>
      </c>
      <c r="AG104" s="4">
        <f t="shared" si="24"/>
        <v>5</v>
      </c>
      <c r="AH104" s="4">
        <f t="shared" si="24"/>
        <v>6</v>
      </c>
      <c r="AI104" s="4">
        <f t="shared" si="24"/>
        <v>5</v>
      </c>
      <c r="AJ104" s="4">
        <f t="shared" si="24"/>
        <v>7</v>
      </c>
      <c r="AK104" s="4">
        <f t="shared" si="24"/>
        <v>0</v>
      </c>
      <c r="AL104" s="4">
        <f t="shared" si="24"/>
        <v>0</v>
      </c>
      <c r="AM104" s="4">
        <f t="shared" si="24"/>
        <v>8</v>
      </c>
      <c r="AN104" s="4">
        <f t="shared" si="24"/>
        <v>8</v>
      </c>
      <c r="AO104" s="4"/>
    </row>
    <row r="105" spans="1:41" ht="15" x14ac:dyDescent="0.2">
      <c r="A105" s="4"/>
      <c r="B105" s="4">
        <v>2038</v>
      </c>
      <c r="C105" s="4" t="s">
        <v>54</v>
      </c>
      <c r="D105" s="54" t="s">
        <v>326</v>
      </c>
      <c r="E105" s="4" t="s">
        <v>12</v>
      </c>
      <c r="F105" s="4">
        <v>3</v>
      </c>
      <c r="G105" s="4">
        <v>4.9950000000000001E-2</v>
      </c>
      <c r="H105" s="4" t="s">
        <v>188</v>
      </c>
      <c r="I105" s="4" t="s">
        <v>3</v>
      </c>
      <c r="J105" s="4">
        <f t="shared" si="3"/>
        <v>0</v>
      </c>
      <c r="K105" s="4">
        <f t="shared" si="4"/>
        <v>1</v>
      </c>
      <c r="L105" s="4">
        <f t="shared" si="4"/>
        <v>0</v>
      </c>
      <c r="M105" s="4">
        <f t="shared" si="4"/>
        <v>0</v>
      </c>
      <c r="N105" s="4">
        <f t="shared" si="4"/>
        <v>0</v>
      </c>
      <c r="O105" s="4">
        <f t="shared" si="4"/>
        <v>0</v>
      </c>
      <c r="P105" s="4">
        <f t="shared" si="4"/>
        <v>0</v>
      </c>
      <c r="Q105" s="4">
        <f t="shared" si="4"/>
        <v>0</v>
      </c>
      <c r="R105" s="4">
        <f t="shared" ref="R105:V105" si="25">ROUNDUP(R67/$F67,0)</f>
        <v>0</v>
      </c>
      <c r="S105" s="4">
        <f t="shared" si="25"/>
        <v>1</v>
      </c>
      <c r="T105" s="4">
        <f t="shared" si="25"/>
        <v>1</v>
      </c>
      <c r="U105" s="4">
        <f t="shared" si="25"/>
        <v>0</v>
      </c>
      <c r="V105" s="4">
        <f t="shared" si="25"/>
        <v>0</v>
      </c>
      <c r="W105" s="4">
        <f t="shared" ref="W105:X105" si="26">W67/$F67</f>
        <v>0</v>
      </c>
      <c r="X105" s="4">
        <f t="shared" si="26"/>
        <v>0</v>
      </c>
      <c r="Y105" s="4">
        <f t="shared" ref="Y105:AN105" si="27">ROUNDUP(Y67/$F67,0)</f>
        <v>0</v>
      </c>
      <c r="Z105" s="4">
        <f t="shared" si="27"/>
        <v>0</v>
      </c>
      <c r="AA105" s="4">
        <f t="shared" si="27"/>
        <v>0</v>
      </c>
      <c r="AB105" s="4">
        <f t="shared" si="27"/>
        <v>0</v>
      </c>
      <c r="AC105" s="4">
        <f t="shared" si="27"/>
        <v>0</v>
      </c>
      <c r="AD105" s="4">
        <f t="shared" si="27"/>
        <v>0</v>
      </c>
      <c r="AE105" s="4">
        <f t="shared" si="27"/>
        <v>0</v>
      </c>
      <c r="AF105" s="4">
        <f t="shared" si="27"/>
        <v>0</v>
      </c>
      <c r="AG105" s="4">
        <f t="shared" si="27"/>
        <v>1</v>
      </c>
      <c r="AH105" s="4">
        <f t="shared" si="27"/>
        <v>0</v>
      </c>
      <c r="AI105" s="4">
        <f t="shared" si="27"/>
        <v>1</v>
      </c>
      <c r="AJ105" s="4">
        <f t="shared" si="27"/>
        <v>0</v>
      </c>
      <c r="AK105" s="4">
        <f t="shared" si="27"/>
        <v>0</v>
      </c>
      <c r="AL105" s="4">
        <f t="shared" si="27"/>
        <v>0</v>
      </c>
      <c r="AM105" s="4">
        <f t="shared" si="27"/>
        <v>0</v>
      </c>
      <c r="AN105" s="4">
        <f t="shared" si="27"/>
        <v>0</v>
      </c>
      <c r="AO105" s="4"/>
    </row>
    <row r="106" spans="1:41" ht="15" x14ac:dyDescent="0.2">
      <c r="A106" s="4"/>
      <c r="B106" s="4">
        <v>2038</v>
      </c>
      <c r="C106" s="4" t="s">
        <v>54</v>
      </c>
      <c r="D106" s="54" t="s">
        <v>327</v>
      </c>
      <c r="E106" s="4" t="s">
        <v>12</v>
      </c>
      <c r="F106" s="4">
        <v>3</v>
      </c>
      <c r="G106" s="4">
        <v>5.2019999999999997E-2</v>
      </c>
      <c r="H106" s="4" t="s">
        <v>188</v>
      </c>
      <c r="I106" s="4" t="s">
        <v>3</v>
      </c>
      <c r="J106" s="4">
        <f t="shared" si="3"/>
        <v>0</v>
      </c>
      <c r="K106" s="4">
        <f t="shared" si="4"/>
        <v>9</v>
      </c>
      <c r="L106" s="4">
        <f t="shared" si="4"/>
        <v>9</v>
      </c>
      <c r="M106" s="4">
        <f t="shared" si="4"/>
        <v>9</v>
      </c>
      <c r="N106" s="4">
        <f t="shared" si="4"/>
        <v>8</v>
      </c>
      <c r="O106" s="4">
        <f t="shared" si="4"/>
        <v>9</v>
      </c>
      <c r="P106" s="4">
        <f t="shared" si="4"/>
        <v>0</v>
      </c>
      <c r="Q106" s="4">
        <f t="shared" si="4"/>
        <v>0</v>
      </c>
      <c r="R106" s="4">
        <f t="shared" ref="R106:V106" si="28">ROUNDUP(R68/$F68,0)</f>
        <v>8</v>
      </c>
      <c r="S106" s="4">
        <f t="shared" si="28"/>
        <v>9</v>
      </c>
      <c r="T106" s="4">
        <f t="shared" si="28"/>
        <v>8</v>
      </c>
      <c r="U106" s="4">
        <f t="shared" si="28"/>
        <v>9</v>
      </c>
      <c r="V106" s="4">
        <f t="shared" si="28"/>
        <v>8</v>
      </c>
      <c r="W106" s="4">
        <f t="shared" ref="W106:X106" si="29">W68/$F68</f>
        <v>0</v>
      </c>
      <c r="X106" s="4">
        <f t="shared" si="29"/>
        <v>0</v>
      </c>
      <c r="Y106" s="4">
        <f t="shared" ref="Y106:AN106" si="30">ROUNDUP(Y68/$F68,0)</f>
        <v>7</v>
      </c>
      <c r="Z106" s="4">
        <f t="shared" si="30"/>
        <v>8</v>
      </c>
      <c r="AA106" s="4">
        <f t="shared" si="30"/>
        <v>8</v>
      </c>
      <c r="AB106" s="4">
        <f t="shared" si="30"/>
        <v>6</v>
      </c>
      <c r="AC106" s="4">
        <f t="shared" si="30"/>
        <v>7</v>
      </c>
      <c r="AD106" s="4">
        <f t="shared" si="30"/>
        <v>0</v>
      </c>
      <c r="AE106" s="4">
        <f t="shared" si="30"/>
        <v>0</v>
      </c>
      <c r="AF106" s="4">
        <f t="shared" si="30"/>
        <v>7</v>
      </c>
      <c r="AG106" s="4">
        <f t="shared" si="30"/>
        <v>7</v>
      </c>
      <c r="AH106" s="4">
        <f t="shared" si="30"/>
        <v>7</v>
      </c>
      <c r="AI106" s="4">
        <f t="shared" si="30"/>
        <v>7</v>
      </c>
      <c r="AJ106" s="4">
        <f t="shared" si="30"/>
        <v>5</v>
      </c>
      <c r="AK106" s="4">
        <f t="shared" si="30"/>
        <v>0</v>
      </c>
      <c r="AL106" s="4">
        <f t="shared" si="30"/>
        <v>0</v>
      </c>
      <c r="AM106" s="4">
        <f t="shared" si="30"/>
        <v>5</v>
      </c>
      <c r="AN106" s="4">
        <f t="shared" si="30"/>
        <v>5</v>
      </c>
      <c r="AO106" s="4"/>
    </row>
    <row r="107" spans="1:41" ht="15" x14ac:dyDescent="0.2">
      <c r="A107" s="4"/>
      <c r="B107" s="4">
        <v>2038</v>
      </c>
      <c r="C107" s="4" t="s">
        <v>54</v>
      </c>
      <c r="D107" s="54" t="s">
        <v>328</v>
      </c>
      <c r="E107" s="4" t="s">
        <v>16</v>
      </c>
      <c r="F107" s="4">
        <v>2</v>
      </c>
      <c r="G107" s="4">
        <v>6.9360000000000005E-2</v>
      </c>
      <c r="H107" s="4" t="s">
        <v>190</v>
      </c>
      <c r="I107" s="4" t="s">
        <v>3</v>
      </c>
      <c r="J107" s="4">
        <f t="shared" si="3"/>
        <v>0</v>
      </c>
      <c r="K107" s="4">
        <f t="shared" si="4"/>
        <v>368</v>
      </c>
      <c r="L107" s="4">
        <f t="shared" si="4"/>
        <v>370</v>
      </c>
      <c r="M107" s="4">
        <f t="shared" si="4"/>
        <v>352</v>
      </c>
      <c r="N107" s="4">
        <f t="shared" si="4"/>
        <v>370</v>
      </c>
      <c r="O107" s="4">
        <f t="shared" si="4"/>
        <v>354</v>
      </c>
      <c r="P107" s="4">
        <f t="shared" si="4"/>
        <v>0</v>
      </c>
      <c r="Q107" s="4">
        <f t="shared" si="4"/>
        <v>0</v>
      </c>
      <c r="R107" s="4">
        <f t="shared" ref="R107:V107" si="31">ROUNDUP(R69/$F69,0)</f>
        <v>370</v>
      </c>
      <c r="S107" s="4">
        <f t="shared" si="31"/>
        <v>350</v>
      </c>
      <c r="T107" s="4">
        <f t="shared" si="31"/>
        <v>350</v>
      </c>
      <c r="U107" s="4">
        <f t="shared" si="31"/>
        <v>368</v>
      </c>
      <c r="V107" s="4">
        <f t="shared" si="31"/>
        <v>350</v>
      </c>
      <c r="W107" s="4">
        <f t="shared" ref="W107:X107" si="32">W69/$F69</f>
        <v>0</v>
      </c>
      <c r="X107" s="4">
        <f t="shared" si="32"/>
        <v>0</v>
      </c>
      <c r="Y107" s="4">
        <f t="shared" ref="Y107:AN107" si="33">ROUNDUP(Y69/$F69,0)</f>
        <v>372</v>
      </c>
      <c r="Z107" s="4">
        <f t="shared" si="33"/>
        <v>370</v>
      </c>
      <c r="AA107" s="4">
        <f t="shared" si="33"/>
        <v>352</v>
      </c>
      <c r="AB107" s="4">
        <f t="shared" si="33"/>
        <v>372</v>
      </c>
      <c r="AC107" s="4">
        <f t="shared" si="33"/>
        <v>352</v>
      </c>
      <c r="AD107" s="4">
        <f t="shared" si="33"/>
        <v>0</v>
      </c>
      <c r="AE107" s="4">
        <f t="shared" si="33"/>
        <v>0</v>
      </c>
      <c r="AF107" s="4">
        <f t="shared" si="33"/>
        <v>334</v>
      </c>
      <c r="AG107" s="4">
        <f t="shared" si="33"/>
        <v>334</v>
      </c>
      <c r="AH107" s="4">
        <f t="shared" si="33"/>
        <v>316</v>
      </c>
      <c r="AI107" s="4">
        <f t="shared" si="33"/>
        <v>334</v>
      </c>
      <c r="AJ107" s="4">
        <f t="shared" si="33"/>
        <v>316</v>
      </c>
      <c r="AK107" s="4">
        <f t="shared" si="33"/>
        <v>0</v>
      </c>
      <c r="AL107" s="4">
        <f t="shared" si="33"/>
        <v>0</v>
      </c>
      <c r="AM107" s="4">
        <f t="shared" si="33"/>
        <v>258</v>
      </c>
      <c r="AN107" s="4">
        <f t="shared" si="33"/>
        <v>258</v>
      </c>
      <c r="AO107" s="4"/>
    </row>
    <row r="108" spans="1:41" ht="15" x14ac:dyDescent="0.2">
      <c r="A108" s="4"/>
      <c r="B108" s="4">
        <v>2038</v>
      </c>
      <c r="C108" s="4" t="s">
        <v>54</v>
      </c>
      <c r="D108" s="54" t="s">
        <v>329</v>
      </c>
      <c r="E108" s="4" t="s">
        <v>16</v>
      </c>
      <c r="F108" s="4">
        <v>2</v>
      </c>
      <c r="G108" s="4">
        <v>6.9360000000000005E-2</v>
      </c>
      <c r="H108" s="4" t="s">
        <v>190</v>
      </c>
      <c r="I108" s="4" t="s">
        <v>3</v>
      </c>
      <c r="J108" s="4">
        <f t="shared" si="3"/>
        <v>0</v>
      </c>
      <c r="K108" s="4">
        <f t="shared" si="4"/>
        <v>38</v>
      </c>
      <c r="L108" s="4">
        <f t="shared" si="4"/>
        <v>38</v>
      </c>
      <c r="M108" s="4">
        <f t="shared" si="4"/>
        <v>36</v>
      </c>
      <c r="N108" s="4">
        <f t="shared" si="4"/>
        <v>38</v>
      </c>
      <c r="O108" s="4">
        <f t="shared" si="4"/>
        <v>36</v>
      </c>
      <c r="P108" s="4">
        <f t="shared" si="4"/>
        <v>0</v>
      </c>
      <c r="Q108" s="4">
        <f t="shared" si="4"/>
        <v>0</v>
      </c>
      <c r="R108" s="4">
        <f t="shared" ref="R108:V108" si="34">ROUNDUP(R70/$F70,0)</f>
        <v>38</v>
      </c>
      <c r="S108" s="4">
        <f t="shared" si="34"/>
        <v>36</v>
      </c>
      <c r="T108" s="4">
        <f t="shared" si="34"/>
        <v>36</v>
      </c>
      <c r="U108" s="4">
        <f t="shared" si="34"/>
        <v>38</v>
      </c>
      <c r="V108" s="4">
        <f t="shared" si="34"/>
        <v>36</v>
      </c>
      <c r="W108" s="4">
        <f t="shared" ref="W108:X108" si="35">W70/$F70</f>
        <v>0</v>
      </c>
      <c r="X108" s="4">
        <f t="shared" si="35"/>
        <v>0</v>
      </c>
      <c r="Y108" s="4">
        <f t="shared" ref="Y108:AN108" si="36">ROUNDUP(Y70/$F70,0)</f>
        <v>38</v>
      </c>
      <c r="Z108" s="4">
        <f t="shared" si="36"/>
        <v>38</v>
      </c>
      <c r="AA108" s="4">
        <f t="shared" si="36"/>
        <v>36</v>
      </c>
      <c r="AB108" s="4">
        <f t="shared" si="36"/>
        <v>38</v>
      </c>
      <c r="AC108" s="4">
        <f t="shared" si="36"/>
        <v>36</v>
      </c>
      <c r="AD108" s="4">
        <f t="shared" si="36"/>
        <v>0</v>
      </c>
      <c r="AE108" s="4">
        <f t="shared" si="36"/>
        <v>0</v>
      </c>
      <c r="AF108" s="4">
        <f t="shared" si="36"/>
        <v>32</v>
      </c>
      <c r="AG108" s="4">
        <f t="shared" si="36"/>
        <v>32</v>
      </c>
      <c r="AH108" s="4">
        <f t="shared" si="36"/>
        <v>30</v>
      </c>
      <c r="AI108" s="4">
        <f t="shared" si="36"/>
        <v>32</v>
      </c>
      <c r="AJ108" s="4">
        <f t="shared" si="36"/>
        <v>30</v>
      </c>
      <c r="AK108" s="4">
        <f t="shared" si="36"/>
        <v>0</v>
      </c>
      <c r="AL108" s="4">
        <f t="shared" si="36"/>
        <v>0</v>
      </c>
      <c r="AM108" s="4">
        <f t="shared" si="36"/>
        <v>26</v>
      </c>
      <c r="AN108" s="4">
        <f t="shared" si="36"/>
        <v>26</v>
      </c>
      <c r="AO108" s="4"/>
    </row>
    <row r="109" spans="1:41" ht="15" x14ac:dyDescent="0.2">
      <c r="A109" s="4"/>
      <c r="B109" s="4">
        <v>2038</v>
      </c>
      <c r="C109" s="4" t="s">
        <v>54</v>
      </c>
      <c r="D109" s="54" t="s">
        <v>330</v>
      </c>
      <c r="E109" s="4" t="s">
        <v>63</v>
      </c>
      <c r="F109" s="4">
        <v>1</v>
      </c>
      <c r="G109" s="4">
        <v>2.8900000000000002E-2</v>
      </c>
      <c r="H109" s="4" t="s">
        <v>235</v>
      </c>
      <c r="I109" s="4" t="s">
        <v>3</v>
      </c>
      <c r="J109" s="4">
        <f t="shared" si="3"/>
        <v>0</v>
      </c>
      <c r="K109" s="4">
        <f t="shared" si="4"/>
        <v>114</v>
      </c>
      <c r="L109" s="4">
        <f t="shared" si="4"/>
        <v>114</v>
      </c>
      <c r="M109" s="4">
        <f t="shared" si="4"/>
        <v>108</v>
      </c>
      <c r="N109" s="4">
        <f t="shared" si="4"/>
        <v>120</v>
      </c>
      <c r="O109" s="4">
        <f t="shared" si="4"/>
        <v>108</v>
      </c>
      <c r="P109" s="4">
        <f t="shared" si="4"/>
        <v>0</v>
      </c>
      <c r="Q109" s="4">
        <f t="shared" si="4"/>
        <v>0</v>
      </c>
      <c r="R109" s="4">
        <f t="shared" ref="R109:V109" si="37">ROUNDUP(R71/$F71,0)</f>
        <v>108</v>
      </c>
      <c r="S109" s="4">
        <f t="shared" si="37"/>
        <v>114</v>
      </c>
      <c r="T109" s="4">
        <f t="shared" si="37"/>
        <v>126</v>
      </c>
      <c r="U109" s="4">
        <f t="shared" si="37"/>
        <v>132</v>
      </c>
      <c r="V109" s="4">
        <f t="shared" si="37"/>
        <v>126</v>
      </c>
      <c r="W109" s="4">
        <f t="shared" ref="W109:X109" si="38">W71/$F71</f>
        <v>0</v>
      </c>
      <c r="X109" s="4">
        <f t="shared" si="38"/>
        <v>0</v>
      </c>
      <c r="Y109" s="4">
        <f t="shared" ref="Y109:AN109" si="39">ROUNDUP(Y71/$F71,0)</f>
        <v>132</v>
      </c>
      <c r="Z109" s="4">
        <f t="shared" si="39"/>
        <v>132</v>
      </c>
      <c r="AA109" s="4">
        <f t="shared" si="39"/>
        <v>120</v>
      </c>
      <c r="AB109" s="4">
        <f t="shared" si="39"/>
        <v>126</v>
      </c>
      <c r="AC109" s="4">
        <f t="shared" si="39"/>
        <v>108</v>
      </c>
      <c r="AD109" s="4">
        <f t="shared" si="39"/>
        <v>0</v>
      </c>
      <c r="AE109" s="4">
        <f t="shared" si="39"/>
        <v>0</v>
      </c>
      <c r="AF109" s="4">
        <f t="shared" si="39"/>
        <v>120</v>
      </c>
      <c r="AG109" s="4">
        <f t="shared" si="39"/>
        <v>120</v>
      </c>
      <c r="AH109" s="4">
        <f t="shared" si="39"/>
        <v>114</v>
      </c>
      <c r="AI109" s="4">
        <f t="shared" si="39"/>
        <v>120</v>
      </c>
      <c r="AJ109" s="4">
        <f t="shared" si="39"/>
        <v>120</v>
      </c>
      <c r="AK109" s="4">
        <f t="shared" si="39"/>
        <v>0</v>
      </c>
      <c r="AL109" s="4">
        <f t="shared" si="39"/>
        <v>0</v>
      </c>
      <c r="AM109" s="4">
        <f t="shared" si="39"/>
        <v>126</v>
      </c>
      <c r="AN109" s="4">
        <f t="shared" si="39"/>
        <v>126</v>
      </c>
      <c r="AO109" s="4"/>
    </row>
    <row r="110" spans="1:41" ht="15" x14ac:dyDescent="0.2">
      <c r="A110" s="4"/>
      <c r="B110" s="4">
        <v>2038</v>
      </c>
      <c r="C110" s="4" t="s">
        <v>54</v>
      </c>
      <c r="D110" s="54" t="s">
        <v>331</v>
      </c>
      <c r="E110" s="4" t="s">
        <v>16</v>
      </c>
      <c r="F110" s="4">
        <v>30</v>
      </c>
      <c r="G110" s="4">
        <v>0.38556000000000001</v>
      </c>
      <c r="H110" s="4" t="s">
        <v>239</v>
      </c>
      <c r="I110" s="4" t="s">
        <v>3</v>
      </c>
      <c r="J110" s="4">
        <f t="shared" si="3"/>
        <v>0</v>
      </c>
      <c r="K110" s="4">
        <f t="shared" si="4"/>
        <v>2</v>
      </c>
      <c r="L110" s="4">
        <f t="shared" si="4"/>
        <v>2</v>
      </c>
      <c r="M110" s="4">
        <f t="shared" si="4"/>
        <v>2</v>
      </c>
      <c r="N110" s="4">
        <f t="shared" si="4"/>
        <v>2</v>
      </c>
      <c r="O110" s="4">
        <f t="shared" si="4"/>
        <v>2</v>
      </c>
      <c r="P110" s="4">
        <f t="shared" si="4"/>
        <v>0</v>
      </c>
      <c r="Q110" s="4">
        <f t="shared" si="4"/>
        <v>0</v>
      </c>
      <c r="R110" s="4">
        <f t="shared" ref="R110:V110" si="40">ROUNDUP(R72/$F72,0)</f>
        <v>2</v>
      </c>
      <c r="S110" s="4">
        <f t="shared" si="40"/>
        <v>2</v>
      </c>
      <c r="T110" s="4">
        <f t="shared" si="40"/>
        <v>2</v>
      </c>
      <c r="U110" s="4">
        <f t="shared" si="40"/>
        <v>2</v>
      </c>
      <c r="V110" s="4">
        <f t="shared" si="40"/>
        <v>2</v>
      </c>
      <c r="W110" s="4">
        <f t="shared" ref="W110:X110" si="41">W72/$F72</f>
        <v>0</v>
      </c>
      <c r="X110" s="4">
        <f t="shared" si="41"/>
        <v>0</v>
      </c>
      <c r="Y110" s="4">
        <f t="shared" ref="Y110:AN110" si="42">ROUNDUP(Y72/$F72,0)</f>
        <v>2</v>
      </c>
      <c r="Z110" s="4">
        <f t="shared" si="42"/>
        <v>2</v>
      </c>
      <c r="AA110" s="4">
        <f t="shared" si="42"/>
        <v>2</v>
      </c>
      <c r="AB110" s="4">
        <f t="shared" si="42"/>
        <v>2</v>
      </c>
      <c r="AC110" s="4">
        <f t="shared" si="42"/>
        <v>2</v>
      </c>
      <c r="AD110" s="4">
        <f t="shared" si="42"/>
        <v>0</v>
      </c>
      <c r="AE110" s="4">
        <f t="shared" si="42"/>
        <v>0</v>
      </c>
      <c r="AF110" s="4">
        <f t="shared" si="42"/>
        <v>2</v>
      </c>
      <c r="AG110" s="4">
        <f t="shared" si="42"/>
        <v>2</v>
      </c>
      <c r="AH110" s="4">
        <f t="shared" si="42"/>
        <v>2</v>
      </c>
      <c r="AI110" s="4">
        <f t="shared" si="42"/>
        <v>2</v>
      </c>
      <c r="AJ110" s="4">
        <f t="shared" si="42"/>
        <v>2</v>
      </c>
      <c r="AK110" s="4">
        <f t="shared" si="42"/>
        <v>0</v>
      </c>
      <c r="AL110" s="4">
        <f t="shared" si="42"/>
        <v>0</v>
      </c>
      <c r="AM110" s="4">
        <f t="shared" si="42"/>
        <v>2</v>
      </c>
      <c r="AN110" s="4">
        <f t="shared" si="42"/>
        <v>2</v>
      </c>
      <c r="AO110" s="4"/>
    </row>
    <row r="111" spans="1:41" ht="15" x14ac:dyDescent="0.2">
      <c r="A111" s="4"/>
      <c r="B111" s="4">
        <v>2038</v>
      </c>
      <c r="C111" s="4" t="s">
        <v>54</v>
      </c>
      <c r="D111" s="54" t="s">
        <v>332</v>
      </c>
      <c r="E111" s="4" t="s">
        <v>16</v>
      </c>
      <c r="F111" s="4">
        <v>30</v>
      </c>
      <c r="G111" s="4">
        <v>0.38556000000000001</v>
      </c>
      <c r="H111" s="4" t="s">
        <v>239</v>
      </c>
      <c r="I111" s="4" t="s">
        <v>3</v>
      </c>
      <c r="J111" s="4">
        <f t="shared" si="3"/>
        <v>0</v>
      </c>
      <c r="K111" s="4">
        <f t="shared" si="4"/>
        <v>50</v>
      </c>
      <c r="L111" s="4">
        <f t="shared" si="4"/>
        <v>50</v>
      </c>
      <c r="M111" s="4">
        <f t="shared" si="4"/>
        <v>47</v>
      </c>
      <c r="N111" s="4">
        <f t="shared" si="4"/>
        <v>50</v>
      </c>
      <c r="O111" s="4">
        <f t="shared" si="4"/>
        <v>47</v>
      </c>
      <c r="P111" s="4">
        <f t="shared" si="4"/>
        <v>0</v>
      </c>
      <c r="Q111" s="4">
        <f t="shared" si="4"/>
        <v>0</v>
      </c>
      <c r="R111" s="4">
        <f t="shared" ref="R111:V111" si="43">ROUNDUP(R73/$F73,0)</f>
        <v>50</v>
      </c>
      <c r="S111" s="4">
        <f t="shared" si="43"/>
        <v>47</v>
      </c>
      <c r="T111" s="4">
        <f t="shared" si="43"/>
        <v>47</v>
      </c>
      <c r="U111" s="4">
        <f t="shared" si="43"/>
        <v>50</v>
      </c>
      <c r="V111" s="4">
        <f t="shared" si="43"/>
        <v>47</v>
      </c>
      <c r="W111" s="4">
        <f t="shared" ref="W111:X111" si="44">W73/$F73</f>
        <v>0</v>
      </c>
      <c r="X111" s="4">
        <f t="shared" si="44"/>
        <v>0</v>
      </c>
      <c r="Y111" s="4">
        <f t="shared" ref="Y111:AN111" si="45">ROUNDUP(Y73/$F73,0)</f>
        <v>50</v>
      </c>
      <c r="Z111" s="4">
        <f t="shared" si="45"/>
        <v>50</v>
      </c>
      <c r="AA111" s="4">
        <f t="shared" si="45"/>
        <v>47</v>
      </c>
      <c r="AB111" s="4">
        <f t="shared" si="45"/>
        <v>50</v>
      </c>
      <c r="AC111" s="4">
        <f t="shared" si="45"/>
        <v>47</v>
      </c>
      <c r="AD111" s="4">
        <f t="shared" si="45"/>
        <v>0</v>
      </c>
      <c r="AE111" s="4">
        <f t="shared" si="45"/>
        <v>0</v>
      </c>
      <c r="AF111" s="4">
        <f t="shared" si="45"/>
        <v>50</v>
      </c>
      <c r="AG111" s="4">
        <f t="shared" si="45"/>
        <v>50</v>
      </c>
      <c r="AH111" s="4">
        <f t="shared" si="45"/>
        <v>47</v>
      </c>
      <c r="AI111" s="4">
        <f t="shared" si="45"/>
        <v>50</v>
      </c>
      <c r="AJ111" s="4">
        <f t="shared" si="45"/>
        <v>47</v>
      </c>
      <c r="AK111" s="4">
        <f t="shared" si="45"/>
        <v>0</v>
      </c>
      <c r="AL111" s="4">
        <f t="shared" si="45"/>
        <v>0</v>
      </c>
      <c r="AM111" s="4">
        <f t="shared" si="45"/>
        <v>50</v>
      </c>
      <c r="AN111" s="4">
        <f t="shared" si="45"/>
        <v>50</v>
      </c>
      <c r="AO111" s="4"/>
    </row>
    <row r="112" spans="1:41" ht="15" x14ac:dyDescent="0.2">
      <c r="A112" s="4"/>
      <c r="B112" s="4">
        <v>2038</v>
      </c>
      <c r="C112" s="4" t="s">
        <v>54</v>
      </c>
      <c r="D112" s="54" t="s">
        <v>333</v>
      </c>
      <c r="E112" s="4" t="s">
        <v>14</v>
      </c>
      <c r="F112" s="4">
        <v>7</v>
      </c>
      <c r="G112" s="4">
        <v>2.8900000000000002E-2</v>
      </c>
      <c r="H112" s="4" t="s">
        <v>235</v>
      </c>
      <c r="I112" s="4" t="s">
        <v>3</v>
      </c>
      <c r="J112" s="4">
        <f t="shared" si="3"/>
        <v>0</v>
      </c>
      <c r="K112" s="4">
        <f t="shared" si="4"/>
        <v>23</v>
      </c>
      <c r="L112" s="4">
        <f t="shared" si="4"/>
        <v>0</v>
      </c>
      <c r="M112" s="4">
        <f t="shared" si="4"/>
        <v>0</v>
      </c>
      <c r="N112" s="4">
        <f t="shared" si="4"/>
        <v>0</v>
      </c>
      <c r="O112" s="4">
        <f t="shared" si="4"/>
        <v>0</v>
      </c>
      <c r="P112" s="4">
        <f t="shared" si="4"/>
        <v>0</v>
      </c>
      <c r="Q112" s="4">
        <f t="shared" si="4"/>
        <v>0</v>
      </c>
      <c r="R112" s="4">
        <f t="shared" ref="R112:V112" si="46">ROUNDUP(R74/$F74,0)</f>
        <v>21</v>
      </c>
      <c r="S112" s="4">
        <f t="shared" si="46"/>
        <v>0</v>
      </c>
      <c r="T112" s="4">
        <f t="shared" si="46"/>
        <v>0</v>
      </c>
      <c r="U112" s="4">
        <f t="shared" si="46"/>
        <v>0</v>
      </c>
      <c r="V112" s="4">
        <f t="shared" si="46"/>
        <v>0</v>
      </c>
      <c r="W112" s="4">
        <f t="shared" ref="W112:X112" si="47">W74/$F74</f>
        <v>0</v>
      </c>
      <c r="X112" s="4">
        <f t="shared" si="47"/>
        <v>0</v>
      </c>
      <c r="Y112" s="4">
        <f t="shared" ref="Y112:AN112" si="48">ROUNDUP(Y74/$F74,0)</f>
        <v>18</v>
      </c>
      <c r="Z112" s="4">
        <f t="shared" si="48"/>
        <v>0</v>
      </c>
      <c r="AA112" s="4">
        <f t="shared" si="48"/>
        <v>0</v>
      </c>
      <c r="AB112" s="4">
        <f t="shared" si="48"/>
        <v>0</v>
      </c>
      <c r="AC112" s="4">
        <f t="shared" si="48"/>
        <v>0</v>
      </c>
      <c r="AD112" s="4">
        <f t="shared" si="48"/>
        <v>0</v>
      </c>
      <c r="AE112" s="4">
        <f t="shared" si="48"/>
        <v>0</v>
      </c>
      <c r="AF112" s="4">
        <f t="shared" si="48"/>
        <v>20</v>
      </c>
      <c r="AG112" s="4">
        <f t="shared" si="48"/>
        <v>0</v>
      </c>
      <c r="AH112" s="4">
        <f t="shared" si="48"/>
        <v>0</v>
      </c>
      <c r="AI112" s="4">
        <f t="shared" si="48"/>
        <v>0</v>
      </c>
      <c r="AJ112" s="4">
        <f t="shared" si="48"/>
        <v>0</v>
      </c>
      <c r="AK112" s="4">
        <f t="shared" si="48"/>
        <v>0</v>
      </c>
      <c r="AL112" s="4">
        <f t="shared" si="48"/>
        <v>0</v>
      </c>
      <c r="AM112" s="4">
        <f t="shared" si="48"/>
        <v>20</v>
      </c>
      <c r="AN112" s="4">
        <f t="shared" si="48"/>
        <v>0</v>
      </c>
      <c r="AO112" s="4"/>
    </row>
    <row r="113" spans="1:41" ht="15" x14ac:dyDescent="0.2">
      <c r="A113" s="4"/>
      <c r="B113" s="4">
        <v>2038</v>
      </c>
      <c r="C113" s="4" t="s">
        <v>54</v>
      </c>
      <c r="D113" s="54" t="s">
        <v>334</v>
      </c>
      <c r="E113" s="4" t="s">
        <v>13</v>
      </c>
      <c r="F113" s="4">
        <v>2</v>
      </c>
      <c r="G113" s="4">
        <v>2.8900000000000002E-2</v>
      </c>
      <c r="H113" s="4" t="s">
        <v>235</v>
      </c>
      <c r="I113" s="4" t="s">
        <v>3</v>
      </c>
      <c r="J113" s="4">
        <f t="shared" si="3"/>
        <v>0</v>
      </c>
      <c r="K113" s="4">
        <f t="shared" si="4"/>
        <v>17</v>
      </c>
      <c r="L113" s="4">
        <f t="shared" si="4"/>
        <v>17</v>
      </c>
      <c r="M113" s="4">
        <f t="shared" si="4"/>
        <v>16</v>
      </c>
      <c r="N113" s="4">
        <f t="shared" si="4"/>
        <v>16</v>
      </c>
      <c r="O113" s="4">
        <f t="shared" si="4"/>
        <v>16</v>
      </c>
      <c r="P113" s="4">
        <f t="shared" si="4"/>
        <v>0</v>
      </c>
      <c r="Q113" s="4">
        <f t="shared" si="4"/>
        <v>0</v>
      </c>
      <c r="R113" s="4">
        <f t="shared" ref="R113:V113" si="49">ROUNDUP(R75/$F75,0)</f>
        <v>16</v>
      </c>
      <c r="S113" s="4">
        <f t="shared" si="49"/>
        <v>17</v>
      </c>
      <c r="T113" s="4">
        <f t="shared" si="49"/>
        <v>16</v>
      </c>
      <c r="U113" s="4">
        <f t="shared" si="49"/>
        <v>16</v>
      </c>
      <c r="V113" s="4">
        <f t="shared" si="49"/>
        <v>16</v>
      </c>
      <c r="W113" s="4">
        <f t="shared" ref="W113:X113" si="50">W75/$F75</f>
        <v>0</v>
      </c>
      <c r="X113" s="4">
        <f t="shared" si="50"/>
        <v>0</v>
      </c>
      <c r="Y113" s="4">
        <f t="shared" ref="Y113:AN113" si="51">ROUNDUP(Y75/$F75,0)</f>
        <v>16</v>
      </c>
      <c r="Z113" s="4">
        <f t="shared" si="51"/>
        <v>16</v>
      </c>
      <c r="AA113" s="4">
        <f t="shared" si="51"/>
        <v>16</v>
      </c>
      <c r="AB113" s="4">
        <f t="shared" si="51"/>
        <v>16</v>
      </c>
      <c r="AC113" s="4">
        <f t="shared" si="51"/>
        <v>16</v>
      </c>
      <c r="AD113" s="4">
        <f t="shared" si="51"/>
        <v>0</v>
      </c>
      <c r="AE113" s="4">
        <f t="shared" si="51"/>
        <v>0</v>
      </c>
      <c r="AF113" s="4">
        <f t="shared" si="51"/>
        <v>16</v>
      </c>
      <c r="AG113" s="4">
        <f t="shared" si="51"/>
        <v>16</v>
      </c>
      <c r="AH113" s="4">
        <f t="shared" si="51"/>
        <v>16</v>
      </c>
      <c r="AI113" s="4">
        <f t="shared" si="51"/>
        <v>16</v>
      </c>
      <c r="AJ113" s="4">
        <f t="shared" si="51"/>
        <v>17</v>
      </c>
      <c r="AK113" s="4">
        <f t="shared" si="51"/>
        <v>0</v>
      </c>
      <c r="AL113" s="4">
        <f t="shared" si="51"/>
        <v>0</v>
      </c>
      <c r="AM113" s="4">
        <f t="shared" si="51"/>
        <v>16</v>
      </c>
      <c r="AN113" s="4">
        <f t="shared" si="51"/>
        <v>16</v>
      </c>
      <c r="AO113" s="4"/>
    </row>
    <row r="114" spans="1:41" ht="15" x14ac:dyDescent="0.2">
      <c r="A114" s="4"/>
      <c r="B114" s="4">
        <v>2038</v>
      </c>
      <c r="C114" s="4" t="s">
        <v>54</v>
      </c>
      <c r="D114" s="54" t="s">
        <v>335</v>
      </c>
      <c r="E114" s="4" t="s">
        <v>18</v>
      </c>
      <c r="F114" s="4">
        <v>15</v>
      </c>
      <c r="G114" s="4">
        <v>1.6750000000000001E-2</v>
      </c>
      <c r="H114" s="4" t="s">
        <v>202</v>
      </c>
      <c r="I114" s="4" t="s">
        <v>3</v>
      </c>
      <c r="J114" s="4">
        <f t="shared" si="3"/>
        <v>0</v>
      </c>
      <c r="K114" s="4">
        <f t="shared" si="4"/>
        <v>102</v>
      </c>
      <c r="L114" s="4">
        <f t="shared" si="4"/>
        <v>102</v>
      </c>
      <c r="M114" s="4">
        <f t="shared" si="4"/>
        <v>96</v>
      </c>
      <c r="N114" s="4">
        <f t="shared" si="4"/>
        <v>102</v>
      </c>
      <c r="O114" s="4">
        <f t="shared" si="4"/>
        <v>96</v>
      </c>
      <c r="P114" s="4">
        <f t="shared" si="4"/>
        <v>0</v>
      </c>
      <c r="Q114" s="4">
        <f t="shared" si="4"/>
        <v>0</v>
      </c>
      <c r="R114" s="4">
        <f t="shared" ref="R114:V114" si="52">ROUNDUP(R76/$F76,0)</f>
        <v>102</v>
      </c>
      <c r="S114" s="4">
        <f t="shared" si="52"/>
        <v>96</v>
      </c>
      <c r="T114" s="4">
        <f t="shared" si="52"/>
        <v>96</v>
      </c>
      <c r="U114" s="4">
        <f t="shared" si="52"/>
        <v>102</v>
      </c>
      <c r="V114" s="4">
        <f t="shared" si="52"/>
        <v>96</v>
      </c>
      <c r="W114" s="4">
        <f t="shared" ref="W114:X114" si="53">W76/$F76</f>
        <v>0</v>
      </c>
      <c r="X114" s="4">
        <f t="shared" si="53"/>
        <v>0</v>
      </c>
      <c r="Y114" s="4">
        <f t="shared" ref="Y114:AN114" si="54">ROUNDUP(Y76/$F76,0)</f>
        <v>102</v>
      </c>
      <c r="Z114" s="4">
        <f t="shared" si="54"/>
        <v>102</v>
      </c>
      <c r="AA114" s="4">
        <f t="shared" si="54"/>
        <v>96</v>
      </c>
      <c r="AB114" s="4">
        <f t="shared" si="54"/>
        <v>102</v>
      </c>
      <c r="AC114" s="4">
        <f t="shared" si="54"/>
        <v>96</v>
      </c>
      <c r="AD114" s="4">
        <f t="shared" si="54"/>
        <v>0</v>
      </c>
      <c r="AE114" s="4">
        <f t="shared" si="54"/>
        <v>0</v>
      </c>
      <c r="AF114" s="4">
        <f t="shared" si="54"/>
        <v>102</v>
      </c>
      <c r="AG114" s="4">
        <f t="shared" si="54"/>
        <v>102</v>
      </c>
      <c r="AH114" s="4">
        <f t="shared" si="54"/>
        <v>96</v>
      </c>
      <c r="AI114" s="4">
        <f t="shared" si="54"/>
        <v>102</v>
      </c>
      <c r="AJ114" s="4">
        <f t="shared" si="54"/>
        <v>96</v>
      </c>
      <c r="AK114" s="4">
        <f t="shared" si="54"/>
        <v>0</v>
      </c>
      <c r="AL114" s="4">
        <f t="shared" si="54"/>
        <v>0</v>
      </c>
      <c r="AM114" s="4">
        <f t="shared" si="54"/>
        <v>102</v>
      </c>
      <c r="AN114" s="4">
        <f t="shared" si="54"/>
        <v>102</v>
      </c>
      <c r="AO114" s="4"/>
    </row>
    <row r="115" spans="1:41" ht="15" x14ac:dyDescent="0.2">
      <c r="A115" s="4"/>
      <c r="B115" s="4">
        <v>2038</v>
      </c>
      <c r="C115" s="4" t="s">
        <v>54</v>
      </c>
      <c r="D115" s="54" t="s">
        <v>336</v>
      </c>
      <c r="E115" s="4" t="s">
        <v>17</v>
      </c>
      <c r="F115" s="4">
        <v>4</v>
      </c>
      <c r="G115" s="4">
        <v>1.6833750000000001E-2</v>
      </c>
      <c r="H115" s="4" t="s">
        <v>196</v>
      </c>
      <c r="I115" s="4" t="s">
        <v>3</v>
      </c>
      <c r="J115" s="4">
        <f t="shared" si="3"/>
        <v>0</v>
      </c>
      <c r="K115" s="4">
        <f t="shared" si="4"/>
        <v>0</v>
      </c>
      <c r="L115" s="4">
        <f t="shared" si="4"/>
        <v>0</v>
      </c>
      <c r="M115" s="4">
        <f t="shared" si="4"/>
        <v>0</v>
      </c>
      <c r="N115" s="4">
        <f t="shared" si="4"/>
        <v>0</v>
      </c>
      <c r="O115" s="4">
        <f t="shared" si="4"/>
        <v>0</v>
      </c>
      <c r="P115" s="4">
        <f t="shared" si="4"/>
        <v>0</v>
      </c>
      <c r="Q115" s="4">
        <f t="shared" si="4"/>
        <v>0</v>
      </c>
      <c r="R115" s="4">
        <f t="shared" ref="R115:V115" si="55">ROUNDUP(R77/$F77,0)</f>
        <v>0</v>
      </c>
      <c r="S115" s="4">
        <f t="shared" si="55"/>
        <v>0</v>
      </c>
      <c r="T115" s="4">
        <f t="shared" si="55"/>
        <v>0</v>
      </c>
      <c r="U115" s="4">
        <f t="shared" si="55"/>
        <v>0</v>
      </c>
      <c r="V115" s="4">
        <f t="shared" si="55"/>
        <v>0</v>
      </c>
      <c r="W115" s="4">
        <f t="shared" ref="W115:X115" si="56">W77/$F77</f>
        <v>0</v>
      </c>
      <c r="X115" s="4">
        <f t="shared" si="56"/>
        <v>0</v>
      </c>
      <c r="Y115" s="4">
        <f t="shared" ref="Y115:AN115" si="57">ROUNDUP(Y77/$F77,0)</f>
        <v>0</v>
      </c>
      <c r="Z115" s="4">
        <f t="shared" si="57"/>
        <v>0</v>
      </c>
      <c r="AA115" s="4">
        <f t="shared" si="57"/>
        <v>0</v>
      </c>
      <c r="AB115" s="4">
        <f t="shared" si="57"/>
        <v>0</v>
      </c>
      <c r="AC115" s="4">
        <f t="shared" si="57"/>
        <v>0</v>
      </c>
      <c r="AD115" s="4">
        <f t="shared" si="57"/>
        <v>0</v>
      </c>
      <c r="AE115" s="4">
        <f t="shared" si="57"/>
        <v>0</v>
      </c>
      <c r="AF115" s="4">
        <f t="shared" si="57"/>
        <v>0</v>
      </c>
      <c r="AG115" s="4">
        <f t="shared" si="57"/>
        <v>0</v>
      </c>
      <c r="AH115" s="4">
        <f t="shared" si="57"/>
        <v>0</v>
      </c>
      <c r="AI115" s="4">
        <f t="shared" si="57"/>
        <v>0</v>
      </c>
      <c r="AJ115" s="4">
        <f t="shared" si="57"/>
        <v>0</v>
      </c>
      <c r="AK115" s="4">
        <f t="shared" si="57"/>
        <v>0</v>
      </c>
      <c r="AL115" s="4">
        <f t="shared" si="57"/>
        <v>0</v>
      </c>
      <c r="AM115" s="4">
        <f t="shared" si="57"/>
        <v>0</v>
      </c>
      <c r="AN115" s="4">
        <f t="shared" si="57"/>
        <v>0</v>
      </c>
      <c r="AO115" s="4"/>
    </row>
    <row r="116" spans="1:41" ht="15" x14ac:dyDescent="0.2">
      <c r="A116" s="4"/>
      <c r="B116" s="4">
        <v>2038</v>
      </c>
      <c r="C116" s="4" t="s">
        <v>54</v>
      </c>
      <c r="D116" s="54" t="s">
        <v>337</v>
      </c>
      <c r="E116" s="4" t="s">
        <v>17</v>
      </c>
      <c r="F116" s="4">
        <v>4</v>
      </c>
      <c r="G116" s="4">
        <v>1.6833750000000001E-2</v>
      </c>
      <c r="H116" s="4" t="s">
        <v>196</v>
      </c>
      <c r="I116" s="4" t="s">
        <v>3</v>
      </c>
      <c r="J116" s="4">
        <f t="shared" si="3"/>
        <v>0</v>
      </c>
      <c r="K116" s="4">
        <f t="shared" si="4"/>
        <v>0</v>
      </c>
      <c r="L116" s="4">
        <f t="shared" si="4"/>
        <v>0</v>
      </c>
      <c r="M116" s="4">
        <f t="shared" si="4"/>
        <v>36</v>
      </c>
      <c r="N116" s="4">
        <f t="shared" si="4"/>
        <v>0</v>
      </c>
      <c r="O116" s="4">
        <f t="shared" si="4"/>
        <v>0</v>
      </c>
      <c r="P116" s="4">
        <f t="shared" si="4"/>
        <v>0</v>
      </c>
      <c r="Q116" s="4">
        <f t="shared" si="4"/>
        <v>0</v>
      </c>
      <c r="R116" s="4">
        <f t="shared" ref="R116:V116" si="58">ROUNDUP(R78/$F78,0)</f>
        <v>0</v>
      </c>
      <c r="S116" s="4">
        <f t="shared" si="58"/>
        <v>47</v>
      </c>
      <c r="T116" s="4">
        <f t="shared" si="58"/>
        <v>0</v>
      </c>
      <c r="U116" s="4">
        <f t="shared" si="58"/>
        <v>0</v>
      </c>
      <c r="V116" s="4">
        <f t="shared" si="58"/>
        <v>0</v>
      </c>
      <c r="W116" s="4">
        <f t="shared" ref="W116:X116" si="59">W78/$F78</f>
        <v>0</v>
      </c>
      <c r="X116" s="4">
        <f t="shared" si="59"/>
        <v>0</v>
      </c>
      <c r="Y116" s="4">
        <f t="shared" ref="Y116:AN116" si="60">ROUNDUP(Y78/$F78,0)</f>
        <v>0</v>
      </c>
      <c r="Z116" s="4">
        <f t="shared" si="60"/>
        <v>0</v>
      </c>
      <c r="AA116" s="4">
        <f t="shared" si="60"/>
        <v>0</v>
      </c>
      <c r="AB116" s="4">
        <f t="shared" si="60"/>
        <v>0</v>
      </c>
      <c r="AC116" s="4">
        <f t="shared" si="60"/>
        <v>0</v>
      </c>
      <c r="AD116" s="4">
        <f t="shared" si="60"/>
        <v>0</v>
      </c>
      <c r="AE116" s="4">
        <f t="shared" si="60"/>
        <v>0</v>
      </c>
      <c r="AF116" s="4">
        <f t="shared" si="60"/>
        <v>0</v>
      </c>
      <c r="AG116" s="4">
        <f t="shared" si="60"/>
        <v>47</v>
      </c>
      <c r="AH116" s="4">
        <f t="shared" si="60"/>
        <v>0</v>
      </c>
      <c r="AI116" s="4">
        <f t="shared" si="60"/>
        <v>0</v>
      </c>
      <c r="AJ116" s="4">
        <f t="shared" si="60"/>
        <v>0</v>
      </c>
      <c r="AK116" s="4">
        <f t="shared" si="60"/>
        <v>0</v>
      </c>
      <c r="AL116" s="4">
        <f t="shared" si="60"/>
        <v>0</v>
      </c>
      <c r="AM116" s="4">
        <f t="shared" si="60"/>
        <v>0</v>
      </c>
      <c r="AN116" s="4">
        <f t="shared" si="60"/>
        <v>0</v>
      </c>
      <c r="AO116" s="4"/>
    </row>
    <row r="117" spans="1:41" ht="15" x14ac:dyDescent="0.2">
      <c r="A117" s="4"/>
      <c r="B117" s="4">
        <v>2038</v>
      </c>
      <c r="C117" s="4" t="s">
        <v>54</v>
      </c>
      <c r="D117" s="54" t="s">
        <v>338</v>
      </c>
      <c r="E117" s="4" t="s">
        <v>17</v>
      </c>
      <c r="F117" s="4">
        <v>8</v>
      </c>
      <c r="G117" s="4">
        <v>1.1559175E-2</v>
      </c>
      <c r="H117" s="4" t="s">
        <v>233</v>
      </c>
      <c r="I117" s="4" t="s">
        <v>3</v>
      </c>
      <c r="J117" s="4">
        <f t="shared" si="3"/>
        <v>0</v>
      </c>
      <c r="K117" s="4">
        <f t="shared" si="4"/>
        <v>0</v>
      </c>
      <c r="L117" s="4">
        <f t="shared" si="4"/>
        <v>0</v>
      </c>
      <c r="M117" s="4">
        <f t="shared" si="4"/>
        <v>0</v>
      </c>
      <c r="N117" s="4">
        <f t="shared" si="4"/>
        <v>0</v>
      </c>
      <c r="O117" s="4">
        <f t="shared" si="4"/>
        <v>0</v>
      </c>
      <c r="P117" s="4">
        <f t="shared" si="4"/>
        <v>0</v>
      </c>
      <c r="Q117" s="4">
        <f t="shared" si="4"/>
        <v>0</v>
      </c>
      <c r="R117" s="4">
        <f t="shared" ref="R117:V117" si="61">ROUNDUP(R79/$F79,0)</f>
        <v>0</v>
      </c>
      <c r="S117" s="4">
        <f t="shared" si="61"/>
        <v>0</v>
      </c>
      <c r="T117" s="4">
        <f t="shared" si="61"/>
        <v>0</v>
      </c>
      <c r="U117" s="4">
        <f t="shared" si="61"/>
        <v>0</v>
      </c>
      <c r="V117" s="4">
        <f t="shared" si="61"/>
        <v>0</v>
      </c>
      <c r="W117" s="4">
        <f t="shared" ref="W117:X117" si="62">W79/$F79</f>
        <v>0</v>
      </c>
      <c r="X117" s="4">
        <f t="shared" si="62"/>
        <v>0</v>
      </c>
      <c r="Y117" s="4">
        <f t="shared" ref="Y117:AN117" si="63">ROUNDUP(Y79/$F79,0)</f>
        <v>0</v>
      </c>
      <c r="Z117" s="4">
        <f t="shared" si="63"/>
        <v>25</v>
      </c>
      <c r="AA117" s="4">
        <f t="shared" si="63"/>
        <v>22</v>
      </c>
      <c r="AB117" s="4">
        <f t="shared" si="63"/>
        <v>0</v>
      </c>
      <c r="AC117" s="4">
        <f t="shared" si="63"/>
        <v>0</v>
      </c>
      <c r="AD117" s="4">
        <f t="shared" si="63"/>
        <v>0</v>
      </c>
      <c r="AE117" s="4">
        <f t="shared" si="63"/>
        <v>0</v>
      </c>
      <c r="AF117" s="4">
        <f t="shared" si="63"/>
        <v>0</v>
      </c>
      <c r="AG117" s="4">
        <f t="shared" si="63"/>
        <v>0</v>
      </c>
      <c r="AH117" s="4">
        <f t="shared" si="63"/>
        <v>0</v>
      </c>
      <c r="AI117" s="4">
        <f t="shared" si="63"/>
        <v>0</v>
      </c>
      <c r="AJ117" s="4">
        <f t="shared" si="63"/>
        <v>0</v>
      </c>
      <c r="AK117" s="4">
        <f t="shared" si="63"/>
        <v>0</v>
      </c>
      <c r="AL117" s="4">
        <f t="shared" si="63"/>
        <v>0</v>
      </c>
      <c r="AM117" s="4">
        <f t="shared" si="63"/>
        <v>0</v>
      </c>
      <c r="AN117" s="4">
        <f t="shared" si="63"/>
        <v>0</v>
      </c>
      <c r="AO117" s="4"/>
    </row>
    <row r="118" spans="1:41" ht="15" x14ac:dyDescent="0.2">
      <c r="A118" s="4"/>
      <c r="B118" s="4">
        <v>2038</v>
      </c>
      <c r="C118" s="4" t="s">
        <v>54</v>
      </c>
      <c r="D118" s="54" t="s">
        <v>339</v>
      </c>
      <c r="E118" s="4" t="s">
        <v>17</v>
      </c>
      <c r="F118" s="4">
        <v>10</v>
      </c>
      <c r="G118" s="4">
        <v>1.12225E-2</v>
      </c>
      <c r="H118" s="4" t="s">
        <v>233</v>
      </c>
      <c r="I118" s="4" t="s">
        <v>3</v>
      </c>
      <c r="J118" s="4">
        <f t="shared" si="3"/>
        <v>0</v>
      </c>
      <c r="K118" s="4">
        <f t="shared" si="4"/>
        <v>0</v>
      </c>
      <c r="L118" s="4">
        <f t="shared" si="4"/>
        <v>0</v>
      </c>
      <c r="M118" s="4">
        <f t="shared" si="4"/>
        <v>0</v>
      </c>
      <c r="N118" s="4">
        <f t="shared" si="4"/>
        <v>0</v>
      </c>
      <c r="O118" s="4">
        <f t="shared" si="4"/>
        <v>0</v>
      </c>
      <c r="P118" s="4">
        <f t="shared" si="4"/>
        <v>0</v>
      </c>
      <c r="Q118" s="4">
        <f t="shared" si="4"/>
        <v>0</v>
      </c>
      <c r="R118" s="4">
        <f t="shared" ref="R118:V118" si="64">ROUNDUP(R80/$F80,0)</f>
        <v>20</v>
      </c>
      <c r="S118" s="4">
        <f t="shared" si="64"/>
        <v>0</v>
      </c>
      <c r="T118" s="4">
        <f t="shared" si="64"/>
        <v>0</v>
      </c>
      <c r="U118" s="4">
        <f t="shared" si="64"/>
        <v>0</v>
      </c>
      <c r="V118" s="4">
        <f t="shared" si="64"/>
        <v>0</v>
      </c>
      <c r="W118" s="4">
        <f t="shared" ref="W118:X118" si="65">W80/$F80</f>
        <v>0</v>
      </c>
      <c r="X118" s="4">
        <f t="shared" si="65"/>
        <v>0</v>
      </c>
      <c r="Y118" s="4">
        <f t="shared" ref="Y118:AN118" si="66">ROUNDUP(Y80/$F80,0)</f>
        <v>0</v>
      </c>
      <c r="Z118" s="4">
        <f t="shared" si="66"/>
        <v>0</v>
      </c>
      <c r="AA118" s="4">
        <f t="shared" si="66"/>
        <v>0</v>
      </c>
      <c r="AB118" s="4">
        <f t="shared" si="66"/>
        <v>0</v>
      </c>
      <c r="AC118" s="4">
        <f t="shared" si="66"/>
        <v>0</v>
      </c>
      <c r="AD118" s="4">
        <f t="shared" si="66"/>
        <v>0</v>
      </c>
      <c r="AE118" s="4">
        <f t="shared" si="66"/>
        <v>0</v>
      </c>
      <c r="AF118" s="4">
        <f t="shared" si="66"/>
        <v>20</v>
      </c>
      <c r="AG118" s="4">
        <f t="shared" si="66"/>
        <v>0</v>
      </c>
      <c r="AH118" s="4">
        <f t="shared" si="66"/>
        <v>0</v>
      </c>
      <c r="AI118" s="4">
        <f t="shared" si="66"/>
        <v>0</v>
      </c>
      <c r="AJ118" s="4">
        <f t="shared" si="66"/>
        <v>0</v>
      </c>
      <c r="AK118" s="4">
        <f t="shared" si="66"/>
        <v>0</v>
      </c>
      <c r="AL118" s="4">
        <f t="shared" si="66"/>
        <v>0</v>
      </c>
      <c r="AM118" s="4">
        <f t="shared" si="66"/>
        <v>0</v>
      </c>
      <c r="AN118" s="4">
        <f t="shared" si="66"/>
        <v>0</v>
      </c>
      <c r="AO118" s="4"/>
    </row>
    <row r="119" spans="1:41" ht="15" x14ac:dyDescent="0.2">
      <c r="A119" s="4"/>
      <c r="B119" s="4">
        <v>2038</v>
      </c>
      <c r="C119" s="4" t="s">
        <v>54</v>
      </c>
      <c r="D119" s="54" t="s">
        <v>340</v>
      </c>
      <c r="E119" s="4" t="s">
        <v>17</v>
      </c>
      <c r="F119" s="4">
        <v>5</v>
      </c>
      <c r="G119" s="4">
        <v>1.2716000000000002E-2</v>
      </c>
      <c r="H119" s="4" t="s">
        <v>233</v>
      </c>
      <c r="I119" s="4" t="s">
        <v>3</v>
      </c>
      <c r="J119" s="4">
        <f t="shared" si="3"/>
        <v>0</v>
      </c>
      <c r="K119" s="4">
        <f t="shared" si="4"/>
        <v>0</v>
      </c>
      <c r="L119" s="4">
        <f t="shared" si="4"/>
        <v>0</v>
      </c>
      <c r="M119" s="4">
        <f t="shared" si="4"/>
        <v>0</v>
      </c>
      <c r="N119" s="4">
        <f t="shared" si="4"/>
        <v>0</v>
      </c>
      <c r="O119" s="4">
        <f t="shared" si="4"/>
        <v>0</v>
      </c>
      <c r="P119" s="4">
        <f t="shared" si="4"/>
        <v>0</v>
      </c>
      <c r="Q119" s="4">
        <f t="shared" si="4"/>
        <v>0</v>
      </c>
      <c r="R119" s="4">
        <f t="shared" ref="R119:V119" si="67">ROUNDUP(R81/$F81,0)</f>
        <v>0</v>
      </c>
      <c r="S119" s="4">
        <f t="shared" si="67"/>
        <v>0</v>
      </c>
      <c r="T119" s="4">
        <f t="shared" si="67"/>
        <v>0</v>
      </c>
      <c r="U119" s="4">
        <f t="shared" si="67"/>
        <v>34</v>
      </c>
      <c r="V119" s="4">
        <f t="shared" si="67"/>
        <v>0</v>
      </c>
      <c r="W119" s="4">
        <f t="shared" ref="W119:X119" si="68">W81/$F81</f>
        <v>0</v>
      </c>
      <c r="X119" s="4">
        <f t="shared" si="68"/>
        <v>0</v>
      </c>
      <c r="Y119" s="4">
        <f t="shared" ref="Y119:AN119" si="69">ROUNDUP(Y81/$F81,0)</f>
        <v>0</v>
      </c>
      <c r="Z119" s="4">
        <f t="shared" si="69"/>
        <v>0</v>
      </c>
      <c r="AA119" s="4">
        <f t="shared" si="69"/>
        <v>0</v>
      </c>
      <c r="AB119" s="4">
        <f t="shared" si="69"/>
        <v>0</v>
      </c>
      <c r="AC119" s="4">
        <f t="shared" si="69"/>
        <v>0</v>
      </c>
      <c r="AD119" s="4">
        <f t="shared" si="69"/>
        <v>0</v>
      </c>
      <c r="AE119" s="4">
        <f t="shared" si="69"/>
        <v>0</v>
      </c>
      <c r="AF119" s="4">
        <f t="shared" si="69"/>
        <v>0</v>
      </c>
      <c r="AG119" s="4">
        <f t="shared" si="69"/>
        <v>0</v>
      </c>
      <c r="AH119" s="4">
        <f t="shared" si="69"/>
        <v>0</v>
      </c>
      <c r="AI119" s="4">
        <f t="shared" si="69"/>
        <v>34</v>
      </c>
      <c r="AJ119" s="4">
        <f t="shared" si="69"/>
        <v>0</v>
      </c>
      <c r="AK119" s="4">
        <f t="shared" si="69"/>
        <v>0</v>
      </c>
      <c r="AL119" s="4">
        <f t="shared" si="69"/>
        <v>0</v>
      </c>
      <c r="AM119" s="4">
        <f t="shared" si="69"/>
        <v>0</v>
      </c>
      <c r="AN119" s="4">
        <f t="shared" si="69"/>
        <v>0</v>
      </c>
      <c r="AO119" s="4"/>
    </row>
    <row r="120" spans="1:41" ht="15" x14ac:dyDescent="0.2">
      <c r="A120" s="4"/>
      <c r="B120" s="4">
        <v>2038</v>
      </c>
      <c r="C120" s="4" t="s">
        <v>54</v>
      </c>
      <c r="D120" s="54" t="s">
        <v>341</v>
      </c>
      <c r="E120" s="4" t="s">
        <v>17</v>
      </c>
      <c r="F120" s="4">
        <v>5</v>
      </c>
      <c r="G120" s="4">
        <v>0</v>
      </c>
      <c r="H120" s="4">
        <v>0</v>
      </c>
      <c r="I120" s="4" t="s">
        <v>3</v>
      </c>
      <c r="J120" s="4">
        <f t="shared" si="3"/>
        <v>0</v>
      </c>
      <c r="K120" s="4">
        <f t="shared" si="4"/>
        <v>34</v>
      </c>
      <c r="L120" s="4">
        <f t="shared" si="4"/>
        <v>0</v>
      </c>
      <c r="M120" s="4">
        <f t="shared" si="4"/>
        <v>0</v>
      </c>
      <c r="N120" s="4">
        <f t="shared" si="4"/>
        <v>0</v>
      </c>
      <c r="O120" s="4">
        <f t="shared" si="4"/>
        <v>0</v>
      </c>
      <c r="P120" s="4">
        <f t="shared" si="4"/>
        <v>0</v>
      </c>
      <c r="Q120" s="4">
        <f t="shared" si="4"/>
        <v>0</v>
      </c>
      <c r="R120" s="4">
        <f t="shared" ref="R120:V120" si="70">ROUNDUP(R82/$F82,0)</f>
        <v>0</v>
      </c>
      <c r="S120" s="4">
        <f t="shared" si="70"/>
        <v>0</v>
      </c>
      <c r="T120" s="4">
        <f t="shared" si="70"/>
        <v>0</v>
      </c>
      <c r="U120" s="4">
        <f t="shared" si="70"/>
        <v>0</v>
      </c>
      <c r="V120" s="4">
        <f t="shared" si="70"/>
        <v>0</v>
      </c>
      <c r="W120" s="4">
        <f t="shared" ref="W120:X120" si="71">W82/$F82</f>
        <v>0</v>
      </c>
      <c r="X120" s="4">
        <f t="shared" si="71"/>
        <v>0</v>
      </c>
      <c r="Y120" s="4">
        <f t="shared" ref="Y120:AN120" si="72">ROUNDUP(Y82/$F82,0)</f>
        <v>0</v>
      </c>
      <c r="Z120" s="4">
        <f t="shared" si="72"/>
        <v>0</v>
      </c>
      <c r="AA120" s="4">
        <f t="shared" si="72"/>
        <v>0</v>
      </c>
      <c r="AB120" s="4">
        <f t="shared" si="72"/>
        <v>0</v>
      </c>
      <c r="AC120" s="4">
        <f t="shared" si="72"/>
        <v>0</v>
      </c>
      <c r="AD120" s="4">
        <f t="shared" si="72"/>
        <v>0</v>
      </c>
      <c r="AE120" s="4">
        <f t="shared" si="72"/>
        <v>0</v>
      </c>
      <c r="AF120" s="4">
        <f t="shared" si="72"/>
        <v>0</v>
      </c>
      <c r="AG120" s="4">
        <f t="shared" si="72"/>
        <v>0</v>
      </c>
      <c r="AH120" s="4">
        <f t="shared" si="72"/>
        <v>0</v>
      </c>
      <c r="AI120" s="4">
        <f t="shared" si="72"/>
        <v>0</v>
      </c>
      <c r="AJ120" s="4">
        <f t="shared" si="72"/>
        <v>0</v>
      </c>
      <c r="AK120" s="4">
        <f t="shared" si="72"/>
        <v>0</v>
      </c>
      <c r="AL120" s="4">
        <f t="shared" si="72"/>
        <v>0</v>
      </c>
      <c r="AM120" s="4">
        <f t="shared" si="72"/>
        <v>0</v>
      </c>
      <c r="AN120" s="4">
        <f t="shared" si="72"/>
        <v>0</v>
      </c>
      <c r="AO120" s="4"/>
    </row>
    <row r="121" spans="1:41" ht="15" x14ac:dyDescent="0.2">
      <c r="A121" s="4"/>
      <c r="B121" s="4">
        <v>2038</v>
      </c>
      <c r="C121" s="4" t="s">
        <v>54</v>
      </c>
      <c r="D121" s="54" t="s">
        <v>342</v>
      </c>
      <c r="E121" s="4" t="s">
        <v>18</v>
      </c>
      <c r="F121" s="4">
        <v>8</v>
      </c>
      <c r="G121" s="4">
        <v>1.12225E-2</v>
      </c>
      <c r="H121" s="4" t="s">
        <v>233</v>
      </c>
      <c r="I121" s="4" t="s">
        <v>3</v>
      </c>
      <c r="J121" s="4">
        <f t="shared" si="3"/>
        <v>0</v>
      </c>
      <c r="K121" s="4">
        <f t="shared" si="4"/>
        <v>28</v>
      </c>
      <c r="L121" s="4">
        <f t="shared" si="4"/>
        <v>28</v>
      </c>
      <c r="M121" s="4">
        <f t="shared" si="4"/>
        <v>26</v>
      </c>
      <c r="N121" s="4">
        <f t="shared" si="4"/>
        <v>28</v>
      </c>
      <c r="O121" s="4">
        <f t="shared" si="4"/>
        <v>26</v>
      </c>
      <c r="P121" s="4">
        <f t="shared" si="4"/>
        <v>0</v>
      </c>
      <c r="Q121" s="4">
        <f t="shared" si="4"/>
        <v>0</v>
      </c>
      <c r="R121" s="4">
        <f t="shared" ref="R121:V121" si="73">ROUNDUP(R83/$F83,0)</f>
        <v>28</v>
      </c>
      <c r="S121" s="4">
        <f t="shared" si="73"/>
        <v>26</v>
      </c>
      <c r="T121" s="4">
        <f t="shared" si="73"/>
        <v>26</v>
      </c>
      <c r="U121" s="4">
        <f t="shared" si="73"/>
        <v>28</v>
      </c>
      <c r="V121" s="4">
        <f t="shared" si="73"/>
        <v>26</v>
      </c>
      <c r="W121" s="4">
        <f t="shared" ref="W121:X121" si="74">W83/$F83</f>
        <v>0</v>
      </c>
      <c r="X121" s="4">
        <f t="shared" si="74"/>
        <v>0</v>
      </c>
      <c r="Y121" s="4">
        <f t="shared" ref="Y121:AN121" si="75">ROUNDUP(Y83/$F83,0)</f>
        <v>28</v>
      </c>
      <c r="Z121" s="4">
        <f t="shared" si="75"/>
        <v>28</v>
      </c>
      <c r="AA121" s="4">
        <f t="shared" si="75"/>
        <v>26</v>
      </c>
      <c r="AB121" s="4">
        <f t="shared" si="75"/>
        <v>28</v>
      </c>
      <c r="AC121" s="4">
        <f t="shared" si="75"/>
        <v>26</v>
      </c>
      <c r="AD121" s="4">
        <f t="shared" si="75"/>
        <v>0</v>
      </c>
      <c r="AE121" s="4">
        <f t="shared" si="75"/>
        <v>0</v>
      </c>
      <c r="AF121" s="4">
        <f t="shared" si="75"/>
        <v>41</v>
      </c>
      <c r="AG121" s="4">
        <f t="shared" si="75"/>
        <v>41</v>
      </c>
      <c r="AH121" s="4">
        <f t="shared" si="75"/>
        <v>38</v>
      </c>
      <c r="AI121" s="4">
        <f t="shared" si="75"/>
        <v>40</v>
      </c>
      <c r="AJ121" s="4">
        <f t="shared" si="75"/>
        <v>38</v>
      </c>
      <c r="AK121" s="4">
        <f t="shared" si="75"/>
        <v>0</v>
      </c>
      <c r="AL121" s="4">
        <f t="shared" si="75"/>
        <v>0</v>
      </c>
      <c r="AM121" s="4">
        <f t="shared" si="75"/>
        <v>69</v>
      </c>
      <c r="AN121" s="4">
        <f t="shared" si="75"/>
        <v>69</v>
      </c>
      <c r="AO121" s="4"/>
    </row>
    <row r="122" spans="1:41" ht="15" x14ac:dyDescent="0.2">
      <c r="A122" s="4"/>
      <c r="B122" s="4">
        <v>2038</v>
      </c>
      <c r="C122" s="4" t="s">
        <v>54</v>
      </c>
      <c r="D122" s="54" t="s">
        <v>343</v>
      </c>
      <c r="E122" s="4" t="s">
        <v>18</v>
      </c>
      <c r="F122" s="4">
        <v>8</v>
      </c>
      <c r="G122" s="4">
        <v>1.12225E-2</v>
      </c>
      <c r="H122" s="4" t="s">
        <v>233</v>
      </c>
      <c r="I122" s="4" t="s">
        <v>3</v>
      </c>
      <c r="J122" s="4">
        <f t="shared" si="3"/>
        <v>0</v>
      </c>
      <c r="K122" s="4">
        <f t="shared" si="4"/>
        <v>52</v>
      </c>
      <c r="L122" s="4">
        <f t="shared" si="4"/>
        <v>52</v>
      </c>
      <c r="M122" s="4">
        <f t="shared" si="4"/>
        <v>49</v>
      </c>
      <c r="N122" s="4">
        <f t="shared" si="4"/>
        <v>52</v>
      </c>
      <c r="O122" s="4">
        <f t="shared" si="4"/>
        <v>49</v>
      </c>
      <c r="P122" s="4">
        <f t="shared" si="4"/>
        <v>0</v>
      </c>
      <c r="Q122" s="4">
        <f t="shared" si="4"/>
        <v>0</v>
      </c>
      <c r="R122" s="4">
        <f t="shared" ref="R122:V122" si="76">ROUNDUP(R84/$F84,0)</f>
        <v>52</v>
      </c>
      <c r="S122" s="4">
        <f t="shared" si="76"/>
        <v>49</v>
      </c>
      <c r="T122" s="4">
        <f t="shared" si="76"/>
        <v>49</v>
      </c>
      <c r="U122" s="4">
        <f t="shared" si="76"/>
        <v>52</v>
      </c>
      <c r="V122" s="4">
        <f t="shared" si="76"/>
        <v>49</v>
      </c>
      <c r="W122" s="4">
        <f t="shared" ref="W122:X122" si="77">W84/$F84</f>
        <v>0</v>
      </c>
      <c r="X122" s="4">
        <f t="shared" si="77"/>
        <v>0</v>
      </c>
      <c r="Y122" s="4">
        <f t="shared" ref="Y122:AN122" si="78">ROUNDUP(Y84/$F84,0)</f>
        <v>52</v>
      </c>
      <c r="Z122" s="4">
        <f t="shared" si="78"/>
        <v>52</v>
      </c>
      <c r="AA122" s="4">
        <f t="shared" si="78"/>
        <v>49</v>
      </c>
      <c r="AB122" s="4">
        <f t="shared" si="78"/>
        <v>52</v>
      </c>
      <c r="AC122" s="4">
        <f t="shared" si="78"/>
        <v>50</v>
      </c>
      <c r="AD122" s="4">
        <f t="shared" si="78"/>
        <v>0</v>
      </c>
      <c r="AE122" s="4">
        <f t="shared" si="78"/>
        <v>0</v>
      </c>
      <c r="AF122" s="4">
        <f t="shared" si="78"/>
        <v>50</v>
      </c>
      <c r="AG122" s="4">
        <f t="shared" si="78"/>
        <v>51</v>
      </c>
      <c r="AH122" s="4">
        <f t="shared" si="78"/>
        <v>47</v>
      </c>
      <c r="AI122" s="4">
        <f t="shared" si="78"/>
        <v>51</v>
      </c>
      <c r="AJ122" s="4">
        <f t="shared" si="78"/>
        <v>48</v>
      </c>
      <c r="AK122" s="4">
        <f t="shared" si="78"/>
        <v>0</v>
      </c>
      <c r="AL122" s="4">
        <f t="shared" si="78"/>
        <v>0</v>
      </c>
      <c r="AM122" s="4">
        <f t="shared" si="78"/>
        <v>43</v>
      </c>
      <c r="AN122" s="4">
        <f t="shared" si="78"/>
        <v>44</v>
      </c>
      <c r="AO122" s="4"/>
    </row>
    <row r="123" spans="1:41" ht="15" x14ac:dyDescent="0.2">
      <c r="A123" s="4"/>
      <c r="B123" s="4">
        <v>2038</v>
      </c>
      <c r="C123" s="4" t="s">
        <v>54</v>
      </c>
      <c r="D123" s="54" t="s">
        <v>344</v>
      </c>
      <c r="E123" s="4" t="s">
        <v>18</v>
      </c>
      <c r="F123" s="4">
        <v>8</v>
      </c>
      <c r="G123" s="4">
        <v>1.12225E-2</v>
      </c>
      <c r="H123" s="4" t="s">
        <v>233</v>
      </c>
      <c r="I123" s="4" t="s">
        <v>3</v>
      </c>
      <c r="J123" s="4">
        <f t="shared" si="3"/>
        <v>0</v>
      </c>
      <c r="K123" s="4">
        <f t="shared" si="4"/>
        <v>9</v>
      </c>
      <c r="L123" s="4">
        <f t="shared" si="4"/>
        <v>9</v>
      </c>
      <c r="M123" s="4">
        <f t="shared" si="4"/>
        <v>8</v>
      </c>
      <c r="N123" s="4">
        <f t="shared" si="4"/>
        <v>9</v>
      </c>
      <c r="O123" s="4">
        <f t="shared" si="4"/>
        <v>8</v>
      </c>
      <c r="P123" s="4">
        <f t="shared" si="4"/>
        <v>0</v>
      </c>
      <c r="Q123" s="4">
        <f t="shared" si="4"/>
        <v>0</v>
      </c>
      <c r="R123" s="4">
        <f t="shared" ref="R123:V123" si="79">ROUNDUP(R85/$F85,0)</f>
        <v>9</v>
      </c>
      <c r="S123" s="4">
        <f t="shared" si="79"/>
        <v>8</v>
      </c>
      <c r="T123" s="4">
        <f t="shared" si="79"/>
        <v>8</v>
      </c>
      <c r="U123" s="4">
        <f t="shared" si="79"/>
        <v>9</v>
      </c>
      <c r="V123" s="4">
        <f t="shared" si="79"/>
        <v>8</v>
      </c>
      <c r="W123" s="4">
        <f t="shared" ref="W123:X123" si="80">W85/$F85</f>
        <v>0</v>
      </c>
      <c r="X123" s="4">
        <f t="shared" si="80"/>
        <v>0</v>
      </c>
      <c r="Y123" s="4">
        <f t="shared" ref="Y123:AN123" si="81">ROUNDUP(Y85/$F85,0)</f>
        <v>8</v>
      </c>
      <c r="Z123" s="4">
        <f t="shared" si="81"/>
        <v>9</v>
      </c>
      <c r="AA123" s="4">
        <f t="shared" si="81"/>
        <v>8</v>
      </c>
      <c r="AB123" s="4">
        <f t="shared" si="81"/>
        <v>8</v>
      </c>
      <c r="AC123" s="4">
        <f t="shared" si="81"/>
        <v>7</v>
      </c>
      <c r="AD123" s="4">
        <f t="shared" si="81"/>
        <v>0</v>
      </c>
      <c r="AE123" s="4">
        <f t="shared" si="81"/>
        <v>0</v>
      </c>
      <c r="AF123" s="4">
        <f t="shared" si="81"/>
        <v>9</v>
      </c>
      <c r="AG123" s="4">
        <f t="shared" si="81"/>
        <v>8</v>
      </c>
      <c r="AH123" s="4">
        <f t="shared" si="81"/>
        <v>8</v>
      </c>
      <c r="AI123" s="4">
        <f t="shared" si="81"/>
        <v>8</v>
      </c>
      <c r="AJ123" s="4">
        <f t="shared" si="81"/>
        <v>8</v>
      </c>
      <c r="AK123" s="4">
        <f t="shared" si="81"/>
        <v>0</v>
      </c>
      <c r="AL123" s="4">
        <f t="shared" si="81"/>
        <v>0</v>
      </c>
      <c r="AM123" s="4">
        <f t="shared" si="81"/>
        <v>8</v>
      </c>
      <c r="AN123" s="4">
        <f t="shared" si="81"/>
        <v>8</v>
      </c>
      <c r="AO123" s="4"/>
    </row>
    <row r="124" spans="1:41" ht="15" x14ac:dyDescent="0.2">
      <c r="A124" s="4"/>
      <c r="B124" s="4">
        <v>2038</v>
      </c>
      <c r="C124" s="4" t="s">
        <v>54</v>
      </c>
      <c r="D124" s="54" t="s">
        <v>345</v>
      </c>
      <c r="E124" s="4" t="s">
        <v>62</v>
      </c>
      <c r="F124" s="4">
        <v>8</v>
      </c>
      <c r="G124" s="4">
        <v>2.7046225E-2</v>
      </c>
      <c r="H124" s="4" t="s">
        <v>235</v>
      </c>
      <c r="I124" s="4" t="s">
        <v>3</v>
      </c>
      <c r="J124" s="4">
        <f t="shared" si="3"/>
        <v>0</v>
      </c>
      <c r="K124" s="4">
        <f t="shared" si="4"/>
        <v>0</v>
      </c>
      <c r="L124" s="4">
        <f t="shared" si="4"/>
        <v>27</v>
      </c>
      <c r="M124" s="4">
        <f t="shared" si="4"/>
        <v>0</v>
      </c>
      <c r="N124" s="4">
        <f t="shared" si="4"/>
        <v>0</v>
      </c>
      <c r="O124" s="4">
        <f t="shared" si="4"/>
        <v>0</v>
      </c>
      <c r="P124" s="4">
        <f t="shared" si="4"/>
        <v>0</v>
      </c>
      <c r="Q124" s="4">
        <f t="shared" si="4"/>
        <v>0</v>
      </c>
      <c r="R124" s="4">
        <f t="shared" ref="R124:V124" si="82">ROUNDUP(R86/$F86,0)</f>
        <v>0</v>
      </c>
      <c r="S124" s="4">
        <f t="shared" si="82"/>
        <v>0</v>
      </c>
      <c r="T124" s="4">
        <f t="shared" si="82"/>
        <v>0</v>
      </c>
      <c r="U124" s="4">
        <f t="shared" si="82"/>
        <v>0</v>
      </c>
      <c r="V124" s="4">
        <f t="shared" si="82"/>
        <v>0</v>
      </c>
      <c r="W124" s="4">
        <f t="shared" ref="W124:X124" si="83">W86/$F86</f>
        <v>0</v>
      </c>
      <c r="X124" s="4">
        <f t="shared" si="83"/>
        <v>0</v>
      </c>
      <c r="Y124" s="4">
        <f t="shared" ref="Y124:AN124" si="84">ROUNDUP(Y86/$F86,0)</f>
        <v>27</v>
      </c>
      <c r="Z124" s="4">
        <f t="shared" si="84"/>
        <v>0</v>
      </c>
      <c r="AA124" s="4">
        <f t="shared" si="84"/>
        <v>0</v>
      </c>
      <c r="AB124" s="4">
        <f t="shared" si="84"/>
        <v>0</v>
      </c>
      <c r="AC124" s="4">
        <f t="shared" si="84"/>
        <v>0</v>
      </c>
      <c r="AD124" s="4">
        <f t="shared" si="84"/>
        <v>0</v>
      </c>
      <c r="AE124" s="4">
        <f t="shared" si="84"/>
        <v>0</v>
      </c>
      <c r="AF124" s="4">
        <f t="shared" si="84"/>
        <v>27</v>
      </c>
      <c r="AG124" s="4">
        <f t="shared" si="84"/>
        <v>0</v>
      </c>
      <c r="AH124" s="4">
        <f t="shared" si="84"/>
        <v>0</v>
      </c>
      <c r="AI124" s="4">
        <f t="shared" si="84"/>
        <v>27</v>
      </c>
      <c r="AJ124" s="4">
        <f t="shared" si="84"/>
        <v>0</v>
      </c>
      <c r="AK124" s="4">
        <f t="shared" si="84"/>
        <v>0</v>
      </c>
      <c r="AL124" s="4">
        <f t="shared" si="84"/>
        <v>0</v>
      </c>
      <c r="AM124" s="4">
        <f t="shared" si="84"/>
        <v>0</v>
      </c>
      <c r="AN124" s="4">
        <f t="shared" si="84"/>
        <v>0</v>
      </c>
      <c r="AO124" s="4"/>
    </row>
    <row r="125" spans="1:41" ht="15" x14ac:dyDescent="0.2">
      <c r="A125" s="4"/>
      <c r="B125" s="4">
        <v>2038</v>
      </c>
      <c r="C125" s="4" t="s">
        <v>54</v>
      </c>
      <c r="D125" s="54" t="s">
        <v>346</v>
      </c>
      <c r="E125" s="4" t="s">
        <v>62</v>
      </c>
      <c r="F125" s="4">
        <v>8</v>
      </c>
      <c r="G125" s="4">
        <v>2.7046225E-2</v>
      </c>
      <c r="H125" s="4" t="s">
        <v>235</v>
      </c>
      <c r="I125" s="4" t="s">
        <v>3</v>
      </c>
      <c r="J125" s="4">
        <f t="shared" si="3"/>
        <v>0</v>
      </c>
      <c r="K125" s="4">
        <f t="shared" si="4"/>
        <v>54</v>
      </c>
      <c r="L125" s="4">
        <f t="shared" si="4"/>
        <v>27</v>
      </c>
      <c r="M125" s="4">
        <f t="shared" si="4"/>
        <v>54</v>
      </c>
      <c r="N125" s="4">
        <f t="shared" si="4"/>
        <v>27</v>
      </c>
      <c r="O125" s="4">
        <f t="shared" si="4"/>
        <v>27</v>
      </c>
      <c r="P125" s="4">
        <f t="shared" si="4"/>
        <v>0</v>
      </c>
      <c r="Q125" s="4">
        <f t="shared" si="4"/>
        <v>0</v>
      </c>
      <c r="R125" s="4">
        <f t="shared" ref="R125:V125" si="85">ROUNDUP(R87/$F87,0)</f>
        <v>54</v>
      </c>
      <c r="S125" s="4">
        <f t="shared" si="85"/>
        <v>27</v>
      </c>
      <c r="T125" s="4">
        <f t="shared" si="85"/>
        <v>54</v>
      </c>
      <c r="U125" s="4">
        <f t="shared" si="85"/>
        <v>27</v>
      </c>
      <c r="V125" s="4">
        <f t="shared" si="85"/>
        <v>54</v>
      </c>
      <c r="W125" s="4">
        <f t="shared" ref="W125:X125" si="86">W87/$F87</f>
        <v>0</v>
      </c>
      <c r="X125" s="4">
        <f t="shared" si="86"/>
        <v>0</v>
      </c>
      <c r="Y125" s="4">
        <f t="shared" ref="Y125:AN125" si="87">ROUNDUP(Y87/$F87,0)</f>
        <v>54</v>
      </c>
      <c r="Z125" s="4">
        <f t="shared" si="87"/>
        <v>54</v>
      </c>
      <c r="AA125" s="4">
        <f t="shared" si="87"/>
        <v>54</v>
      </c>
      <c r="AB125" s="4">
        <f t="shared" si="87"/>
        <v>54</v>
      </c>
      <c r="AC125" s="4">
        <f t="shared" si="87"/>
        <v>54</v>
      </c>
      <c r="AD125" s="4">
        <f t="shared" si="87"/>
        <v>0</v>
      </c>
      <c r="AE125" s="4">
        <f t="shared" si="87"/>
        <v>0</v>
      </c>
      <c r="AF125" s="4">
        <f t="shared" si="87"/>
        <v>54</v>
      </c>
      <c r="AG125" s="4">
        <f t="shared" si="87"/>
        <v>54</v>
      </c>
      <c r="AH125" s="4">
        <f t="shared" si="87"/>
        <v>54</v>
      </c>
      <c r="AI125" s="4">
        <f t="shared" si="87"/>
        <v>54</v>
      </c>
      <c r="AJ125" s="4">
        <f t="shared" si="87"/>
        <v>54</v>
      </c>
      <c r="AK125" s="4">
        <f t="shared" si="87"/>
        <v>0</v>
      </c>
      <c r="AL125" s="4">
        <f t="shared" si="87"/>
        <v>0</v>
      </c>
      <c r="AM125" s="4">
        <f t="shared" si="87"/>
        <v>54</v>
      </c>
      <c r="AN125" s="4">
        <f t="shared" si="87"/>
        <v>81</v>
      </c>
      <c r="AO125" s="4"/>
    </row>
    <row r="126" spans="1:41" ht="15" x14ac:dyDescent="0.2">
      <c r="A126" s="4"/>
      <c r="B126" s="4">
        <v>2038</v>
      </c>
      <c r="C126" s="4" t="s">
        <v>54</v>
      </c>
      <c r="D126" s="54" t="s">
        <v>347</v>
      </c>
      <c r="E126" s="4" t="s">
        <v>62</v>
      </c>
      <c r="F126" s="4">
        <v>8</v>
      </c>
      <c r="G126" s="4">
        <v>2.8900000000000002E-2</v>
      </c>
      <c r="H126" s="4" t="s">
        <v>235</v>
      </c>
      <c r="I126" s="4" t="s">
        <v>3</v>
      </c>
      <c r="J126" s="4">
        <f t="shared" si="3"/>
        <v>0</v>
      </c>
      <c r="K126" s="4">
        <f t="shared" si="4"/>
        <v>0</v>
      </c>
      <c r="L126" s="4">
        <f t="shared" si="4"/>
        <v>0</v>
      </c>
      <c r="M126" s="4">
        <f t="shared" si="4"/>
        <v>0</v>
      </c>
      <c r="N126" s="4">
        <f t="shared" si="4"/>
        <v>0</v>
      </c>
      <c r="O126" s="4">
        <f t="shared" si="4"/>
        <v>0</v>
      </c>
      <c r="P126" s="4">
        <f t="shared" si="4"/>
        <v>0</v>
      </c>
      <c r="Q126" s="4">
        <f t="shared" si="4"/>
        <v>0</v>
      </c>
      <c r="R126" s="4">
        <f t="shared" ref="R126:V126" si="88">ROUNDUP(R88/$F88,0)</f>
        <v>0</v>
      </c>
      <c r="S126" s="4">
        <f t="shared" si="88"/>
        <v>0</v>
      </c>
      <c r="T126" s="4">
        <f t="shared" si="88"/>
        <v>0</v>
      </c>
      <c r="U126" s="4">
        <f t="shared" si="88"/>
        <v>0</v>
      </c>
      <c r="V126" s="4">
        <f t="shared" si="88"/>
        <v>0</v>
      </c>
      <c r="W126" s="4">
        <f t="shared" ref="W126:X126" si="89">W88/$F88</f>
        <v>0</v>
      </c>
      <c r="X126" s="4">
        <f t="shared" si="89"/>
        <v>0</v>
      </c>
      <c r="Y126" s="4">
        <f t="shared" ref="Y126:AN126" si="90">ROUNDUP(Y88/$F88,0)</f>
        <v>0</v>
      </c>
      <c r="Z126" s="4">
        <f t="shared" si="90"/>
        <v>0</v>
      </c>
      <c r="AA126" s="4">
        <f t="shared" si="90"/>
        <v>0</v>
      </c>
      <c r="AB126" s="4">
        <f t="shared" si="90"/>
        <v>0</v>
      </c>
      <c r="AC126" s="4">
        <f t="shared" si="90"/>
        <v>0</v>
      </c>
      <c r="AD126" s="4">
        <f t="shared" si="90"/>
        <v>0</v>
      </c>
      <c r="AE126" s="4">
        <f t="shared" si="90"/>
        <v>0</v>
      </c>
      <c r="AF126" s="4">
        <f t="shared" si="90"/>
        <v>0</v>
      </c>
      <c r="AG126" s="4">
        <f t="shared" si="90"/>
        <v>0</v>
      </c>
      <c r="AH126" s="4">
        <f t="shared" si="90"/>
        <v>0</v>
      </c>
      <c r="AI126" s="4">
        <f t="shared" si="90"/>
        <v>0</v>
      </c>
      <c r="AJ126" s="4">
        <f t="shared" si="90"/>
        <v>0</v>
      </c>
      <c r="AK126" s="4">
        <f t="shared" si="90"/>
        <v>0</v>
      </c>
      <c r="AL126" s="4">
        <f t="shared" si="90"/>
        <v>0</v>
      </c>
      <c r="AM126" s="4">
        <f t="shared" si="90"/>
        <v>0</v>
      </c>
      <c r="AN126" s="4">
        <f t="shared" si="90"/>
        <v>0</v>
      </c>
      <c r="AO126" s="4"/>
    </row>
    <row r="127" spans="1:41" ht="15" x14ac:dyDescent="0.2">
      <c r="A127" s="4"/>
      <c r="B127" s="4">
        <v>2038</v>
      </c>
      <c r="C127" s="4" t="s">
        <v>54</v>
      </c>
      <c r="D127" s="54" t="s">
        <v>348</v>
      </c>
      <c r="E127" s="4" t="s">
        <v>62</v>
      </c>
      <c r="F127" s="4">
        <v>6</v>
      </c>
      <c r="G127" s="4">
        <v>2.7046225E-2</v>
      </c>
      <c r="H127" s="4" t="s">
        <v>235</v>
      </c>
      <c r="I127" s="4" t="s">
        <v>3</v>
      </c>
      <c r="J127" s="4">
        <f t="shared" si="3"/>
        <v>0</v>
      </c>
      <c r="K127" s="4">
        <f t="shared" si="4"/>
        <v>27</v>
      </c>
      <c r="L127" s="4">
        <f t="shared" si="4"/>
        <v>27</v>
      </c>
      <c r="M127" s="4">
        <f t="shared" si="4"/>
        <v>27</v>
      </c>
      <c r="N127" s="4">
        <f t="shared" si="4"/>
        <v>27</v>
      </c>
      <c r="O127" s="4">
        <f t="shared" si="4"/>
        <v>0</v>
      </c>
      <c r="P127" s="4">
        <f t="shared" si="4"/>
        <v>0</v>
      </c>
      <c r="Q127" s="4">
        <f t="shared" si="4"/>
        <v>0</v>
      </c>
      <c r="R127" s="4">
        <f t="shared" ref="R127:V127" si="91">ROUNDUP(R89/$F89,0)</f>
        <v>27</v>
      </c>
      <c r="S127" s="4">
        <f t="shared" si="91"/>
        <v>27</v>
      </c>
      <c r="T127" s="4">
        <f t="shared" si="91"/>
        <v>27</v>
      </c>
      <c r="U127" s="4">
        <f t="shared" si="91"/>
        <v>27</v>
      </c>
      <c r="V127" s="4">
        <f t="shared" si="91"/>
        <v>27</v>
      </c>
      <c r="W127" s="4">
        <f t="shared" ref="W127:X127" si="92">W89/$F89</f>
        <v>0</v>
      </c>
      <c r="X127" s="4">
        <f t="shared" si="92"/>
        <v>0</v>
      </c>
      <c r="Y127" s="4">
        <f t="shared" ref="Y127:AN127" si="93">ROUNDUP(Y89/$F89,0)</f>
        <v>27</v>
      </c>
      <c r="Z127" s="4">
        <f t="shared" si="93"/>
        <v>27</v>
      </c>
      <c r="AA127" s="4">
        <f t="shared" si="93"/>
        <v>27</v>
      </c>
      <c r="AB127" s="4">
        <f t="shared" si="93"/>
        <v>27</v>
      </c>
      <c r="AC127" s="4">
        <f t="shared" si="93"/>
        <v>27</v>
      </c>
      <c r="AD127" s="4">
        <f t="shared" si="93"/>
        <v>0</v>
      </c>
      <c r="AE127" s="4">
        <f t="shared" si="93"/>
        <v>0</v>
      </c>
      <c r="AF127" s="4">
        <f t="shared" si="93"/>
        <v>27</v>
      </c>
      <c r="AG127" s="4">
        <f t="shared" si="93"/>
        <v>27</v>
      </c>
      <c r="AH127" s="4">
        <f t="shared" si="93"/>
        <v>27</v>
      </c>
      <c r="AI127" s="4">
        <f t="shared" si="93"/>
        <v>27</v>
      </c>
      <c r="AJ127" s="4">
        <f t="shared" si="93"/>
        <v>27</v>
      </c>
      <c r="AK127" s="4">
        <f t="shared" si="93"/>
        <v>0</v>
      </c>
      <c r="AL127" s="4">
        <f t="shared" si="93"/>
        <v>0</v>
      </c>
      <c r="AM127" s="4">
        <f t="shared" si="93"/>
        <v>27</v>
      </c>
      <c r="AN127" s="4">
        <f t="shared" si="93"/>
        <v>27</v>
      </c>
      <c r="AO127" s="4"/>
    </row>
    <row r="128" spans="1:41" ht="15" x14ac:dyDescent="0.2">
      <c r="A128" s="4"/>
      <c r="B128" s="4">
        <v>2038</v>
      </c>
      <c r="C128" s="4" t="s">
        <v>54</v>
      </c>
      <c r="D128" s="54" t="s">
        <v>349</v>
      </c>
      <c r="E128" s="4" t="s">
        <v>18</v>
      </c>
      <c r="F128" s="4">
        <v>8</v>
      </c>
      <c r="G128" s="4">
        <v>1.1560000000000001E-2</v>
      </c>
      <c r="H128" s="4" t="s">
        <v>233</v>
      </c>
      <c r="I128" s="4" t="s">
        <v>3</v>
      </c>
      <c r="J128" s="4">
        <f t="shared" si="3"/>
        <v>0</v>
      </c>
      <c r="K128" s="4">
        <f t="shared" si="4"/>
        <v>102</v>
      </c>
      <c r="L128" s="4">
        <f t="shared" si="4"/>
        <v>102</v>
      </c>
      <c r="M128" s="4">
        <f t="shared" si="4"/>
        <v>97</v>
      </c>
      <c r="N128" s="4">
        <f t="shared" si="4"/>
        <v>102</v>
      </c>
      <c r="O128" s="4">
        <f t="shared" si="4"/>
        <v>98</v>
      </c>
      <c r="P128" s="4">
        <f t="shared" si="4"/>
        <v>0</v>
      </c>
      <c r="Q128" s="4">
        <f t="shared" si="4"/>
        <v>0</v>
      </c>
      <c r="R128" s="4">
        <f t="shared" ref="R128:V128" si="94">ROUNDUP(R90/$F90,0)</f>
        <v>102</v>
      </c>
      <c r="S128" s="4">
        <f t="shared" si="94"/>
        <v>97</v>
      </c>
      <c r="T128" s="4">
        <f t="shared" si="94"/>
        <v>97</v>
      </c>
      <c r="U128" s="4">
        <f t="shared" si="94"/>
        <v>102</v>
      </c>
      <c r="V128" s="4">
        <f t="shared" si="94"/>
        <v>97</v>
      </c>
      <c r="W128" s="4">
        <f t="shared" ref="W128:X128" si="95">W90/$F90</f>
        <v>0</v>
      </c>
      <c r="X128" s="4">
        <f t="shared" si="95"/>
        <v>0</v>
      </c>
      <c r="Y128" s="4">
        <f t="shared" ref="Y128:AN128" si="96">ROUNDUP(Y90/$F90,0)</f>
        <v>103</v>
      </c>
      <c r="Z128" s="4">
        <f t="shared" si="96"/>
        <v>102</v>
      </c>
      <c r="AA128" s="4">
        <f t="shared" si="96"/>
        <v>97</v>
      </c>
      <c r="AB128" s="4">
        <f t="shared" si="96"/>
        <v>103</v>
      </c>
      <c r="AC128" s="4">
        <f t="shared" si="96"/>
        <v>97</v>
      </c>
      <c r="AD128" s="4">
        <f t="shared" si="96"/>
        <v>0</v>
      </c>
      <c r="AE128" s="4">
        <f t="shared" si="96"/>
        <v>0</v>
      </c>
      <c r="AF128" s="4">
        <f t="shared" si="96"/>
        <v>92</v>
      </c>
      <c r="AG128" s="4">
        <f t="shared" si="96"/>
        <v>92</v>
      </c>
      <c r="AH128" s="4">
        <f t="shared" si="96"/>
        <v>87</v>
      </c>
      <c r="AI128" s="4">
        <f t="shared" si="96"/>
        <v>92</v>
      </c>
      <c r="AJ128" s="4">
        <f t="shared" si="96"/>
        <v>87</v>
      </c>
      <c r="AK128" s="4">
        <f t="shared" si="96"/>
        <v>0</v>
      </c>
      <c r="AL128" s="4">
        <f t="shared" si="96"/>
        <v>0</v>
      </c>
      <c r="AM128" s="4">
        <f t="shared" si="96"/>
        <v>71</v>
      </c>
      <c r="AN128" s="4">
        <f t="shared" si="96"/>
        <v>71</v>
      </c>
      <c r="AO128" s="4"/>
    </row>
    <row r="129" spans="1:41" ht="15" x14ac:dyDescent="0.2">
      <c r="A129" s="4"/>
      <c r="B129" s="4">
        <v>2038</v>
      </c>
      <c r="C129" s="4" t="s">
        <v>54</v>
      </c>
      <c r="D129" s="54" t="s">
        <v>350</v>
      </c>
      <c r="E129" s="4" t="s">
        <v>18</v>
      </c>
      <c r="F129" s="4">
        <v>30</v>
      </c>
      <c r="G129" s="4">
        <v>0.152</v>
      </c>
      <c r="H129" s="4" t="s">
        <v>237</v>
      </c>
      <c r="I129" s="4" t="s">
        <v>3</v>
      </c>
      <c r="J129" s="4">
        <f t="shared" si="3"/>
        <v>0</v>
      </c>
      <c r="K129" s="4">
        <f t="shared" si="4"/>
        <v>0</v>
      </c>
      <c r="L129" s="4">
        <f t="shared" si="4"/>
        <v>10</v>
      </c>
      <c r="M129" s="4">
        <f t="shared" si="4"/>
        <v>10</v>
      </c>
      <c r="N129" s="4">
        <f t="shared" si="4"/>
        <v>10</v>
      </c>
      <c r="O129" s="4">
        <f t="shared" si="4"/>
        <v>10</v>
      </c>
      <c r="P129" s="4">
        <f t="shared" si="4"/>
        <v>0</v>
      </c>
      <c r="Q129" s="4">
        <f t="shared" si="4"/>
        <v>0</v>
      </c>
      <c r="R129" s="4">
        <f t="shared" ref="R129:V129" si="97">ROUNDUP(R91/$F91,0)</f>
        <v>8</v>
      </c>
      <c r="S129" s="4">
        <f t="shared" si="97"/>
        <v>8</v>
      </c>
      <c r="T129" s="4">
        <f t="shared" si="97"/>
        <v>10</v>
      </c>
      <c r="U129" s="4">
        <f t="shared" si="97"/>
        <v>0</v>
      </c>
      <c r="V129" s="4">
        <f t="shared" si="97"/>
        <v>10</v>
      </c>
      <c r="W129" s="4">
        <f t="shared" ref="W129:X129" si="98">W91/$F91</f>
        <v>0</v>
      </c>
      <c r="X129" s="4">
        <f t="shared" si="98"/>
        <v>0</v>
      </c>
      <c r="Y129" s="4">
        <f t="shared" ref="Y129:AN129" si="99">ROUNDUP(Y91/$F91,0)</f>
        <v>8</v>
      </c>
      <c r="Z129" s="4">
        <f t="shared" si="99"/>
        <v>10</v>
      </c>
      <c r="AA129" s="4">
        <f t="shared" si="99"/>
        <v>0</v>
      </c>
      <c r="AB129" s="4">
        <f t="shared" si="99"/>
        <v>8</v>
      </c>
      <c r="AC129" s="4">
        <f t="shared" si="99"/>
        <v>10</v>
      </c>
      <c r="AD129" s="4">
        <f t="shared" si="99"/>
        <v>0</v>
      </c>
      <c r="AE129" s="4">
        <f t="shared" si="99"/>
        <v>0</v>
      </c>
      <c r="AF129" s="4">
        <f t="shared" si="99"/>
        <v>10</v>
      </c>
      <c r="AG129" s="4">
        <f t="shared" si="99"/>
        <v>16</v>
      </c>
      <c r="AH129" s="4">
        <f t="shared" si="99"/>
        <v>14</v>
      </c>
      <c r="AI129" s="4">
        <f t="shared" si="99"/>
        <v>0</v>
      </c>
      <c r="AJ129" s="4">
        <f t="shared" si="99"/>
        <v>16</v>
      </c>
      <c r="AK129" s="4">
        <f t="shared" si="99"/>
        <v>0</v>
      </c>
      <c r="AL129" s="4">
        <f t="shared" si="99"/>
        <v>0</v>
      </c>
      <c r="AM129" s="4">
        <f t="shared" si="99"/>
        <v>10</v>
      </c>
      <c r="AN129" s="4">
        <f t="shared" si="99"/>
        <v>27</v>
      </c>
      <c r="AO129" s="4"/>
    </row>
    <row r="130" spans="1:41" ht="15" x14ac:dyDescent="0.2">
      <c r="A130" s="4"/>
      <c r="B130" s="4">
        <v>2038</v>
      </c>
      <c r="C130" s="4" t="s">
        <v>54</v>
      </c>
      <c r="D130" s="54" t="s">
        <v>351</v>
      </c>
      <c r="E130" s="4" t="s">
        <v>18</v>
      </c>
      <c r="F130" s="4">
        <v>30</v>
      </c>
      <c r="G130" s="4">
        <v>0.152</v>
      </c>
      <c r="H130" s="4" t="s">
        <v>237</v>
      </c>
      <c r="I130" s="4" t="s">
        <v>3</v>
      </c>
      <c r="J130" s="4">
        <f t="shared" si="3"/>
        <v>0</v>
      </c>
      <c r="K130" s="4">
        <f t="shared" si="4"/>
        <v>28</v>
      </c>
      <c r="L130" s="4">
        <f t="shared" si="4"/>
        <v>10</v>
      </c>
      <c r="M130" s="4">
        <f t="shared" si="4"/>
        <v>10</v>
      </c>
      <c r="N130" s="4">
        <f t="shared" si="4"/>
        <v>19</v>
      </c>
      <c r="O130" s="4">
        <f t="shared" si="4"/>
        <v>0</v>
      </c>
      <c r="P130" s="4">
        <f t="shared" si="4"/>
        <v>0</v>
      </c>
      <c r="Q130" s="4">
        <f t="shared" si="4"/>
        <v>0</v>
      </c>
      <c r="R130" s="4">
        <f t="shared" ref="R130:V130" si="100">ROUNDUP(R92/$F92,0)</f>
        <v>15</v>
      </c>
      <c r="S130" s="4">
        <f t="shared" si="100"/>
        <v>18</v>
      </c>
      <c r="T130" s="4">
        <f t="shared" si="100"/>
        <v>10</v>
      </c>
      <c r="U130" s="4">
        <f t="shared" si="100"/>
        <v>23</v>
      </c>
      <c r="V130" s="4">
        <f t="shared" si="100"/>
        <v>10</v>
      </c>
      <c r="W130" s="4">
        <f t="shared" ref="W130:X130" si="101">W92/$F92</f>
        <v>0</v>
      </c>
      <c r="X130" s="4">
        <f t="shared" si="101"/>
        <v>0</v>
      </c>
      <c r="Y130" s="4">
        <f t="shared" ref="Y130:AN130" si="102">ROUNDUP(Y92/$F92,0)</f>
        <v>16</v>
      </c>
      <c r="Z130" s="4">
        <f t="shared" si="102"/>
        <v>6</v>
      </c>
      <c r="AA130" s="4">
        <f t="shared" si="102"/>
        <v>16</v>
      </c>
      <c r="AB130" s="4">
        <f t="shared" si="102"/>
        <v>16</v>
      </c>
      <c r="AC130" s="4">
        <f t="shared" si="102"/>
        <v>16</v>
      </c>
      <c r="AD130" s="4">
        <f t="shared" si="102"/>
        <v>0</v>
      </c>
      <c r="AE130" s="4">
        <f t="shared" si="102"/>
        <v>0</v>
      </c>
      <c r="AF130" s="4">
        <f t="shared" si="102"/>
        <v>18</v>
      </c>
      <c r="AG130" s="4">
        <f t="shared" si="102"/>
        <v>8</v>
      </c>
      <c r="AH130" s="4">
        <f t="shared" si="102"/>
        <v>10</v>
      </c>
      <c r="AI130" s="4">
        <f t="shared" si="102"/>
        <v>19</v>
      </c>
      <c r="AJ130" s="4">
        <f t="shared" si="102"/>
        <v>12</v>
      </c>
      <c r="AK130" s="4">
        <f t="shared" si="102"/>
        <v>0</v>
      </c>
      <c r="AL130" s="4">
        <f t="shared" si="102"/>
        <v>0</v>
      </c>
      <c r="AM130" s="4">
        <f t="shared" si="102"/>
        <v>18</v>
      </c>
      <c r="AN130" s="4">
        <f t="shared" si="102"/>
        <v>0</v>
      </c>
      <c r="AO130" s="4"/>
    </row>
    <row r="131" spans="1:41" ht="15" x14ac:dyDescent="0.2">
      <c r="A131" s="4"/>
      <c r="B131" s="4">
        <v>2038</v>
      </c>
      <c r="C131" s="4" t="s">
        <v>54</v>
      </c>
      <c r="D131" s="54" t="s">
        <v>352</v>
      </c>
      <c r="E131" s="4" t="s">
        <v>18</v>
      </c>
      <c r="F131" s="4">
        <v>30</v>
      </c>
      <c r="G131" s="4">
        <v>0.152</v>
      </c>
      <c r="H131" s="4" t="s">
        <v>237</v>
      </c>
      <c r="I131" s="4" t="s">
        <v>3</v>
      </c>
      <c r="J131" s="4">
        <f t="shared" si="3"/>
        <v>0</v>
      </c>
      <c r="K131" s="4">
        <f t="shared" si="4"/>
        <v>0</v>
      </c>
      <c r="L131" s="4">
        <f t="shared" si="4"/>
        <v>0</v>
      </c>
      <c r="M131" s="4">
        <f t="shared" si="4"/>
        <v>0</v>
      </c>
      <c r="N131" s="4">
        <f t="shared" si="4"/>
        <v>0</v>
      </c>
      <c r="O131" s="4">
        <f t="shared" si="4"/>
        <v>10</v>
      </c>
      <c r="P131" s="4">
        <f t="shared" si="4"/>
        <v>0</v>
      </c>
      <c r="Q131" s="4">
        <f t="shared" si="4"/>
        <v>0</v>
      </c>
      <c r="R131" s="4">
        <f t="shared" ref="R131:V131" si="103">ROUNDUP(R93/$F93,0)</f>
        <v>0</v>
      </c>
      <c r="S131" s="4">
        <f t="shared" si="103"/>
        <v>7</v>
      </c>
      <c r="T131" s="4">
        <f t="shared" si="103"/>
        <v>0</v>
      </c>
      <c r="U131" s="4">
        <f t="shared" si="103"/>
        <v>0</v>
      </c>
      <c r="V131" s="4">
        <f t="shared" si="103"/>
        <v>0</v>
      </c>
      <c r="W131" s="4">
        <f t="shared" ref="W131:X131" si="104">W93/$F93</f>
        <v>0</v>
      </c>
      <c r="X131" s="4">
        <f t="shared" si="104"/>
        <v>0</v>
      </c>
      <c r="Y131" s="4">
        <f t="shared" ref="Y131:AN131" si="105">ROUNDUP(Y93/$F93,0)</f>
        <v>0</v>
      </c>
      <c r="Z131" s="4">
        <f t="shared" si="105"/>
        <v>13</v>
      </c>
      <c r="AA131" s="4">
        <f t="shared" si="105"/>
        <v>0</v>
      </c>
      <c r="AB131" s="4">
        <f t="shared" si="105"/>
        <v>0</v>
      </c>
      <c r="AC131" s="4">
        <f t="shared" si="105"/>
        <v>0</v>
      </c>
      <c r="AD131" s="4">
        <f t="shared" si="105"/>
        <v>0</v>
      </c>
      <c r="AE131" s="4">
        <f t="shared" si="105"/>
        <v>0</v>
      </c>
      <c r="AF131" s="4">
        <f t="shared" si="105"/>
        <v>10</v>
      </c>
      <c r="AG131" s="4">
        <f t="shared" si="105"/>
        <v>0</v>
      </c>
      <c r="AH131" s="4">
        <f t="shared" si="105"/>
        <v>0</v>
      </c>
      <c r="AI131" s="4">
        <f t="shared" si="105"/>
        <v>0</v>
      </c>
      <c r="AJ131" s="4">
        <f t="shared" si="105"/>
        <v>0</v>
      </c>
      <c r="AK131" s="4">
        <f t="shared" si="105"/>
        <v>0</v>
      </c>
      <c r="AL131" s="4">
        <f t="shared" si="105"/>
        <v>0</v>
      </c>
      <c r="AM131" s="4">
        <f t="shared" si="105"/>
        <v>10</v>
      </c>
      <c r="AN131" s="4">
        <f t="shared" si="105"/>
        <v>0</v>
      </c>
      <c r="AO131" s="4"/>
    </row>
    <row r="132" spans="1:41" ht="15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</row>
    <row r="133" spans="1:41" ht="15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</row>
    <row r="134" spans="1:41" ht="15" x14ac:dyDescent="0.2">
      <c r="A134" s="4"/>
      <c r="B134" s="3" t="s">
        <v>87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</row>
    <row r="135" spans="1:41" ht="15" x14ac:dyDescent="0.2">
      <c r="A135" s="4"/>
      <c r="B135" s="4" t="s">
        <v>19</v>
      </c>
      <c r="C135" s="4" t="s">
        <v>20</v>
      </c>
      <c r="D135" s="4" t="s">
        <v>21</v>
      </c>
      <c r="E135" s="4" t="s">
        <v>0</v>
      </c>
      <c r="F135" s="4" t="s">
        <v>1</v>
      </c>
      <c r="G135" s="4" t="s">
        <v>89</v>
      </c>
      <c r="H135" s="4" t="s">
        <v>225</v>
      </c>
      <c r="I135" s="4" t="s">
        <v>22</v>
      </c>
      <c r="J135" s="4" t="s">
        <v>23</v>
      </c>
      <c r="K135" s="4" t="s">
        <v>24</v>
      </c>
      <c r="L135" s="4" t="s">
        <v>25</v>
      </c>
      <c r="M135" s="4" t="s">
        <v>26</v>
      </c>
      <c r="N135" s="4" t="s">
        <v>27</v>
      </c>
      <c r="O135" s="4" t="s">
        <v>28</v>
      </c>
      <c r="P135" s="4" t="s">
        <v>29</v>
      </c>
      <c r="Q135" s="4" t="s">
        <v>30</v>
      </c>
      <c r="R135" s="4" t="s">
        <v>31</v>
      </c>
      <c r="S135" s="4" t="s">
        <v>32</v>
      </c>
      <c r="T135" s="4" t="s">
        <v>33</v>
      </c>
      <c r="U135" s="4" t="s">
        <v>34</v>
      </c>
      <c r="V135" s="4" t="s">
        <v>35</v>
      </c>
      <c r="W135" s="4" t="s">
        <v>36</v>
      </c>
      <c r="X135" s="4" t="s">
        <v>37</v>
      </c>
      <c r="Y135" s="4" t="s">
        <v>38</v>
      </c>
      <c r="Z135" s="4" t="s">
        <v>39</v>
      </c>
      <c r="AA135" s="4" t="s">
        <v>40</v>
      </c>
      <c r="AB135" s="4" t="s">
        <v>41</v>
      </c>
      <c r="AC135" s="4" t="s">
        <v>42</v>
      </c>
      <c r="AD135" s="4" t="s">
        <v>43</v>
      </c>
      <c r="AE135" s="4" t="s">
        <v>44</v>
      </c>
      <c r="AF135" s="4" t="s">
        <v>45</v>
      </c>
      <c r="AG135" s="4" t="s">
        <v>46</v>
      </c>
      <c r="AH135" s="4" t="s">
        <v>47</v>
      </c>
      <c r="AI135" s="4" t="s">
        <v>48</v>
      </c>
      <c r="AJ135" s="4" t="s">
        <v>49</v>
      </c>
      <c r="AK135" s="4" t="s">
        <v>50</v>
      </c>
      <c r="AL135" s="4" t="s">
        <v>51</v>
      </c>
      <c r="AM135" s="4" t="s">
        <v>52</v>
      </c>
      <c r="AN135" s="4" t="s">
        <v>53</v>
      </c>
      <c r="AO135" s="4"/>
    </row>
    <row r="136" spans="1:41" ht="15" x14ac:dyDescent="0.2">
      <c r="A136" s="4"/>
      <c r="B136" s="4">
        <v>2038</v>
      </c>
      <c r="C136" s="4" t="s">
        <v>54</v>
      </c>
      <c r="D136" s="54" t="s">
        <v>319</v>
      </c>
      <c r="E136" s="4" t="s">
        <v>12</v>
      </c>
      <c r="F136" s="4">
        <v>150</v>
      </c>
      <c r="G136" s="4">
        <v>6.2458000000000001E-3</v>
      </c>
      <c r="H136" s="4" t="s">
        <v>155</v>
      </c>
      <c r="I136" s="4" t="s">
        <v>3</v>
      </c>
      <c r="J136" s="56">
        <f>J97*$G136</f>
        <v>0</v>
      </c>
      <c r="K136" s="56">
        <f t="shared" ref="K136:AN136" si="106">K97*$G136</f>
        <v>6.2458000000000001E-3</v>
      </c>
      <c r="L136" s="56">
        <f t="shared" si="106"/>
        <v>6.2458000000000001E-3</v>
      </c>
      <c r="M136" s="56">
        <f t="shared" si="106"/>
        <v>6.2458000000000001E-3</v>
      </c>
      <c r="N136" s="56">
        <f t="shared" si="106"/>
        <v>6.2458000000000001E-3</v>
      </c>
      <c r="O136" s="56">
        <f t="shared" si="106"/>
        <v>6.2458000000000001E-3</v>
      </c>
      <c r="P136" s="56">
        <f t="shared" si="106"/>
        <v>0</v>
      </c>
      <c r="Q136" s="56">
        <f t="shared" si="106"/>
        <v>0</v>
      </c>
      <c r="R136" s="56">
        <f t="shared" si="106"/>
        <v>6.2458000000000001E-3</v>
      </c>
      <c r="S136" s="56">
        <f t="shared" si="106"/>
        <v>6.2458000000000001E-3</v>
      </c>
      <c r="T136" s="56">
        <f t="shared" si="106"/>
        <v>6.2458000000000001E-3</v>
      </c>
      <c r="U136" s="56">
        <f t="shared" si="106"/>
        <v>6.2458000000000001E-3</v>
      </c>
      <c r="V136" s="56">
        <f t="shared" si="106"/>
        <v>6.2458000000000001E-3</v>
      </c>
      <c r="W136" s="56">
        <f t="shared" si="106"/>
        <v>0</v>
      </c>
      <c r="X136" s="56">
        <f t="shared" si="106"/>
        <v>0</v>
      </c>
      <c r="Y136" s="56">
        <f t="shared" si="106"/>
        <v>6.2458000000000001E-3</v>
      </c>
      <c r="Z136" s="56">
        <f t="shared" si="106"/>
        <v>6.2458000000000001E-3</v>
      </c>
      <c r="AA136" s="56">
        <f t="shared" si="106"/>
        <v>6.2458000000000001E-3</v>
      </c>
      <c r="AB136" s="56">
        <f t="shared" si="106"/>
        <v>6.2458000000000001E-3</v>
      </c>
      <c r="AC136" s="56">
        <f t="shared" si="106"/>
        <v>6.2458000000000001E-3</v>
      </c>
      <c r="AD136" s="56">
        <f t="shared" si="106"/>
        <v>0</v>
      </c>
      <c r="AE136" s="56">
        <f t="shared" si="106"/>
        <v>0</v>
      </c>
      <c r="AF136" s="56">
        <f t="shared" si="106"/>
        <v>6.2458000000000001E-3</v>
      </c>
      <c r="AG136" s="56">
        <f t="shared" si="106"/>
        <v>6.2458000000000001E-3</v>
      </c>
      <c r="AH136" s="56">
        <f t="shared" si="106"/>
        <v>6.2458000000000001E-3</v>
      </c>
      <c r="AI136" s="56">
        <f t="shared" si="106"/>
        <v>6.2458000000000001E-3</v>
      </c>
      <c r="AJ136" s="56">
        <f t="shared" si="106"/>
        <v>6.2458000000000001E-3</v>
      </c>
      <c r="AK136" s="56">
        <f t="shared" si="106"/>
        <v>0</v>
      </c>
      <c r="AL136" s="56">
        <f t="shared" si="106"/>
        <v>0</v>
      </c>
      <c r="AM136" s="56">
        <f t="shared" si="106"/>
        <v>6.2458000000000001E-3</v>
      </c>
      <c r="AN136" s="56">
        <f t="shared" si="106"/>
        <v>6.2458000000000001E-3</v>
      </c>
      <c r="AO136" s="4"/>
    </row>
    <row r="137" spans="1:41" ht="15" x14ac:dyDescent="0.2">
      <c r="A137" s="4"/>
      <c r="B137" s="4">
        <v>2038</v>
      </c>
      <c r="C137" s="4" t="s">
        <v>54</v>
      </c>
      <c r="D137" s="54" t="s">
        <v>319</v>
      </c>
      <c r="E137" s="4" t="s">
        <v>13</v>
      </c>
      <c r="F137" s="4">
        <v>150</v>
      </c>
      <c r="G137" s="4">
        <v>6.2458000000000001E-3</v>
      </c>
      <c r="H137" s="4" t="s">
        <v>155</v>
      </c>
      <c r="I137" s="4" t="s">
        <v>3</v>
      </c>
      <c r="J137" s="56">
        <f t="shared" ref="J137:Q170" si="107">J98*$G137</f>
        <v>0</v>
      </c>
      <c r="K137" s="56">
        <f t="shared" si="107"/>
        <v>6.2458000000000001E-3</v>
      </c>
      <c r="L137" s="56">
        <f t="shared" si="107"/>
        <v>6.2458000000000001E-3</v>
      </c>
      <c r="M137" s="56">
        <f t="shared" si="107"/>
        <v>6.2458000000000001E-3</v>
      </c>
      <c r="N137" s="56">
        <f t="shared" si="107"/>
        <v>6.2458000000000001E-3</v>
      </c>
      <c r="O137" s="56">
        <f t="shared" si="107"/>
        <v>6.2458000000000001E-3</v>
      </c>
      <c r="P137" s="56">
        <f t="shared" si="107"/>
        <v>0</v>
      </c>
      <c r="Q137" s="56">
        <f t="shared" si="107"/>
        <v>0</v>
      </c>
      <c r="R137" s="56">
        <f t="shared" ref="R137:AN137" si="108">R98*$G137</f>
        <v>6.2458000000000001E-3</v>
      </c>
      <c r="S137" s="56">
        <f t="shared" si="108"/>
        <v>6.2458000000000001E-3</v>
      </c>
      <c r="T137" s="56">
        <f t="shared" si="108"/>
        <v>6.2458000000000001E-3</v>
      </c>
      <c r="U137" s="56">
        <f t="shared" si="108"/>
        <v>6.2458000000000001E-3</v>
      </c>
      <c r="V137" s="56">
        <f t="shared" si="108"/>
        <v>6.2458000000000001E-3</v>
      </c>
      <c r="W137" s="56">
        <f t="shared" si="108"/>
        <v>0</v>
      </c>
      <c r="X137" s="56">
        <f t="shared" si="108"/>
        <v>0</v>
      </c>
      <c r="Y137" s="56">
        <f t="shared" si="108"/>
        <v>6.2458000000000001E-3</v>
      </c>
      <c r="Z137" s="56">
        <f t="shared" si="108"/>
        <v>6.2458000000000001E-3</v>
      </c>
      <c r="AA137" s="56">
        <f t="shared" si="108"/>
        <v>6.2458000000000001E-3</v>
      </c>
      <c r="AB137" s="56">
        <f t="shared" si="108"/>
        <v>6.2458000000000001E-3</v>
      </c>
      <c r="AC137" s="56">
        <f t="shared" si="108"/>
        <v>6.2458000000000001E-3</v>
      </c>
      <c r="AD137" s="56">
        <f t="shared" si="108"/>
        <v>0</v>
      </c>
      <c r="AE137" s="56">
        <f t="shared" si="108"/>
        <v>0</v>
      </c>
      <c r="AF137" s="56">
        <f t="shared" si="108"/>
        <v>6.2458000000000001E-3</v>
      </c>
      <c r="AG137" s="56">
        <f t="shared" si="108"/>
        <v>6.2458000000000001E-3</v>
      </c>
      <c r="AH137" s="56">
        <f t="shared" si="108"/>
        <v>6.2458000000000001E-3</v>
      </c>
      <c r="AI137" s="56">
        <f t="shared" si="108"/>
        <v>6.2458000000000001E-3</v>
      </c>
      <c r="AJ137" s="56">
        <f t="shared" si="108"/>
        <v>6.2458000000000001E-3</v>
      </c>
      <c r="AK137" s="56">
        <f t="shared" si="108"/>
        <v>0</v>
      </c>
      <c r="AL137" s="56">
        <f t="shared" si="108"/>
        <v>0</v>
      </c>
      <c r="AM137" s="56">
        <f t="shared" si="108"/>
        <v>6.2458000000000001E-3</v>
      </c>
      <c r="AN137" s="56">
        <f t="shared" si="108"/>
        <v>6.2458000000000001E-3</v>
      </c>
      <c r="AO137" s="4"/>
    </row>
    <row r="138" spans="1:41" ht="15" x14ac:dyDescent="0.2">
      <c r="A138" s="4"/>
      <c r="B138" s="4">
        <v>2038</v>
      </c>
      <c r="C138" s="4" t="s">
        <v>54</v>
      </c>
      <c r="D138" s="54" t="s">
        <v>320</v>
      </c>
      <c r="E138" s="4" t="s">
        <v>12</v>
      </c>
      <c r="F138" s="4">
        <v>6</v>
      </c>
      <c r="G138" s="4">
        <v>2.7744000000000001E-2</v>
      </c>
      <c r="H138" s="4" t="s">
        <v>181</v>
      </c>
      <c r="I138" s="4" t="s">
        <v>3</v>
      </c>
      <c r="J138" s="56">
        <f t="shared" si="107"/>
        <v>0</v>
      </c>
      <c r="K138" s="56">
        <f t="shared" si="107"/>
        <v>8.3232E-2</v>
      </c>
      <c r="L138" s="56">
        <f t="shared" si="107"/>
        <v>8.3232E-2</v>
      </c>
      <c r="M138" s="56">
        <f t="shared" si="107"/>
        <v>8.3232E-2</v>
      </c>
      <c r="N138" s="56">
        <f t="shared" si="107"/>
        <v>8.3232E-2</v>
      </c>
      <c r="O138" s="56">
        <f t="shared" si="107"/>
        <v>8.3232E-2</v>
      </c>
      <c r="P138" s="56">
        <f t="shared" si="107"/>
        <v>0</v>
      </c>
      <c r="Q138" s="56">
        <f t="shared" si="107"/>
        <v>0</v>
      </c>
      <c r="R138" s="56">
        <f t="shared" ref="R138:AN138" si="109">R99*$G138</f>
        <v>8.3232E-2</v>
      </c>
      <c r="S138" s="56">
        <f t="shared" si="109"/>
        <v>0.11097600000000001</v>
      </c>
      <c r="T138" s="56">
        <f t="shared" si="109"/>
        <v>8.3232E-2</v>
      </c>
      <c r="U138" s="56">
        <f t="shared" si="109"/>
        <v>8.3232E-2</v>
      </c>
      <c r="V138" s="56">
        <f t="shared" si="109"/>
        <v>8.3232E-2</v>
      </c>
      <c r="W138" s="56">
        <f t="shared" si="109"/>
        <v>0</v>
      </c>
      <c r="X138" s="56">
        <f t="shared" si="109"/>
        <v>0</v>
      </c>
      <c r="Y138" s="56">
        <f t="shared" si="109"/>
        <v>8.3232E-2</v>
      </c>
      <c r="Z138" s="56">
        <f t="shared" si="109"/>
        <v>8.3232E-2</v>
      </c>
      <c r="AA138" s="56">
        <f t="shared" si="109"/>
        <v>8.3232E-2</v>
      </c>
      <c r="AB138" s="56">
        <f t="shared" si="109"/>
        <v>5.5488000000000003E-2</v>
      </c>
      <c r="AC138" s="56">
        <f t="shared" si="109"/>
        <v>5.5488000000000003E-2</v>
      </c>
      <c r="AD138" s="56">
        <f t="shared" si="109"/>
        <v>0</v>
      </c>
      <c r="AE138" s="56">
        <f t="shared" si="109"/>
        <v>0</v>
      </c>
      <c r="AF138" s="56">
        <f t="shared" si="109"/>
        <v>5.5488000000000003E-2</v>
      </c>
      <c r="AG138" s="56">
        <f t="shared" si="109"/>
        <v>8.3232E-2</v>
      </c>
      <c r="AH138" s="56">
        <f t="shared" si="109"/>
        <v>8.3232E-2</v>
      </c>
      <c r="AI138" s="56">
        <f t="shared" si="109"/>
        <v>8.3232E-2</v>
      </c>
      <c r="AJ138" s="56">
        <f t="shared" si="109"/>
        <v>5.5488000000000003E-2</v>
      </c>
      <c r="AK138" s="56">
        <f t="shared" si="109"/>
        <v>0</v>
      </c>
      <c r="AL138" s="56">
        <f t="shared" si="109"/>
        <v>0</v>
      </c>
      <c r="AM138" s="56">
        <f t="shared" si="109"/>
        <v>5.5488000000000003E-2</v>
      </c>
      <c r="AN138" s="56">
        <f t="shared" si="109"/>
        <v>5.5488000000000003E-2</v>
      </c>
      <c r="AO138" s="4"/>
    </row>
    <row r="139" spans="1:41" ht="15" x14ac:dyDescent="0.2">
      <c r="A139" s="4"/>
      <c r="B139" s="4">
        <v>2038</v>
      </c>
      <c r="C139" s="4" t="s">
        <v>54</v>
      </c>
      <c r="D139" s="54" t="s">
        <v>321</v>
      </c>
      <c r="E139" s="4" t="s">
        <v>14</v>
      </c>
      <c r="F139" s="4">
        <v>2</v>
      </c>
      <c r="G139" s="4">
        <v>2.3120000000000002E-2</v>
      </c>
      <c r="H139" s="4" t="s">
        <v>197</v>
      </c>
      <c r="I139" s="4" t="s">
        <v>3</v>
      </c>
      <c r="J139" s="56">
        <f t="shared" si="107"/>
        <v>0</v>
      </c>
      <c r="K139" s="56">
        <f t="shared" si="107"/>
        <v>1.1328800000000001</v>
      </c>
      <c r="L139" s="56">
        <f t="shared" si="107"/>
        <v>1.1328800000000001</v>
      </c>
      <c r="M139" s="56">
        <f t="shared" si="107"/>
        <v>1.1328800000000001</v>
      </c>
      <c r="N139" s="56">
        <f t="shared" si="107"/>
        <v>1.1328800000000001</v>
      </c>
      <c r="O139" s="56">
        <f t="shared" si="107"/>
        <v>1.1328800000000001</v>
      </c>
      <c r="P139" s="56">
        <f t="shared" si="107"/>
        <v>0</v>
      </c>
      <c r="Q139" s="56">
        <f t="shared" si="107"/>
        <v>0</v>
      </c>
      <c r="R139" s="56">
        <f t="shared" ref="R139:AN139" si="110">R100*$G139</f>
        <v>1.1328800000000001</v>
      </c>
      <c r="S139" s="56">
        <f t="shared" si="110"/>
        <v>1.2022400000000002</v>
      </c>
      <c r="T139" s="56">
        <f t="shared" si="110"/>
        <v>1.1328800000000001</v>
      </c>
      <c r="U139" s="56">
        <f t="shared" si="110"/>
        <v>1.1328800000000001</v>
      </c>
      <c r="V139" s="56">
        <f t="shared" si="110"/>
        <v>1.1328800000000001</v>
      </c>
      <c r="W139" s="56">
        <f t="shared" si="110"/>
        <v>0</v>
      </c>
      <c r="X139" s="56">
        <f t="shared" si="110"/>
        <v>0</v>
      </c>
      <c r="Y139" s="56">
        <f t="shared" si="110"/>
        <v>1.1328800000000001</v>
      </c>
      <c r="Z139" s="56">
        <f t="shared" si="110"/>
        <v>1.1328800000000001</v>
      </c>
      <c r="AA139" s="56">
        <f t="shared" si="110"/>
        <v>1.1328800000000001</v>
      </c>
      <c r="AB139" s="56">
        <f t="shared" si="110"/>
        <v>1.1328800000000001</v>
      </c>
      <c r="AC139" s="56">
        <f t="shared" si="110"/>
        <v>1.1328800000000001</v>
      </c>
      <c r="AD139" s="56">
        <f t="shared" si="110"/>
        <v>0</v>
      </c>
      <c r="AE139" s="56">
        <f t="shared" si="110"/>
        <v>0</v>
      </c>
      <c r="AF139" s="56">
        <f t="shared" si="110"/>
        <v>1.1328800000000001</v>
      </c>
      <c r="AG139" s="56">
        <f t="shared" si="110"/>
        <v>1.1328800000000001</v>
      </c>
      <c r="AH139" s="56">
        <f t="shared" si="110"/>
        <v>1.1328800000000001</v>
      </c>
      <c r="AI139" s="56">
        <f t="shared" si="110"/>
        <v>1.1328800000000001</v>
      </c>
      <c r="AJ139" s="56">
        <f t="shared" si="110"/>
        <v>1.1328800000000001</v>
      </c>
      <c r="AK139" s="56">
        <f t="shared" si="110"/>
        <v>0</v>
      </c>
      <c r="AL139" s="56">
        <f t="shared" si="110"/>
        <v>0</v>
      </c>
      <c r="AM139" s="56">
        <f t="shared" si="110"/>
        <v>1.1328800000000001</v>
      </c>
      <c r="AN139" s="56">
        <f t="shared" si="110"/>
        <v>1.1328800000000001</v>
      </c>
      <c r="AO139" s="4"/>
    </row>
    <row r="140" spans="1:41" ht="15" x14ac:dyDescent="0.2">
      <c r="A140" s="4"/>
      <c r="B140" s="4">
        <v>2038</v>
      </c>
      <c r="C140" s="4" t="s">
        <v>54</v>
      </c>
      <c r="D140" s="54" t="s">
        <v>322</v>
      </c>
      <c r="E140" s="4" t="s">
        <v>63</v>
      </c>
      <c r="F140" s="4">
        <v>1</v>
      </c>
      <c r="G140" s="4">
        <v>1.6721525000000001E-2</v>
      </c>
      <c r="H140" s="4" t="s">
        <v>196</v>
      </c>
      <c r="I140" s="4" t="s">
        <v>3</v>
      </c>
      <c r="J140" s="56">
        <f t="shared" si="107"/>
        <v>0</v>
      </c>
      <c r="K140" s="56">
        <f t="shared" si="107"/>
        <v>2.2574058750000003</v>
      </c>
      <c r="L140" s="56">
        <f t="shared" si="107"/>
        <v>2.2574058750000003</v>
      </c>
      <c r="M140" s="56">
        <f t="shared" si="107"/>
        <v>2.2574058750000003</v>
      </c>
      <c r="N140" s="56">
        <f t="shared" si="107"/>
        <v>2.2574058750000003</v>
      </c>
      <c r="O140" s="56">
        <f t="shared" si="107"/>
        <v>2.2574058750000003</v>
      </c>
      <c r="P140" s="56">
        <f t="shared" si="107"/>
        <v>0</v>
      </c>
      <c r="Q140" s="56">
        <f t="shared" si="107"/>
        <v>0</v>
      </c>
      <c r="R140" s="56">
        <f t="shared" ref="R140:AN140" si="111">R101*$G140</f>
        <v>2.2574058750000003</v>
      </c>
      <c r="S140" s="56">
        <f t="shared" si="111"/>
        <v>2.2574058750000003</v>
      </c>
      <c r="T140" s="56">
        <f t="shared" si="111"/>
        <v>2.2574058750000003</v>
      </c>
      <c r="U140" s="56">
        <f t="shared" si="111"/>
        <v>2.2574058750000003</v>
      </c>
      <c r="V140" s="56">
        <f t="shared" si="111"/>
        <v>2.2574058750000003</v>
      </c>
      <c r="W140" s="56">
        <f t="shared" si="111"/>
        <v>0</v>
      </c>
      <c r="X140" s="56">
        <f t="shared" si="111"/>
        <v>0</v>
      </c>
      <c r="Y140" s="56">
        <f t="shared" si="111"/>
        <v>2.2574058750000003</v>
      </c>
      <c r="Z140" s="56">
        <f t="shared" si="111"/>
        <v>2.2574058750000003</v>
      </c>
      <c r="AA140" s="56">
        <f t="shared" si="111"/>
        <v>2.2574058750000003</v>
      </c>
      <c r="AB140" s="56">
        <f t="shared" si="111"/>
        <v>2.2574058750000003</v>
      </c>
      <c r="AC140" s="56">
        <f t="shared" si="111"/>
        <v>2.2574058750000003</v>
      </c>
      <c r="AD140" s="56">
        <f t="shared" si="111"/>
        <v>0</v>
      </c>
      <c r="AE140" s="56">
        <f t="shared" si="111"/>
        <v>0</v>
      </c>
      <c r="AF140" s="56">
        <f t="shared" si="111"/>
        <v>2.2574058750000003</v>
      </c>
      <c r="AG140" s="56">
        <f t="shared" si="111"/>
        <v>2.2574058750000003</v>
      </c>
      <c r="AH140" s="56">
        <f t="shared" si="111"/>
        <v>2.2574058750000003</v>
      </c>
      <c r="AI140" s="56">
        <f t="shared" si="111"/>
        <v>2.2574058750000003</v>
      </c>
      <c r="AJ140" s="56">
        <f t="shared" si="111"/>
        <v>2.2574058750000003</v>
      </c>
      <c r="AK140" s="56">
        <f t="shared" si="111"/>
        <v>0</v>
      </c>
      <c r="AL140" s="56">
        <f t="shared" si="111"/>
        <v>0</v>
      </c>
      <c r="AM140" s="56">
        <f t="shared" si="111"/>
        <v>2.2574058750000003</v>
      </c>
      <c r="AN140" s="56">
        <f t="shared" si="111"/>
        <v>2.2574058750000003</v>
      </c>
      <c r="AO140" s="4"/>
    </row>
    <row r="141" spans="1:41" ht="15" x14ac:dyDescent="0.2">
      <c r="A141" s="4"/>
      <c r="B141" s="4">
        <v>2038</v>
      </c>
      <c r="C141" s="4" t="s">
        <v>54</v>
      </c>
      <c r="D141" s="54" t="s">
        <v>323</v>
      </c>
      <c r="E141" s="4" t="s">
        <v>16</v>
      </c>
      <c r="F141" s="4">
        <v>2</v>
      </c>
      <c r="G141" s="4">
        <v>6.6300000000000012E-2</v>
      </c>
      <c r="H141" s="4" t="s">
        <v>230</v>
      </c>
      <c r="I141" s="4" t="s">
        <v>3</v>
      </c>
      <c r="J141" s="56">
        <f t="shared" si="107"/>
        <v>0</v>
      </c>
      <c r="K141" s="56">
        <f t="shared" si="107"/>
        <v>22.144200000000005</v>
      </c>
      <c r="L141" s="56">
        <f t="shared" si="107"/>
        <v>22.011600000000005</v>
      </c>
      <c r="M141" s="56">
        <f t="shared" si="107"/>
        <v>20.420400000000004</v>
      </c>
      <c r="N141" s="56">
        <f t="shared" si="107"/>
        <v>22.011600000000005</v>
      </c>
      <c r="O141" s="56">
        <f t="shared" si="107"/>
        <v>20.354100000000003</v>
      </c>
      <c r="P141" s="56">
        <f t="shared" si="107"/>
        <v>0</v>
      </c>
      <c r="Q141" s="56">
        <f t="shared" si="107"/>
        <v>0</v>
      </c>
      <c r="R141" s="56">
        <f t="shared" ref="R141:AN141" si="112">R102*$G141</f>
        <v>22.011600000000005</v>
      </c>
      <c r="S141" s="56">
        <f t="shared" si="112"/>
        <v>20.553000000000004</v>
      </c>
      <c r="T141" s="56">
        <f t="shared" si="112"/>
        <v>20.553000000000004</v>
      </c>
      <c r="U141" s="56">
        <f t="shared" si="112"/>
        <v>22.144200000000005</v>
      </c>
      <c r="V141" s="56">
        <f t="shared" si="112"/>
        <v>20.619300000000003</v>
      </c>
      <c r="W141" s="56">
        <f t="shared" si="112"/>
        <v>0</v>
      </c>
      <c r="X141" s="56">
        <f t="shared" si="112"/>
        <v>0</v>
      </c>
      <c r="Y141" s="56">
        <f t="shared" si="112"/>
        <v>22.011600000000005</v>
      </c>
      <c r="Z141" s="56">
        <f t="shared" si="112"/>
        <v>22.144200000000005</v>
      </c>
      <c r="AA141" s="56">
        <f t="shared" si="112"/>
        <v>20.553000000000004</v>
      </c>
      <c r="AB141" s="56">
        <f t="shared" si="112"/>
        <v>22.011600000000005</v>
      </c>
      <c r="AC141" s="56">
        <f t="shared" si="112"/>
        <v>20.619300000000003</v>
      </c>
      <c r="AD141" s="56">
        <f t="shared" si="112"/>
        <v>0</v>
      </c>
      <c r="AE141" s="56">
        <f t="shared" si="112"/>
        <v>0</v>
      </c>
      <c r="AF141" s="56">
        <f t="shared" si="112"/>
        <v>24.928800000000006</v>
      </c>
      <c r="AG141" s="56">
        <f t="shared" si="112"/>
        <v>24.928800000000006</v>
      </c>
      <c r="AH141" s="56">
        <f t="shared" si="112"/>
        <v>23.337600000000005</v>
      </c>
      <c r="AI141" s="56">
        <f t="shared" si="112"/>
        <v>24.928800000000006</v>
      </c>
      <c r="AJ141" s="56">
        <f t="shared" si="112"/>
        <v>23.271300000000004</v>
      </c>
      <c r="AK141" s="56">
        <f t="shared" si="112"/>
        <v>0</v>
      </c>
      <c r="AL141" s="56">
        <f t="shared" si="112"/>
        <v>0</v>
      </c>
      <c r="AM141" s="56">
        <f t="shared" si="112"/>
        <v>30.498000000000005</v>
      </c>
      <c r="AN141" s="56">
        <f t="shared" si="112"/>
        <v>30.498000000000005</v>
      </c>
      <c r="AO141" s="4"/>
    </row>
    <row r="142" spans="1:41" ht="15" x14ac:dyDescent="0.2">
      <c r="A142" s="4"/>
      <c r="B142" s="4">
        <v>2038</v>
      </c>
      <c r="C142" s="4" t="s">
        <v>54</v>
      </c>
      <c r="D142" s="54" t="s">
        <v>324</v>
      </c>
      <c r="E142" s="4" t="s">
        <v>16</v>
      </c>
      <c r="F142" s="4">
        <v>2</v>
      </c>
      <c r="G142" s="4">
        <v>5.6100000000000004E-2</v>
      </c>
      <c r="H142" s="4" t="s">
        <v>230</v>
      </c>
      <c r="I142" s="4" t="s">
        <v>3</v>
      </c>
      <c r="J142" s="56">
        <f t="shared" si="107"/>
        <v>0</v>
      </c>
      <c r="K142" s="56">
        <f t="shared" si="107"/>
        <v>1.2342000000000002</v>
      </c>
      <c r="L142" s="56">
        <f t="shared" si="107"/>
        <v>1.2342000000000002</v>
      </c>
      <c r="M142" s="56">
        <f t="shared" si="107"/>
        <v>1.1220000000000001</v>
      </c>
      <c r="N142" s="56">
        <f t="shared" si="107"/>
        <v>1.2342000000000002</v>
      </c>
      <c r="O142" s="56">
        <f t="shared" si="107"/>
        <v>1.1220000000000001</v>
      </c>
      <c r="P142" s="56">
        <f t="shared" si="107"/>
        <v>0</v>
      </c>
      <c r="Q142" s="56">
        <f t="shared" si="107"/>
        <v>0</v>
      </c>
      <c r="R142" s="56">
        <f t="shared" ref="R142:AN142" si="113">R103*$G142</f>
        <v>1.2342000000000002</v>
      </c>
      <c r="S142" s="56">
        <f t="shared" si="113"/>
        <v>1.1220000000000001</v>
      </c>
      <c r="T142" s="56">
        <f t="shared" si="113"/>
        <v>1.1220000000000001</v>
      </c>
      <c r="U142" s="56">
        <f t="shared" si="113"/>
        <v>1.2342000000000002</v>
      </c>
      <c r="V142" s="56">
        <f t="shared" si="113"/>
        <v>1.1220000000000001</v>
      </c>
      <c r="W142" s="56">
        <f t="shared" si="113"/>
        <v>0</v>
      </c>
      <c r="X142" s="56">
        <f t="shared" si="113"/>
        <v>0</v>
      </c>
      <c r="Y142" s="56">
        <f t="shared" si="113"/>
        <v>1.1220000000000001</v>
      </c>
      <c r="Z142" s="56">
        <f t="shared" si="113"/>
        <v>1.1220000000000001</v>
      </c>
      <c r="AA142" s="56">
        <f t="shared" si="113"/>
        <v>1.0098</v>
      </c>
      <c r="AB142" s="56">
        <f t="shared" si="113"/>
        <v>1.1220000000000001</v>
      </c>
      <c r="AC142" s="56">
        <f t="shared" si="113"/>
        <v>1.0098</v>
      </c>
      <c r="AD142" s="56">
        <f t="shared" si="113"/>
        <v>0</v>
      </c>
      <c r="AE142" s="56">
        <f t="shared" si="113"/>
        <v>0</v>
      </c>
      <c r="AF142" s="56">
        <f t="shared" si="113"/>
        <v>1.1220000000000001</v>
      </c>
      <c r="AG142" s="56">
        <f t="shared" si="113"/>
        <v>1.1220000000000001</v>
      </c>
      <c r="AH142" s="56">
        <f t="shared" si="113"/>
        <v>1.0098</v>
      </c>
      <c r="AI142" s="56">
        <f t="shared" si="113"/>
        <v>1.1220000000000001</v>
      </c>
      <c r="AJ142" s="56">
        <f t="shared" si="113"/>
        <v>1.1220000000000001</v>
      </c>
      <c r="AK142" s="56">
        <f t="shared" si="113"/>
        <v>0</v>
      </c>
      <c r="AL142" s="56">
        <f t="shared" si="113"/>
        <v>0</v>
      </c>
      <c r="AM142" s="56">
        <f t="shared" si="113"/>
        <v>1.0098</v>
      </c>
      <c r="AN142" s="56">
        <f t="shared" si="113"/>
        <v>1.0098</v>
      </c>
      <c r="AO142" s="4"/>
    </row>
    <row r="143" spans="1:41" ht="15" x14ac:dyDescent="0.2">
      <c r="A143" s="4"/>
      <c r="B143" s="4">
        <v>2038</v>
      </c>
      <c r="C143" s="4" t="s">
        <v>54</v>
      </c>
      <c r="D143" s="54" t="s">
        <v>325</v>
      </c>
      <c r="E143" s="4" t="s">
        <v>12</v>
      </c>
      <c r="F143" s="4">
        <v>3</v>
      </c>
      <c r="G143" s="4">
        <v>5.2019999999999997E-2</v>
      </c>
      <c r="H143" s="4" t="s">
        <v>188</v>
      </c>
      <c r="I143" s="4" t="s">
        <v>3</v>
      </c>
      <c r="J143" s="56">
        <f t="shared" si="107"/>
        <v>0</v>
      </c>
      <c r="K143" s="56">
        <f t="shared" si="107"/>
        <v>0.10403999999999999</v>
      </c>
      <c r="L143" s="56">
        <f t="shared" si="107"/>
        <v>0.15605999999999998</v>
      </c>
      <c r="M143" s="56">
        <f t="shared" si="107"/>
        <v>0.15605999999999998</v>
      </c>
      <c r="N143" s="56">
        <f t="shared" si="107"/>
        <v>0.20807999999999999</v>
      </c>
      <c r="O143" s="56">
        <f t="shared" si="107"/>
        <v>0.15605999999999998</v>
      </c>
      <c r="P143" s="56">
        <f t="shared" si="107"/>
        <v>0</v>
      </c>
      <c r="Q143" s="56">
        <f t="shared" si="107"/>
        <v>0</v>
      </c>
      <c r="R143" s="56">
        <f t="shared" ref="R143:AN143" si="114">R104*$G143</f>
        <v>0.20807999999999999</v>
      </c>
      <c r="S143" s="56">
        <f t="shared" si="114"/>
        <v>0.15605999999999998</v>
      </c>
      <c r="T143" s="56">
        <f t="shared" si="114"/>
        <v>0.15605999999999998</v>
      </c>
      <c r="U143" s="56">
        <f t="shared" si="114"/>
        <v>0.15605999999999998</v>
      </c>
      <c r="V143" s="56">
        <f t="shared" si="114"/>
        <v>0.20807999999999999</v>
      </c>
      <c r="W143" s="56">
        <f t="shared" si="114"/>
        <v>0</v>
      </c>
      <c r="X143" s="56">
        <f t="shared" si="114"/>
        <v>0</v>
      </c>
      <c r="Y143" s="56">
        <f t="shared" si="114"/>
        <v>0.2601</v>
      </c>
      <c r="Z143" s="56">
        <f t="shared" si="114"/>
        <v>0.20807999999999999</v>
      </c>
      <c r="AA143" s="56">
        <f t="shared" si="114"/>
        <v>0.20807999999999999</v>
      </c>
      <c r="AB143" s="56">
        <f t="shared" si="114"/>
        <v>0.31211999999999995</v>
      </c>
      <c r="AC143" s="56">
        <f t="shared" si="114"/>
        <v>0.2601</v>
      </c>
      <c r="AD143" s="56">
        <f t="shared" si="114"/>
        <v>0</v>
      </c>
      <c r="AE143" s="56">
        <f t="shared" si="114"/>
        <v>0</v>
      </c>
      <c r="AF143" s="56">
        <f t="shared" si="114"/>
        <v>0.31211999999999995</v>
      </c>
      <c r="AG143" s="56">
        <f t="shared" si="114"/>
        <v>0.2601</v>
      </c>
      <c r="AH143" s="56">
        <f t="shared" si="114"/>
        <v>0.31211999999999995</v>
      </c>
      <c r="AI143" s="56">
        <f t="shared" si="114"/>
        <v>0.2601</v>
      </c>
      <c r="AJ143" s="56">
        <f t="shared" si="114"/>
        <v>0.36413999999999996</v>
      </c>
      <c r="AK143" s="56">
        <f t="shared" si="114"/>
        <v>0</v>
      </c>
      <c r="AL143" s="56">
        <f t="shared" si="114"/>
        <v>0</v>
      </c>
      <c r="AM143" s="56">
        <f t="shared" si="114"/>
        <v>0.41615999999999997</v>
      </c>
      <c r="AN143" s="56">
        <f t="shared" si="114"/>
        <v>0.41615999999999997</v>
      </c>
      <c r="AO143" s="4"/>
    </row>
    <row r="144" spans="1:41" ht="15" x14ac:dyDescent="0.2">
      <c r="A144" s="4"/>
      <c r="B144" s="4">
        <v>2038</v>
      </c>
      <c r="C144" s="4" t="s">
        <v>54</v>
      </c>
      <c r="D144" s="54" t="s">
        <v>326</v>
      </c>
      <c r="E144" s="4" t="s">
        <v>12</v>
      </c>
      <c r="F144" s="4">
        <v>3</v>
      </c>
      <c r="G144" s="4">
        <v>4.9950000000000001E-2</v>
      </c>
      <c r="H144" s="4" t="s">
        <v>188</v>
      </c>
      <c r="I144" s="4" t="s">
        <v>3</v>
      </c>
      <c r="J144" s="56">
        <f t="shared" si="107"/>
        <v>0</v>
      </c>
      <c r="K144" s="56">
        <f t="shared" si="107"/>
        <v>4.9950000000000001E-2</v>
      </c>
      <c r="L144" s="56">
        <f t="shared" si="107"/>
        <v>0</v>
      </c>
      <c r="M144" s="56">
        <f t="shared" si="107"/>
        <v>0</v>
      </c>
      <c r="N144" s="56">
        <f t="shared" si="107"/>
        <v>0</v>
      </c>
      <c r="O144" s="56">
        <f t="shared" si="107"/>
        <v>0</v>
      </c>
      <c r="P144" s="56">
        <f t="shared" si="107"/>
        <v>0</v>
      </c>
      <c r="Q144" s="56">
        <f t="shared" si="107"/>
        <v>0</v>
      </c>
      <c r="R144" s="56">
        <f t="shared" ref="R144:AN144" si="115">R105*$G144</f>
        <v>0</v>
      </c>
      <c r="S144" s="56">
        <f t="shared" si="115"/>
        <v>4.9950000000000001E-2</v>
      </c>
      <c r="T144" s="56">
        <f t="shared" si="115"/>
        <v>4.9950000000000001E-2</v>
      </c>
      <c r="U144" s="56">
        <f t="shared" si="115"/>
        <v>0</v>
      </c>
      <c r="V144" s="56">
        <f t="shared" si="115"/>
        <v>0</v>
      </c>
      <c r="W144" s="56">
        <f t="shared" si="115"/>
        <v>0</v>
      </c>
      <c r="X144" s="56">
        <f t="shared" si="115"/>
        <v>0</v>
      </c>
      <c r="Y144" s="56">
        <f t="shared" si="115"/>
        <v>0</v>
      </c>
      <c r="Z144" s="56">
        <f t="shared" si="115"/>
        <v>0</v>
      </c>
      <c r="AA144" s="56">
        <f t="shared" si="115"/>
        <v>0</v>
      </c>
      <c r="AB144" s="56">
        <f t="shared" si="115"/>
        <v>0</v>
      </c>
      <c r="AC144" s="56">
        <f t="shared" si="115"/>
        <v>0</v>
      </c>
      <c r="AD144" s="56">
        <f t="shared" si="115"/>
        <v>0</v>
      </c>
      <c r="AE144" s="56">
        <f t="shared" si="115"/>
        <v>0</v>
      </c>
      <c r="AF144" s="56">
        <f t="shared" si="115"/>
        <v>0</v>
      </c>
      <c r="AG144" s="56">
        <f t="shared" si="115"/>
        <v>4.9950000000000001E-2</v>
      </c>
      <c r="AH144" s="56">
        <f t="shared" si="115"/>
        <v>0</v>
      </c>
      <c r="AI144" s="56">
        <f t="shared" si="115"/>
        <v>4.9950000000000001E-2</v>
      </c>
      <c r="AJ144" s="56">
        <f t="shared" si="115"/>
        <v>0</v>
      </c>
      <c r="AK144" s="56">
        <f t="shared" si="115"/>
        <v>0</v>
      </c>
      <c r="AL144" s="56">
        <f t="shared" si="115"/>
        <v>0</v>
      </c>
      <c r="AM144" s="56">
        <f t="shared" si="115"/>
        <v>0</v>
      </c>
      <c r="AN144" s="56">
        <f t="shared" si="115"/>
        <v>0</v>
      </c>
      <c r="AO144" s="4"/>
    </row>
    <row r="145" spans="1:41" ht="15" x14ac:dyDescent="0.2">
      <c r="A145" s="4"/>
      <c r="B145" s="4">
        <v>2038</v>
      </c>
      <c r="C145" s="4" t="s">
        <v>54</v>
      </c>
      <c r="D145" s="54" t="s">
        <v>327</v>
      </c>
      <c r="E145" s="4" t="s">
        <v>12</v>
      </c>
      <c r="F145" s="4">
        <v>3</v>
      </c>
      <c r="G145" s="4">
        <v>5.2019999999999997E-2</v>
      </c>
      <c r="H145" s="4" t="s">
        <v>188</v>
      </c>
      <c r="I145" s="4" t="s">
        <v>3</v>
      </c>
      <c r="J145" s="56">
        <f t="shared" si="107"/>
        <v>0</v>
      </c>
      <c r="K145" s="56">
        <f t="shared" si="107"/>
        <v>0.46817999999999999</v>
      </c>
      <c r="L145" s="56">
        <f t="shared" si="107"/>
        <v>0.46817999999999999</v>
      </c>
      <c r="M145" s="56">
        <f t="shared" si="107"/>
        <v>0.46817999999999999</v>
      </c>
      <c r="N145" s="56">
        <f t="shared" si="107"/>
        <v>0.41615999999999997</v>
      </c>
      <c r="O145" s="56">
        <f t="shared" si="107"/>
        <v>0.46817999999999999</v>
      </c>
      <c r="P145" s="56">
        <f t="shared" si="107"/>
        <v>0</v>
      </c>
      <c r="Q145" s="56">
        <f t="shared" si="107"/>
        <v>0</v>
      </c>
      <c r="R145" s="56">
        <f t="shared" ref="R145:AN145" si="116">R106*$G145</f>
        <v>0.41615999999999997</v>
      </c>
      <c r="S145" s="56">
        <f t="shared" si="116"/>
        <v>0.46817999999999999</v>
      </c>
      <c r="T145" s="56">
        <f t="shared" si="116"/>
        <v>0.41615999999999997</v>
      </c>
      <c r="U145" s="56">
        <f t="shared" si="116"/>
        <v>0.46817999999999999</v>
      </c>
      <c r="V145" s="56">
        <f t="shared" si="116"/>
        <v>0.41615999999999997</v>
      </c>
      <c r="W145" s="56">
        <f t="shared" si="116"/>
        <v>0</v>
      </c>
      <c r="X145" s="56">
        <f t="shared" si="116"/>
        <v>0</v>
      </c>
      <c r="Y145" s="56">
        <f t="shared" si="116"/>
        <v>0.36413999999999996</v>
      </c>
      <c r="Z145" s="56">
        <f t="shared" si="116"/>
        <v>0.41615999999999997</v>
      </c>
      <c r="AA145" s="56">
        <f t="shared" si="116"/>
        <v>0.41615999999999997</v>
      </c>
      <c r="AB145" s="56">
        <f t="shared" si="116"/>
        <v>0.31211999999999995</v>
      </c>
      <c r="AC145" s="56">
        <f t="shared" si="116"/>
        <v>0.36413999999999996</v>
      </c>
      <c r="AD145" s="56">
        <f t="shared" si="116"/>
        <v>0</v>
      </c>
      <c r="AE145" s="56">
        <f t="shared" si="116"/>
        <v>0</v>
      </c>
      <c r="AF145" s="56">
        <f t="shared" si="116"/>
        <v>0.36413999999999996</v>
      </c>
      <c r="AG145" s="56">
        <f t="shared" si="116"/>
        <v>0.36413999999999996</v>
      </c>
      <c r="AH145" s="56">
        <f t="shared" si="116"/>
        <v>0.36413999999999996</v>
      </c>
      <c r="AI145" s="56">
        <f t="shared" si="116"/>
        <v>0.36413999999999996</v>
      </c>
      <c r="AJ145" s="56">
        <f t="shared" si="116"/>
        <v>0.2601</v>
      </c>
      <c r="AK145" s="56">
        <f t="shared" si="116"/>
        <v>0</v>
      </c>
      <c r="AL145" s="56">
        <f t="shared" si="116"/>
        <v>0</v>
      </c>
      <c r="AM145" s="56">
        <f t="shared" si="116"/>
        <v>0.2601</v>
      </c>
      <c r="AN145" s="56">
        <f t="shared" si="116"/>
        <v>0.2601</v>
      </c>
      <c r="AO145" s="4"/>
    </row>
    <row r="146" spans="1:41" ht="15" x14ac:dyDescent="0.2">
      <c r="A146" s="4"/>
      <c r="B146">
        <v>2038</v>
      </c>
      <c r="C146" t="s">
        <v>54</v>
      </c>
      <c r="D146" s="1" t="s">
        <v>328</v>
      </c>
      <c r="E146" t="s">
        <v>16</v>
      </c>
      <c r="F146">
        <v>2</v>
      </c>
      <c r="G146">
        <v>6.9360000000000005E-2</v>
      </c>
      <c r="H146" s="4" t="s">
        <v>190</v>
      </c>
      <c r="I146" t="s">
        <v>3</v>
      </c>
      <c r="J146" s="56">
        <f t="shared" si="107"/>
        <v>0</v>
      </c>
      <c r="K146" s="56">
        <f t="shared" si="107"/>
        <v>25.524480000000001</v>
      </c>
      <c r="L146" s="56">
        <f t="shared" si="107"/>
        <v>25.663200000000003</v>
      </c>
      <c r="M146" s="56">
        <f t="shared" si="107"/>
        <v>24.414720000000003</v>
      </c>
      <c r="N146" s="56">
        <f t="shared" si="107"/>
        <v>25.663200000000003</v>
      </c>
      <c r="O146" s="56">
        <f t="shared" si="107"/>
        <v>24.553440000000002</v>
      </c>
      <c r="P146" s="56">
        <f t="shared" si="107"/>
        <v>0</v>
      </c>
      <c r="Q146" s="56">
        <f t="shared" si="107"/>
        <v>0</v>
      </c>
      <c r="R146" s="56">
        <f t="shared" ref="R146:AN146" si="117">R107*$G146</f>
        <v>25.663200000000003</v>
      </c>
      <c r="S146" s="56">
        <f t="shared" si="117"/>
        <v>24.276000000000003</v>
      </c>
      <c r="T146" s="56">
        <f t="shared" si="117"/>
        <v>24.276000000000003</v>
      </c>
      <c r="U146" s="56">
        <f t="shared" si="117"/>
        <v>25.524480000000001</v>
      </c>
      <c r="V146" s="56">
        <f t="shared" si="117"/>
        <v>24.276000000000003</v>
      </c>
      <c r="W146" s="56">
        <f t="shared" si="117"/>
        <v>0</v>
      </c>
      <c r="X146" s="56">
        <f t="shared" si="117"/>
        <v>0</v>
      </c>
      <c r="Y146" s="56">
        <f t="shared" si="117"/>
        <v>25.801920000000003</v>
      </c>
      <c r="Z146" s="56">
        <f t="shared" si="117"/>
        <v>25.663200000000003</v>
      </c>
      <c r="AA146" s="56">
        <f t="shared" si="117"/>
        <v>24.414720000000003</v>
      </c>
      <c r="AB146" s="56">
        <f t="shared" si="117"/>
        <v>25.801920000000003</v>
      </c>
      <c r="AC146" s="56">
        <f t="shared" si="117"/>
        <v>24.414720000000003</v>
      </c>
      <c r="AD146" s="56">
        <f t="shared" si="117"/>
        <v>0</v>
      </c>
      <c r="AE146" s="56">
        <f t="shared" si="117"/>
        <v>0</v>
      </c>
      <c r="AF146" s="56">
        <f t="shared" si="117"/>
        <v>23.166240000000002</v>
      </c>
      <c r="AG146" s="56">
        <f t="shared" si="117"/>
        <v>23.166240000000002</v>
      </c>
      <c r="AH146" s="56">
        <f t="shared" si="117"/>
        <v>21.917760000000001</v>
      </c>
      <c r="AI146" s="56">
        <f t="shared" si="117"/>
        <v>23.166240000000002</v>
      </c>
      <c r="AJ146" s="56">
        <f t="shared" si="117"/>
        <v>21.917760000000001</v>
      </c>
      <c r="AK146" s="56">
        <f t="shared" si="117"/>
        <v>0</v>
      </c>
      <c r="AL146" s="56">
        <f t="shared" si="117"/>
        <v>0</v>
      </c>
      <c r="AM146" s="56">
        <f t="shared" si="117"/>
        <v>17.894880000000001</v>
      </c>
      <c r="AN146" s="56">
        <f t="shared" si="117"/>
        <v>17.894880000000001</v>
      </c>
      <c r="AO146" s="4"/>
    </row>
    <row r="147" spans="1:41" ht="15" x14ac:dyDescent="0.2">
      <c r="B147">
        <v>2038</v>
      </c>
      <c r="C147" t="s">
        <v>54</v>
      </c>
      <c r="D147" s="1" t="s">
        <v>329</v>
      </c>
      <c r="E147" t="s">
        <v>16</v>
      </c>
      <c r="F147">
        <v>2</v>
      </c>
      <c r="G147">
        <v>6.9360000000000005E-2</v>
      </c>
      <c r="H147" s="4" t="s">
        <v>190</v>
      </c>
      <c r="I147" t="s">
        <v>3</v>
      </c>
      <c r="J147" s="56">
        <f t="shared" si="107"/>
        <v>0</v>
      </c>
      <c r="K147" s="56">
        <f t="shared" si="107"/>
        <v>2.6356800000000002</v>
      </c>
      <c r="L147" s="56">
        <f t="shared" si="107"/>
        <v>2.6356800000000002</v>
      </c>
      <c r="M147" s="56">
        <f t="shared" si="107"/>
        <v>2.4969600000000001</v>
      </c>
      <c r="N147" s="56">
        <f t="shared" si="107"/>
        <v>2.6356800000000002</v>
      </c>
      <c r="O147" s="56">
        <f t="shared" si="107"/>
        <v>2.4969600000000001</v>
      </c>
      <c r="P147" s="56">
        <f t="shared" si="107"/>
        <v>0</v>
      </c>
      <c r="Q147" s="56">
        <f t="shared" si="107"/>
        <v>0</v>
      </c>
      <c r="R147" s="56">
        <f t="shared" ref="R147:AN147" si="118">R108*$G147</f>
        <v>2.6356800000000002</v>
      </c>
      <c r="S147" s="56">
        <f t="shared" si="118"/>
        <v>2.4969600000000001</v>
      </c>
      <c r="T147" s="56">
        <f t="shared" si="118"/>
        <v>2.4969600000000001</v>
      </c>
      <c r="U147" s="56">
        <f t="shared" si="118"/>
        <v>2.6356800000000002</v>
      </c>
      <c r="V147" s="56">
        <f t="shared" si="118"/>
        <v>2.4969600000000001</v>
      </c>
      <c r="W147" s="56">
        <f t="shared" si="118"/>
        <v>0</v>
      </c>
      <c r="X147" s="56">
        <f t="shared" si="118"/>
        <v>0</v>
      </c>
      <c r="Y147" s="56">
        <f t="shared" si="118"/>
        <v>2.6356800000000002</v>
      </c>
      <c r="Z147" s="56">
        <f t="shared" si="118"/>
        <v>2.6356800000000002</v>
      </c>
      <c r="AA147" s="56">
        <f t="shared" si="118"/>
        <v>2.4969600000000001</v>
      </c>
      <c r="AB147" s="56">
        <f t="shared" si="118"/>
        <v>2.6356800000000002</v>
      </c>
      <c r="AC147" s="56">
        <f t="shared" si="118"/>
        <v>2.4969600000000001</v>
      </c>
      <c r="AD147" s="56">
        <f t="shared" si="118"/>
        <v>0</v>
      </c>
      <c r="AE147" s="56">
        <f t="shared" si="118"/>
        <v>0</v>
      </c>
      <c r="AF147" s="56">
        <f t="shared" si="118"/>
        <v>2.2195200000000002</v>
      </c>
      <c r="AG147" s="56">
        <f t="shared" si="118"/>
        <v>2.2195200000000002</v>
      </c>
      <c r="AH147" s="56">
        <f t="shared" si="118"/>
        <v>2.0808</v>
      </c>
      <c r="AI147" s="56">
        <f t="shared" si="118"/>
        <v>2.2195200000000002</v>
      </c>
      <c r="AJ147" s="56">
        <f t="shared" si="118"/>
        <v>2.0808</v>
      </c>
      <c r="AK147" s="56">
        <f t="shared" si="118"/>
        <v>0</v>
      </c>
      <c r="AL147" s="56">
        <f t="shared" si="118"/>
        <v>0</v>
      </c>
      <c r="AM147" s="56">
        <f t="shared" si="118"/>
        <v>1.8033600000000001</v>
      </c>
      <c r="AN147" s="56">
        <f t="shared" si="118"/>
        <v>1.8033600000000001</v>
      </c>
    </row>
    <row r="148" spans="1:41" ht="15" x14ac:dyDescent="0.2">
      <c r="B148">
        <v>2038</v>
      </c>
      <c r="C148" t="s">
        <v>54</v>
      </c>
      <c r="D148" s="1" t="s">
        <v>330</v>
      </c>
      <c r="E148" t="s">
        <v>63</v>
      </c>
      <c r="F148">
        <v>1</v>
      </c>
      <c r="G148">
        <v>2.8900000000000002E-2</v>
      </c>
      <c r="H148" s="4" t="s">
        <v>235</v>
      </c>
      <c r="I148" t="s">
        <v>3</v>
      </c>
      <c r="J148" s="56">
        <f t="shared" si="107"/>
        <v>0</v>
      </c>
      <c r="K148" s="56">
        <f t="shared" si="107"/>
        <v>3.2946000000000004</v>
      </c>
      <c r="L148" s="56">
        <f t="shared" si="107"/>
        <v>3.2946000000000004</v>
      </c>
      <c r="M148" s="56">
        <f t="shared" si="107"/>
        <v>3.1212000000000004</v>
      </c>
      <c r="N148" s="56">
        <f t="shared" si="107"/>
        <v>3.4680000000000004</v>
      </c>
      <c r="O148" s="56">
        <f t="shared" si="107"/>
        <v>3.1212000000000004</v>
      </c>
      <c r="P148" s="56">
        <f t="shared" si="107"/>
        <v>0</v>
      </c>
      <c r="Q148" s="56">
        <f t="shared" si="107"/>
        <v>0</v>
      </c>
      <c r="R148" s="56">
        <f t="shared" ref="R148:AN148" si="119">R109*$G148</f>
        <v>3.1212000000000004</v>
      </c>
      <c r="S148" s="56">
        <f t="shared" si="119"/>
        <v>3.2946000000000004</v>
      </c>
      <c r="T148" s="56">
        <f t="shared" si="119"/>
        <v>3.6414000000000004</v>
      </c>
      <c r="U148" s="56">
        <f t="shared" si="119"/>
        <v>3.8148000000000004</v>
      </c>
      <c r="V148" s="56">
        <f t="shared" si="119"/>
        <v>3.6414000000000004</v>
      </c>
      <c r="W148" s="56">
        <f t="shared" si="119"/>
        <v>0</v>
      </c>
      <c r="X148" s="56">
        <f t="shared" si="119"/>
        <v>0</v>
      </c>
      <c r="Y148" s="56">
        <f t="shared" si="119"/>
        <v>3.8148000000000004</v>
      </c>
      <c r="Z148" s="56">
        <f t="shared" si="119"/>
        <v>3.8148000000000004</v>
      </c>
      <c r="AA148" s="56">
        <f t="shared" si="119"/>
        <v>3.4680000000000004</v>
      </c>
      <c r="AB148" s="56">
        <f t="shared" si="119"/>
        <v>3.6414000000000004</v>
      </c>
      <c r="AC148" s="56">
        <f t="shared" si="119"/>
        <v>3.1212000000000004</v>
      </c>
      <c r="AD148" s="56">
        <f t="shared" si="119"/>
        <v>0</v>
      </c>
      <c r="AE148" s="56">
        <f t="shared" si="119"/>
        <v>0</v>
      </c>
      <c r="AF148" s="56">
        <f t="shared" si="119"/>
        <v>3.4680000000000004</v>
      </c>
      <c r="AG148" s="56">
        <f t="shared" si="119"/>
        <v>3.4680000000000004</v>
      </c>
      <c r="AH148" s="56">
        <f t="shared" si="119"/>
        <v>3.2946000000000004</v>
      </c>
      <c r="AI148" s="56">
        <f t="shared" si="119"/>
        <v>3.4680000000000004</v>
      </c>
      <c r="AJ148" s="56">
        <f t="shared" si="119"/>
        <v>3.4680000000000004</v>
      </c>
      <c r="AK148" s="56">
        <f t="shared" si="119"/>
        <v>0</v>
      </c>
      <c r="AL148" s="56">
        <f t="shared" si="119"/>
        <v>0</v>
      </c>
      <c r="AM148" s="56">
        <f t="shared" si="119"/>
        <v>3.6414000000000004</v>
      </c>
      <c r="AN148" s="56">
        <f t="shared" si="119"/>
        <v>3.6414000000000004</v>
      </c>
    </row>
    <row r="149" spans="1:41" ht="15" x14ac:dyDescent="0.2">
      <c r="B149">
        <v>2038</v>
      </c>
      <c r="C149" t="s">
        <v>54</v>
      </c>
      <c r="D149" s="1" t="s">
        <v>331</v>
      </c>
      <c r="E149" t="s">
        <v>16</v>
      </c>
      <c r="F149">
        <v>30</v>
      </c>
      <c r="G149">
        <v>0.38556000000000001</v>
      </c>
      <c r="H149" s="4" t="s">
        <v>239</v>
      </c>
      <c r="I149" t="s">
        <v>3</v>
      </c>
      <c r="J149" s="56">
        <f t="shared" si="107"/>
        <v>0</v>
      </c>
      <c r="K149" s="56">
        <f t="shared" si="107"/>
        <v>0.77112000000000003</v>
      </c>
      <c r="L149" s="56">
        <f t="shared" si="107"/>
        <v>0.77112000000000003</v>
      </c>
      <c r="M149" s="56">
        <f t="shared" si="107"/>
        <v>0.77112000000000003</v>
      </c>
      <c r="N149" s="56">
        <f t="shared" si="107"/>
        <v>0.77112000000000003</v>
      </c>
      <c r="O149" s="56">
        <f t="shared" si="107"/>
        <v>0.77112000000000003</v>
      </c>
      <c r="P149" s="56">
        <f t="shared" si="107"/>
        <v>0</v>
      </c>
      <c r="Q149" s="56">
        <f t="shared" si="107"/>
        <v>0</v>
      </c>
      <c r="R149" s="56">
        <f t="shared" ref="R149:AN149" si="120">R110*$G149</f>
        <v>0.77112000000000003</v>
      </c>
      <c r="S149" s="56">
        <f t="shared" si="120"/>
        <v>0.77112000000000003</v>
      </c>
      <c r="T149" s="56">
        <f t="shared" si="120"/>
        <v>0.77112000000000003</v>
      </c>
      <c r="U149" s="56">
        <f t="shared" si="120"/>
        <v>0.77112000000000003</v>
      </c>
      <c r="V149" s="56">
        <f t="shared" si="120"/>
        <v>0.77112000000000003</v>
      </c>
      <c r="W149" s="56">
        <f t="shared" si="120"/>
        <v>0</v>
      </c>
      <c r="X149" s="56">
        <f t="shared" si="120"/>
        <v>0</v>
      </c>
      <c r="Y149" s="56">
        <f t="shared" si="120"/>
        <v>0.77112000000000003</v>
      </c>
      <c r="Z149" s="56">
        <f t="shared" si="120"/>
        <v>0.77112000000000003</v>
      </c>
      <c r="AA149" s="56">
        <f t="shared" si="120"/>
        <v>0.77112000000000003</v>
      </c>
      <c r="AB149" s="56">
        <f t="shared" si="120"/>
        <v>0.77112000000000003</v>
      </c>
      <c r="AC149" s="56">
        <f t="shared" si="120"/>
        <v>0.77112000000000003</v>
      </c>
      <c r="AD149" s="56">
        <f t="shared" si="120"/>
        <v>0</v>
      </c>
      <c r="AE149" s="56">
        <f t="shared" si="120"/>
        <v>0</v>
      </c>
      <c r="AF149" s="56">
        <f t="shared" si="120"/>
        <v>0.77112000000000003</v>
      </c>
      <c r="AG149" s="56">
        <f t="shared" si="120"/>
        <v>0.77112000000000003</v>
      </c>
      <c r="AH149" s="56">
        <f t="shared" si="120"/>
        <v>0.77112000000000003</v>
      </c>
      <c r="AI149" s="56">
        <f t="shared" si="120"/>
        <v>0.77112000000000003</v>
      </c>
      <c r="AJ149" s="56">
        <f t="shared" si="120"/>
        <v>0.77112000000000003</v>
      </c>
      <c r="AK149" s="56">
        <f t="shared" si="120"/>
        <v>0</v>
      </c>
      <c r="AL149" s="56">
        <f t="shared" si="120"/>
        <v>0</v>
      </c>
      <c r="AM149" s="56">
        <f t="shared" si="120"/>
        <v>0.77112000000000003</v>
      </c>
      <c r="AN149" s="56">
        <f t="shared" si="120"/>
        <v>0.77112000000000003</v>
      </c>
    </row>
    <row r="150" spans="1:41" ht="15" x14ac:dyDescent="0.2">
      <c r="B150">
        <v>2038</v>
      </c>
      <c r="C150" t="s">
        <v>54</v>
      </c>
      <c r="D150" s="1" t="s">
        <v>332</v>
      </c>
      <c r="E150" t="s">
        <v>16</v>
      </c>
      <c r="F150">
        <v>30</v>
      </c>
      <c r="G150">
        <v>0.38556000000000001</v>
      </c>
      <c r="H150" s="4" t="s">
        <v>239</v>
      </c>
      <c r="I150" t="s">
        <v>3</v>
      </c>
      <c r="J150" s="56">
        <f t="shared" si="107"/>
        <v>0</v>
      </c>
      <c r="K150" s="56">
        <f t="shared" si="107"/>
        <v>19.278000000000002</v>
      </c>
      <c r="L150" s="56">
        <f t="shared" si="107"/>
        <v>19.278000000000002</v>
      </c>
      <c r="M150" s="56">
        <f t="shared" si="107"/>
        <v>18.121320000000001</v>
      </c>
      <c r="N150" s="56">
        <f t="shared" si="107"/>
        <v>19.278000000000002</v>
      </c>
      <c r="O150" s="56">
        <f t="shared" si="107"/>
        <v>18.121320000000001</v>
      </c>
      <c r="P150" s="56">
        <f t="shared" si="107"/>
        <v>0</v>
      </c>
      <c r="Q150" s="56">
        <f t="shared" si="107"/>
        <v>0</v>
      </c>
      <c r="R150" s="56">
        <f t="shared" ref="R150:AN150" si="121">R111*$G150</f>
        <v>19.278000000000002</v>
      </c>
      <c r="S150" s="56">
        <f t="shared" si="121"/>
        <v>18.121320000000001</v>
      </c>
      <c r="T150" s="56">
        <f t="shared" si="121"/>
        <v>18.121320000000001</v>
      </c>
      <c r="U150" s="56">
        <f t="shared" si="121"/>
        <v>19.278000000000002</v>
      </c>
      <c r="V150" s="56">
        <f t="shared" si="121"/>
        <v>18.121320000000001</v>
      </c>
      <c r="W150" s="56">
        <f t="shared" si="121"/>
        <v>0</v>
      </c>
      <c r="X150" s="56">
        <f t="shared" si="121"/>
        <v>0</v>
      </c>
      <c r="Y150" s="56">
        <f t="shared" si="121"/>
        <v>19.278000000000002</v>
      </c>
      <c r="Z150" s="56">
        <f t="shared" si="121"/>
        <v>19.278000000000002</v>
      </c>
      <c r="AA150" s="56">
        <f t="shared" si="121"/>
        <v>18.121320000000001</v>
      </c>
      <c r="AB150" s="56">
        <f t="shared" si="121"/>
        <v>19.278000000000002</v>
      </c>
      <c r="AC150" s="56">
        <f t="shared" si="121"/>
        <v>18.121320000000001</v>
      </c>
      <c r="AD150" s="56">
        <f t="shared" si="121"/>
        <v>0</v>
      </c>
      <c r="AE150" s="56">
        <f t="shared" si="121"/>
        <v>0</v>
      </c>
      <c r="AF150" s="56">
        <f t="shared" si="121"/>
        <v>19.278000000000002</v>
      </c>
      <c r="AG150" s="56">
        <f t="shared" si="121"/>
        <v>19.278000000000002</v>
      </c>
      <c r="AH150" s="56">
        <f t="shared" si="121"/>
        <v>18.121320000000001</v>
      </c>
      <c r="AI150" s="56">
        <f t="shared" si="121"/>
        <v>19.278000000000002</v>
      </c>
      <c r="AJ150" s="56">
        <f t="shared" si="121"/>
        <v>18.121320000000001</v>
      </c>
      <c r="AK150" s="56">
        <f t="shared" si="121"/>
        <v>0</v>
      </c>
      <c r="AL150" s="56">
        <f t="shared" si="121"/>
        <v>0</v>
      </c>
      <c r="AM150" s="56">
        <f t="shared" si="121"/>
        <v>19.278000000000002</v>
      </c>
      <c r="AN150" s="56">
        <f t="shared" si="121"/>
        <v>19.278000000000002</v>
      </c>
    </row>
    <row r="151" spans="1:41" ht="15" x14ac:dyDescent="0.2">
      <c r="B151">
        <v>2038</v>
      </c>
      <c r="C151" t="s">
        <v>54</v>
      </c>
      <c r="D151" s="1" t="s">
        <v>333</v>
      </c>
      <c r="E151" t="s">
        <v>14</v>
      </c>
      <c r="F151">
        <v>7</v>
      </c>
      <c r="G151">
        <v>2.8900000000000002E-2</v>
      </c>
      <c r="H151" s="4" t="s">
        <v>235</v>
      </c>
      <c r="I151" t="s">
        <v>3</v>
      </c>
      <c r="J151" s="56">
        <f t="shared" si="107"/>
        <v>0</v>
      </c>
      <c r="K151" s="56">
        <f t="shared" si="107"/>
        <v>0.66470000000000007</v>
      </c>
      <c r="L151" s="56">
        <f t="shared" si="107"/>
        <v>0</v>
      </c>
      <c r="M151" s="56">
        <f t="shared" si="107"/>
        <v>0</v>
      </c>
      <c r="N151" s="56">
        <f t="shared" si="107"/>
        <v>0</v>
      </c>
      <c r="O151" s="56">
        <f t="shared" si="107"/>
        <v>0</v>
      </c>
      <c r="P151" s="56">
        <f t="shared" si="107"/>
        <v>0</v>
      </c>
      <c r="Q151" s="56">
        <f t="shared" si="107"/>
        <v>0</v>
      </c>
      <c r="R151" s="56">
        <f t="shared" ref="R151:AN151" si="122">R112*$G151</f>
        <v>0.6069</v>
      </c>
      <c r="S151" s="56">
        <f t="shared" si="122"/>
        <v>0</v>
      </c>
      <c r="T151" s="56">
        <f t="shared" si="122"/>
        <v>0</v>
      </c>
      <c r="U151" s="56">
        <f t="shared" si="122"/>
        <v>0</v>
      </c>
      <c r="V151" s="56">
        <f t="shared" si="122"/>
        <v>0</v>
      </c>
      <c r="W151" s="56">
        <f t="shared" si="122"/>
        <v>0</v>
      </c>
      <c r="X151" s="56">
        <f t="shared" si="122"/>
        <v>0</v>
      </c>
      <c r="Y151" s="56">
        <f t="shared" si="122"/>
        <v>0.5202</v>
      </c>
      <c r="Z151" s="56">
        <f t="shared" si="122"/>
        <v>0</v>
      </c>
      <c r="AA151" s="56">
        <f t="shared" si="122"/>
        <v>0</v>
      </c>
      <c r="AB151" s="56">
        <f t="shared" si="122"/>
        <v>0</v>
      </c>
      <c r="AC151" s="56">
        <f t="shared" si="122"/>
        <v>0</v>
      </c>
      <c r="AD151" s="56">
        <f t="shared" si="122"/>
        <v>0</v>
      </c>
      <c r="AE151" s="56">
        <f t="shared" si="122"/>
        <v>0</v>
      </c>
      <c r="AF151" s="56">
        <f t="shared" si="122"/>
        <v>0.57800000000000007</v>
      </c>
      <c r="AG151" s="56">
        <f t="shared" si="122"/>
        <v>0</v>
      </c>
      <c r="AH151" s="56">
        <f t="shared" si="122"/>
        <v>0</v>
      </c>
      <c r="AI151" s="56">
        <f t="shared" si="122"/>
        <v>0</v>
      </c>
      <c r="AJ151" s="56">
        <f t="shared" si="122"/>
        <v>0</v>
      </c>
      <c r="AK151" s="56">
        <f t="shared" si="122"/>
        <v>0</v>
      </c>
      <c r="AL151" s="56">
        <f t="shared" si="122"/>
        <v>0</v>
      </c>
      <c r="AM151" s="56">
        <f t="shared" si="122"/>
        <v>0.57800000000000007</v>
      </c>
      <c r="AN151" s="56">
        <f t="shared" si="122"/>
        <v>0</v>
      </c>
    </row>
    <row r="152" spans="1:41" ht="15" x14ac:dyDescent="0.2">
      <c r="B152">
        <v>2038</v>
      </c>
      <c r="C152" t="s">
        <v>54</v>
      </c>
      <c r="D152" s="1" t="s">
        <v>334</v>
      </c>
      <c r="E152" t="s">
        <v>13</v>
      </c>
      <c r="F152">
        <v>2</v>
      </c>
      <c r="G152">
        <v>2.8900000000000002E-2</v>
      </c>
      <c r="H152" s="4" t="s">
        <v>235</v>
      </c>
      <c r="I152" t="s">
        <v>3</v>
      </c>
      <c r="J152" s="56">
        <f t="shared" si="107"/>
        <v>0</v>
      </c>
      <c r="K152" s="56">
        <f t="shared" si="107"/>
        <v>0.49130000000000001</v>
      </c>
      <c r="L152" s="56">
        <f t="shared" si="107"/>
        <v>0.49130000000000001</v>
      </c>
      <c r="M152" s="56">
        <f t="shared" si="107"/>
        <v>0.46240000000000003</v>
      </c>
      <c r="N152" s="56">
        <f t="shared" si="107"/>
        <v>0.46240000000000003</v>
      </c>
      <c r="O152" s="56">
        <f t="shared" si="107"/>
        <v>0.46240000000000003</v>
      </c>
      <c r="P152" s="56">
        <f t="shared" si="107"/>
        <v>0</v>
      </c>
      <c r="Q152" s="56">
        <f t="shared" si="107"/>
        <v>0</v>
      </c>
      <c r="R152" s="56">
        <f t="shared" ref="R152:AN152" si="123">R113*$G152</f>
        <v>0.46240000000000003</v>
      </c>
      <c r="S152" s="56">
        <f t="shared" si="123"/>
        <v>0.49130000000000001</v>
      </c>
      <c r="T152" s="56">
        <f t="shared" si="123"/>
        <v>0.46240000000000003</v>
      </c>
      <c r="U152" s="56">
        <f t="shared" si="123"/>
        <v>0.46240000000000003</v>
      </c>
      <c r="V152" s="56">
        <f t="shared" si="123"/>
        <v>0.46240000000000003</v>
      </c>
      <c r="W152" s="56">
        <f t="shared" si="123"/>
        <v>0</v>
      </c>
      <c r="X152" s="56">
        <f t="shared" si="123"/>
        <v>0</v>
      </c>
      <c r="Y152" s="56">
        <f t="shared" si="123"/>
        <v>0.46240000000000003</v>
      </c>
      <c r="Z152" s="56">
        <f t="shared" si="123"/>
        <v>0.46240000000000003</v>
      </c>
      <c r="AA152" s="56">
        <f t="shared" si="123"/>
        <v>0.46240000000000003</v>
      </c>
      <c r="AB152" s="56">
        <f t="shared" si="123"/>
        <v>0.46240000000000003</v>
      </c>
      <c r="AC152" s="56">
        <f t="shared" si="123"/>
        <v>0.46240000000000003</v>
      </c>
      <c r="AD152" s="56">
        <f t="shared" si="123"/>
        <v>0</v>
      </c>
      <c r="AE152" s="56">
        <f t="shared" si="123"/>
        <v>0</v>
      </c>
      <c r="AF152" s="56">
        <f t="shared" si="123"/>
        <v>0.46240000000000003</v>
      </c>
      <c r="AG152" s="56">
        <f t="shared" si="123"/>
        <v>0.46240000000000003</v>
      </c>
      <c r="AH152" s="56">
        <f t="shared" si="123"/>
        <v>0.46240000000000003</v>
      </c>
      <c r="AI152" s="56">
        <f t="shared" si="123"/>
        <v>0.46240000000000003</v>
      </c>
      <c r="AJ152" s="56">
        <f t="shared" si="123"/>
        <v>0.49130000000000001</v>
      </c>
      <c r="AK152" s="56">
        <f t="shared" si="123"/>
        <v>0</v>
      </c>
      <c r="AL152" s="56">
        <f t="shared" si="123"/>
        <v>0</v>
      </c>
      <c r="AM152" s="56">
        <f t="shared" si="123"/>
        <v>0.46240000000000003</v>
      </c>
      <c r="AN152" s="56">
        <f t="shared" si="123"/>
        <v>0.46240000000000003</v>
      </c>
    </row>
    <row r="153" spans="1:41" ht="15" x14ac:dyDescent="0.2">
      <c r="B153">
        <v>2038</v>
      </c>
      <c r="C153" t="s">
        <v>54</v>
      </c>
      <c r="D153" s="1" t="s">
        <v>335</v>
      </c>
      <c r="E153" t="s">
        <v>18</v>
      </c>
      <c r="F153">
        <v>15</v>
      </c>
      <c r="G153">
        <v>1.6750000000000001E-2</v>
      </c>
      <c r="H153" s="4" t="s">
        <v>202</v>
      </c>
      <c r="I153" t="s">
        <v>3</v>
      </c>
      <c r="J153" s="56">
        <f t="shared" si="107"/>
        <v>0</v>
      </c>
      <c r="K153" s="56">
        <f t="shared" si="107"/>
        <v>1.7085000000000001</v>
      </c>
      <c r="L153" s="56">
        <f t="shared" si="107"/>
        <v>1.7085000000000001</v>
      </c>
      <c r="M153" s="56">
        <f t="shared" si="107"/>
        <v>1.6080000000000001</v>
      </c>
      <c r="N153" s="56">
        <f t="shared" si="107"/>
        <v>1.7085000000000001</v>
      </c>
      <c r="O153" s="56">
        <f t="shared" si="107"/>
        <v>1.6080000000000001</v>
      </c>
      <c r="P153" s="56">
        <f t="shared" si="107"/>
        <v>0</v>
      </c>
      <c r="Q153" s="56">
        <f t="shared" si="107"/>
        <v>0</v>
      </c>
      <c r="R153" s="56">
        <f t="shared" ref="R153:AN153" si="124">R114*$G153</f>
        <v>1.7085000000000001</v>
      </c>
      <c r="S153" s="56">
        <f t="shared" si="124"/>
        <v>1.6080000000000001</v>
      </c>
      <c r="T153" s="56">
        <f t="shared" si="124"/>
        <v>1.6080000000000001</v>
      </c>
      <c r="U153" s="56">
        <f t="shared" si="124"/>
        <v>1.7085000000000001</v>
      </c>
      <c r="V153" s="56">
        <f t="shared" si="124"/>
        <v>1.6080000000000001</v>
      </c>
      <c r="W153" s="56">
        <f t="shared" si="124"/>
        <v>0</v>
      </c>
      <c r="X153" s="56">
        <f t="shared" si="124"/>
        <v>0</v>
      </c>
      <c r="Y153" s="56">
        <f t="shared" si="124"/>
        <v>1.7085000000000001</v>
      </c>
      <c r="Z153" s="56">
        <f t="shared" si="124"/>
        <v>1.7085000000000001</v>
      </c>
      <c r="AA153" s="56">
        <f t="shared" si="124"/>
        <v>1.6080000000000001</v>
      </c>
      <c r="AB153" s="56">
        <f t="shared" si="124"/>
        <v>1.7085000000000001</v>
      </c>
      <c r="AC153" s="56">
        <f t="shared" si="124"/>
        <v>1.6080000000000001</v>
      </c>
      <c r="AD153" s="56">
        <f t="shared" si="124"/>
        <v>0</v>
      </c>
      <c r="AE153" s="56">
        <f t="shared" si="124"/>
        <v>0</v>
      </c>
      <c r="AF153" s="56">
        <f t="shared" si="124"/>
        <v>1.7085000000000001</v>
      </c>
      <c r="AG153" s="56">
        <f t="shared" si="124"/>
        <v>1.7085000000000001</v>
      </c>
      <c r="AH153" s="56">
        <f t="shared" si="124"/>
        <v>1.6080000000000001</v>
      </c>
      <c r="AI153" s="56">
        <f t="shared" si="124"/>
        <v>1.7085000000000001</v>
      </c>
      <c r="AJ153" s="56">
        <f t="shared" si="124"/>
        <v>1.6080000000000001</v>
      </c>
      <c r="AK153" s="56">
        <f t="shared" si="124"/>
        <v>0</v>
      </c>
      <c r="AL153" s="56">
        <f t="shared" si="124"/>
        <v>0</v>
      </c>
      <c r="AM153" s="56">
        <f t="shared" si="124"/>
        <v>1.7085000000000001</v>
      </c>
      <c r="AN153" s="56">
        <f t="shared" si="124"/>
        <v>1.7085000000000001</v>
      </c>
    </row>
    <row r="154" spans="1:41" ht="15" x14ac:dyDescent="0.2">
      <c r="B154">
        <v>2038</v>
      </c>
      <c r="C154" t="s">
        <v>54</v>
      </c>
      <c r="D154" s="1" t="s">
        <v>336</v>
      </c>
      <c r="E154" t="s">
        <v>17</v>
      </c>
      <c r="F154">
        <v>4</v>
      </c>
      <c r="G154">
        <v>1.6833750000000001E-2</v>
      </c>
      <c r="H154" s="4" t="s">
        <v>196</v>
      </c>
      <c r="I154" t="s">
        <v>3</v>
      </c>
      <c r="J154" s="56">
        <f t="shared" si="107"/>
        <v>0</v>
      </c>
      <c r="K154" s="56">
        <f t="shared" si="107"/>
        <v>0</v>
      </c>
      <c r="L154" s="56">
        <f t="shared" si="107"/>
        <v>0</v>
      </c>
      <c r="M154" s="56">
        <f t="shared" si="107"/>
        <v>0</v>
      </c>
      <c r="N154" s="56">
        <f t="shared" si="107"/>
        <v>0</v>
      </c>
      <c r="O154" s="56">
        <f t="shared" si="107"/>
        <v>0</v>
      </c>
      <c r="P154" s="56">
        <f t="shared" si="107"/>
        <v>0</v>
      </c>
      <c r="Q154" s="56">
        <f t="shared" ref="Q154:AN154" si="125">Q115*$G154</f>
        <v>0</v>
      </c>
      <c r="R154" s="56">
        <f t="shared" si="125"/>
        <v>0</v>
      </c>
      <c r="S154" s="56">
        <f t="shared" si="125"/>
        <v>0</v>
      </c>
      <c r="T154" s="56">
        <f t="shared" si="125"/>
        <v>0</v>
      </c>
      <c r="U154" s="56">
        <f t="shared" si="125"/>
        <v>0</v>
      </c>
      <c r="V154" s="56">
        <f t="shared" si="125"/>
        <v>0</v>
      </c>
      <c r="W154" s="56">
        <f t="shared" si="125"/>
        <v>0</v>
      </c>
      <c r="X154" s="56">
        <f t="shared" si="125"/>
        <v>0</v>
      </c>
      <c r="Y154" s="56">
        <f t="shared" si="125"/>
        <v>0</v>
      </c>
      <c r="Z154" s="56">
        <f t="shared" si="125"/>
        <v>0</v>
      </c>
      <c r="AA154" s="56">
        <f t="shared" si="125"/>
        <v>0</v>
      </c>
      <c r="AB154" s="56">
        <f t="shared" si="125"/>
        <v>0</v>
      </c>
      <c r="AC154" s="56">
        <f t="shared" si="125"/>
        <v>0</v>
      </c>
      <c r="AD154" s="56">
        <f t="shared" si="125"/>
        <v>0</v>
      </c>
      <c r="AE154" s="56">
        <f t="shared" si="125"/>
        <v>0</v>
      </c>
      <c r="AF154" s="56">
        <f t="shared" si="125"/>
        <v>0</v>
      </c>
      <c r="AG154" s="56">
        <f t="shared" si="125"/>
        <v>0</v>
      </c>
      <c r="AH154" s="56">
        <f t="shared" si="125"/>
        <v>0</v>
      </c>
      <c r="AI154" s="56">
        <f t="shared" si="125"/>
        <v>0</v>
      </c>
      <c r="AJ154" s="56">
        <f t="shared" si="125"/>
        <v>0</v>
      </c>
      <c r="AK154" s="56">
        <f t="shared" si="125"/>
        <v>0</v>
      </c>
      <c r="AL154" s="56">
        <f t="shared" si="125"/>
        <v>0</v>
      </c>
      <c r="AM154" s="56">
        <f t="shared" si="125"/>
        <v>0</v>
      </c>
      <c r="AN154" s="56">
        <f t="shared" si="125"/>
        <v>0</v>
      </c>
    </row>
    <row r="155" spans="1:41" ht="15" x14ac:dyDescent="0.2">
      <c r="B155">
        <v>2038</v>
      </c>
      <c r="C155" t="s">
        <v>54</v>
      </c>
      <c r="D155" s="1" t="s">
        <v>337</v>
      </c>
      <c r="E155" t="s">
        <v>17</v>
      </c>
      <c r="F155">
        <v>4</v>
      </c>
      <c r="G155">
        <v>1.6833750000000001E-2</v>
      </c>
      <c r="H155" s="4" t="s">
        <v>196</v>
      </c>
      <c r="I155" t="s">
        <v>3</v>
      </c>
      <c r="J155" s="56">
        <f t="shared" si="107"/>
        <v>0</v>
      </c>
      <c r="K155" s="56">
        <f t="shared" si="107"/>
        <v>0</v>
      </c>
      <c r="L155" s="56">
        <f t="shared" si="107"/>
        <v>0</v>
      </c>
      <c r="M155" s="56">
        <f t="shared" si="107"/>
        <v>0.60601500000000008</v>
      </c>
      <c r="N155" s="56">
        <f t="shared" si="107"/>
        <v>0</v>
      </c>
      <c r="O155" s="56">
        <f t="shared" si="107"/>
        <v>0</v>
      </c>
      <c r="P155" s="56">
        <f t="shared" si="107"/>
        <v>0</v>
      </c>
      <c r="Q155" s="56">
        <f t="shared" ref="Q155:AN155" si="126">Q116*$G155</f>
        <v>0</v>
      </c>
      <c r="R155" s="56">
        <f t="shared" si="126"/>
        <v>0</v>
      </c>
      <c r="S155" s="56">
        <f t="shared" si="126"/>
        <v>0.79118625000000009</v>
      </c>
      <c r="T155" s="56">
        <f t="shared" si="126"/>
        <v>0</v>
      </c>
      <c r="U155" s="56">
        <f t="shared" si="126"/>
        <v>0</v>
      </c>
      <c r="V155" s="56">
        <f t="shared" si="126"/>
        <v>0</v>
      </c>
      <c r="W155" s="56">
        <f t="shared" si="126"/>
        <v>0</v>
      </c>
      <c r="X155" s="56">
        <f t="shared" si="126"/>
        <v>0</v>
      </c>
      <c r="Y155" s="56">
        <f t="shared" si="126"/>
        <v>0</v>
      </c>
      <c r="Z155" s="56">
        <f t="shared" si="126"/>
        <v>0</v>
      </c>
      <c r="AA155" s="56">
        <f t="shared" si="126"/>
        <v>0</v>
      </c>
      <c r="AB155" s="56">
        <f t="shared" si="126"/>
        <v>0</v>
      </c>
      <c r="AC155" s="56">
        <f t="shared" si="126"/>
        <v>0</v>
      </c>
      <c r="AD155" s="56">
        <f t="shared" si="126"/>
        <v>0</v>
      </c>
      <c r="AE155" s="56">
        <f t="shared" si="126"/>
        <v>0</v>
      </c>
      <c r="AF155" s="56">
        <f t="shared" si="126"/>
        <v>0</v>
      </c>
      <c r="AG155" s="56">
        <f t="shared" si="126"/>
        <v>0.79118625000000009</v>
      </c>
      <c r="AH155" s="56">
        <f t="shared" si="126"/>
        <v>0</v>
      </c>
      <c r="AI155" s="56">
        <f t="shared" si="126"/>
        <v>0</v>
      </c>
      <c r="AJ155" s="56">
        <f t="shared" si="126"/>
        <v>0</v>
      </c>
      <c r="AK155" s="56">
        <f t="shared" si="126"/>
        <v>0</v>
      </c>
      <c r="AL155" s="56">
        <f t="shared" si="126"/>
        <v>0</v>
      </c>
      <c r="AM155" s="56">
        <f t="shared" si="126"/>
        <v>0</v>
      </c>
      <c r="AN155" s="56">
        <f t="shared" si="126"/>
        <v>0</v>
      </c>
    </row>
    <row r="156" spans="1:41" ht="15" x14ac:dyDescent="0.2">
      <c r="B156">
        <v>2038</v>
      </c>
      <c r="C156" t="s">
        <v>54</v>
      </c>
      <c r="D156" s="1" t="s">
        <v>338</v>
      </c>
      <c r="E156" t="s">
        <v>17</v>
      </c>
      <c r="F156">
        <v>8</v>
      </c>
      <c r="G156">
        <v>1.1559175E-2</v>
      </c>
      <c r="H156" s="4" t="s">
        <v>233</v>
      </c>
      <c r="I156" t="s">
        <v>3</v>
      </c>
      <c r="J156" s="56">
        <f t="shared" si="107"/>
        <v>0</v>
      </c>
      <c r="K156" s="56">
        <f t="shared" si="107"/>
        <v>0</v>
      </c>
      <c r="L156" s="56">
        <f t="shared" si="107"/>
        <v>0</v>
      </c>
      <c r="M156" s="56">
        <f t="shared" si="107"/>
        <v>0</v>
      </c>
      <c r="N156" s="56">
        <f t="shared" si="107"/>
        <v>0</v>
      </c>
      <c r="O156" s="56">
        <f t="shared" si="107"/>
        <v>0</v>
      </c>
      <c r="P156" s="56">
        <f t="shared" si="107"/>
        <v>0</v>
      </c>
      <c r="Q156" s="56">
        <f t="shared" ref="Q156:AN156" si="127">Q117*$G156</f>
        <v>0</v>
      </c>
      <c r="R156" s="56">
        <f t="shared" si="127"/>
        <v>0</v>
      </c>
      <c r="S156" s="56">
        <f t="shared" si="127"/>
        <v>0</v>
      </c>
      <c r="T156" s="56">
        <f t="shared" si="127"/>
        <v>0</v>
      </c>
      <c r="U156" s="56">
        <f t="shared" si="127"/>
        <v>0</v>
      </c>
      <c r="V156" s="56">
        <f t="shared" si="127"/>
        <v>0</v>
      </c>
      <c r="W156" s="56">
        <f t="shared" si="127"/>
        <v>0</v>
      </c>
      <c r="X156" s="56">
        <f t="shared" si="127"/>
        <v>0</v>
      </c>
      <c r="Y156" s="56">
        <f t="shared" si="127"/>
        <v>0</v>
      </c>
      <c r="Z156" s="56">
        <f t="shared" si="127"/>
        <v>0.28897937499999998</v>
      </c>
      <c r="AA156" s="56">
        <f t="shared" si="127"/>
        <v>0.25430185</v>
      </c>
      <c r="AB156" s="56">
        <f t="shared" si="127"/>
        <v>0</v>
      </c>
      <c r="AC156" s="56">
        <f t="shared" si="127"/>
        <v>0</v>
      </c>
      <c r="AD156" s="56">
        <f t="shared" si="127"/>
        <v>0</v>
      </c>
      <c r="AE156" s="56">
        <f t="shared" si="127"/>
        <v>0</v>
      </c>
      <c r="AF156" s="56">
        <f t="shared" si="127"/>
        <v>0</v>
      </c>
      <c r="AG156" s="56">
        <f t="shared" si="127"/>
        <v>0</v>
      </c>
      <c r="AH156" s="56">
        <f t="shared" si="127"/>
        <v>0</v>
      </c>
      <c r="AI156" s="56">
        <f t="shared" si="127"/>
        <v>0</v>
      </c>
      <c r="AJ156" s="56">
        <f t="shared" si="127"/>
        <v>0</v>
      </c>
      <c r="AK156" s="56">
        <f t="shared" si="127"/>
        <v>0</v>
      </c>
      <c r="AL156" s="56">
        <f t="shared" si="127"/>
        <v>0</v>
      </c>
      <c r="AM156" s="56">
        <f t="shared" si="127"/>
        <v>0</v>
      </c>
      <c r="AN156" s="56">
        <f t="shared" si="127"/>
        <v>0</v>
      </c>
    </row>
    <row r="157" spans="1:41" ht="15" x14ac:dyDescent="0.2">
      <c r="B157">
        <v>2038</v>
      </c>
      <c r="C157" t="s">
        <v>54</v>
      </c>
      <c r="D157" s="1" t="s">
        <v>339</v>
      </c>
      <c r="E157" t="s">
        <v>17</v>
      </c>
      <c r="F157">
        <v>10</v>
      </c>
      <c r="G157">
        <v>1.12225E-2</v>
      </c>
      <c r="H157" s="4" t="s">
        <v>233</v>
      </c>
      <c r="I157" t="s">
        <v>3</v>
      </c>
      <c r="J157" s="56">
        <f t="shared" si="107"/>
        <v>0</v>
      </c>
      <c r="K157" s="56">
        <f t="shared" si="107"/>
        <v>0</v>
      </c>
      <c r="L157" s="56">
        <f t="shared" si="107"/>
        <v>0</v>
      </c>
      <c r="M157" s="56">
        <f t="shared" si="107"/>
        <v>0</v>
      </c>
      <c r="N157" s="56">
        <f t="shared" si="107"/>
        <v>0</v>
      </c>
      <c r="O157" s="56">
        <f t="shared" si="107"/>
        <v>0</v>
      </c>
      <c r="P157" s="56">
        <f t="shared" si="107"/>
        <v>0</v>
      </c>
      <c r="Q157" s="56">
        <f t="shared" ref="Q157:AN157" si="128">Q118*$G157</f>
        <v>0</v>
      </c>
      <c r="R157" s="56">
        <f t="shared" si="128"/>
        <v>0.22444999999999998</v>
      </c>
      <c r="S157" s="56">
        <f t="shared" si="128"/>
        <v>0</v>
      </c>
      <c r="T157" s="56">
        <f t="shared" si="128"/>
        <v>0</v>
      </c>
      <c r="U157" s="56">
        <f t="shared" si="128"/>
        <v>0</v>
      </c>
      <c r="V157" s="56">
        <f t="shared" si="128"/>
        <v>0</v>
      </c>
      <c r="W157" s="56">
        <f t="shared" si="128"/>
        <v>0</v>
      </c>
      <c r="X157" s="56">
        <f t="shared" si="128"/>
        <v>0</v>
      </c>
      <c r="Y157" s="56">
        <f t="shared" si="128"/>
        <v>0</v>
      </c>
      <c r="Z157" s="56">
        <f t="shared" si="128"/>
        <v>0</v>
      </c>
      <c r="AA157" s="56">
        <f t="shared" si="128"/>
        <v>0</v>
      </c>
      <c r="AB157" s="56">
        <f t="shared" si="128"/>
        <v>0</v>
      </c>
      <c r="AC157" s="56">
        <f t="shared" si="128"/>
        <v>0</v>
      </c>
      <c r="AD157" s="56">
        <f t="shared" si="128"/>
        <v>0</v>
      </c>
      <c r="AE157" s="56">
        <f t="shared" si="128"/>
        <v>0</v>
      </c>
      <c r="AF157" s="56">
        <f t="shared" si="128"/>
        <v>0.22444999999999998</v>
      </c>
      <c r="AG157" s="56">
        <f t="shared" si="128"/>
        <v>0</v>
      </c>
      <c r="AH157" s="56">
        <f t="shared" si="128"/>
        <v>0</v>
      </c>
      <c r="AI157" s="56">
        <f t="shared" si="128"/>
        <v>0</v>
      </c>
      <c r="AJ157" s="56">
        <f t="shared" si="128"/>
        <v>0</v>
      </c>
      <c r="AK157" s="56">
        <f t="shared" si="128"/>
        <v>0</v>
      </c>
      <c r="AL157" s="56">
        <f t="shared" si="128"/>
        <v>0</v>
      </c>
      <c r="AM157" s="56">
        <f t="shared" si="128"/>
        <v>0</v>
      </c>
      <c r="AN157" s="56">
        <f t="shared" si="128"/>
        <v>0</v>
      </c>
    </row>
    <row r="158" spans="1:41" ht="15" x14ac:dyDescent="0.2">
      <c r="B158">
        <v>2038</v>
      </c>
      <c r="C158" t="s">
        <v>54</v>
      </c>
      <c r="D158" s="1" t="s">
        <v>340</v>
      </c>
      <c r="E158" t="s">
        <v>17</v>
      </c>
      <c r="F158">
        <v>5</v>
      </c>
      <c r="G158">
        <v>1.2716000000000002E-2</v>
      </c>
      <c r="H158" s="4" t="s">
        <v>233</v>
      </c>
      <c r="I158" t="s">
        <v>3</v>
      </c>
      <c r="J158" s="56">
        <f t="shared" si="107"/>
        <v>0</v>
      </c>
      <c r="K158" s="56">
        <f t="shared" si="107"/>
        <v>0</v>
      </c>
      <c r="L158" s="56">
        <f t="shared" si="107"/>
        <v>0</v>
      </c>
      <c r="M158" s="56">
        <f t="shared" si="107"/>
        <v>0</v>
      </c>
      <c r="N158" s="56">
        <f t="shared" si="107"/>
        <v>0</v>
      </c>
      <c r="O158" s="56">
        <f t="shared" si="107"/>
        <v>0</v>
      </c>
      <c r="P158" s="56">
        <f t="shared" si="107"/>
        <v>0</v>
      </c>
      <c r="Q158" s="56">
        <f t="shared" ref="Q158:AN158" si="129">Q119*$G158</f>
        <v>0</v>
      </c>
      <c r="R158" s="56">
        <f t="shared" si="129"/>
        <v>0</v>
      </c>
      <c r="S158" s="56">
        <f t="shared" si="129"/>
        <v>0</v>
      </c>
      <c r="T158" s="56">
        <f t="shared" si="129"/>
        <v>0</v>
      </c>
      <c r="U158" s="56">
        <f t="shared" si="129"/>
        <v>0.43234400000000006</v>
      </c>
      <c r="V158" s="56">
        <f t="shared" si="129"/>
        <v>0</v>
      </c>
      <c r="W158" s="56">
        <f t="shared" si="129"/>
        <v>0</v>
      </c>
      <c r="X158" s="56">
        <f t="shared" si="129"/>
        <v>0</v>
      </c>
      <c r="Y158" s="56">
        <f t="shared" si="129"/>
        <v>0</v>
      </c>
      <c r="Z158" s="56">
        <f t="shared" si="129"/>
        <v>0</v>
      </c>
      <c r="AA158" s="56">
        <f t="shared" si="129"/>
        <v>0</v>
      </c>
      <c r="AB158" s="56">
        <f t="shared" si="129"/>
        <v>0</v>
      </c>
      <c r="AC158" s="56">
        <f t="shared" si="129"/>
        <v>0</v>
      </c>
      <c r="AD158" s="56">
        <f t="shared" si="129"/>
        <v>0</v>
      </c>
      <c r="AE158" s="56">
        <f t="shared" si="129"/>
        <v>0</v>
      </c>
      <c r="AF158" s="56">
        <f t="shared" si="129"/>
        <v>0</v>
      </c>
      <c r="AG158" s="56">
        <f t="shared" si="129"/>
        <v>0</v>
      </c>
      <c r="AH158" s="56">
        <f t="shared" si="129"/>
        <v>0</v>
      </c>
      <c r="AI158" s="56">
        <f t="shared" si="129"/>
        <v>0.43234400000000006</v>
      </c>
      <c r="AJ158" s="56">
        <f t="shared" si="129"/>
        <v>0</v>
      </c>
      <c r="AK158" s="56">
        <f t="shared" si="129"/>
        <v>0</v>
      </c>
      <c r="AL158" s="56">
        <f t="shared" si="129"/>
        <v>0</v>
      </c>
      <c r="AM158" s="56">
        <f t="shared" si="129"/>
        <v>0</v>
      </c>
      <c r="AN158" s="56">
        <f t="shared" si="129"/>
        <v>0</v>
      </c>
    </row>
    <row r="159" spans="1:41" ht="15" x14ac:dyDescent="0.2">
      <c r="B159">
        <v>2038</v>
      </c>
      <c r="C159" t="s">
        <v>54</v>
      </c>
      <c r="D159" s="1" t="s">
        <v>341</v>
      </c>
      <c r="E159" t="s">
        <v>17</v>
      </c>
      <c r="F159">
        <v>5</v>
      </c>
      <c r="G159">
        <v>0</v>
      </c>
      <c r="H159" s="4">
        <v>0</v>
      </c>
      <c r="I159" t="s">
        <v>3</v>
      </c>
      <c r="J159" s="56">
        <f t="shared" si="107"/>
        <v>0</v>
      </c>
      <c r="K159" s="56">
        <f t="shared" si="107"/>
        <v>0</v>
      </c>
      <c r="L159" s="56">
        <f t="shared" si="107"/>
        <v>0</v>
      </c>
      <c r="M159" s="56">
        <f t="shared" si="107"/>
        <v>0</v>
      </c>
      <c r="N159" s="56">
        <f t="shared" si="107"/>
        <v>0</v>
      </c>
      <c r="O159" s="56">
        <f t="shared" si="107"/>
        <v>0</v>
      </c>
      <c r="P159" s="56">
        <f t="shared" si="107"/>
        <v>0</v>
      </c>
      <c r="Q159" s="56">
        <f t="shared" ref="Q159:AN159" si="130">Q120*$G159</f>
        <v>0</v>
      </c>
      <c r="R159" s="56">
        <f t="shared" si="130"/>
        <v>0</v>
      </c>
      <c r="S159" s="56">
        <f t="shared" si="130"/>
        <v>0</v>
      </c>
      <c r="T159" s="56">
        <f t="shared" si="130"/>
        <v>0</v>
      </c>
      <c r="U159" s="56">
        <f t="shared" si="130"/>
        <v>0</v>
      </c>
      <c r="V159" s="56">
        <f t="shared" si="130"/>
        <v>0</v>
      </c>
      <c r="W159" s="56">
        <f t="shared" si="130"/>
        <v>0</v>
      </c>
      <c r="X159" s="56">
        <f t="shared" si="130"/>
        <v>0</v>
      </c>
      <c r="Y159" s="56">
        <f t="shared" si="130"/>
        <v>0</v>
      </c>
      <c r="Z159" s="56">
        <f t="shared" si="130"/>
        <v>0</v>
      </c>
      <c r="AA159" s="56">
        <f t="shared" si="130"/>
        <v>0</v>
      </c>
      <c r="AB159" s="56">
        <f t="shared" si="130"/>
        <v>0</v>
      </c>
      <c r="AC159" s="56">
        <f t="shared" si="130"/>
        <v>0</v>
      </c>
      <c r="AD159" s="56">
        <f t="shared" si="130"/>
        <v>0</v>
      </c>
      <c r="AE159" s="56">
        <f t="shared" si="130"/>
        <v>0</v>
      </c>
      <c r="AF159" s="56">
        <f t="shared" si="130"/>
        <v>0</v>
      </c>
      <c r="AG159" s="56">
        <f t="shared" si="130"/>
        <v>0</v>
      </c>
      <c r="AH159" s="56">
        <f t="shared" si="130"/>
        <v>0</v>
      </c>
      <c r="AI159" s="56">
        <f t="shared" si="130"/>
        <v>0</v>
      </c>
      <c r="AJ159" s="56">
        <f t="shared" si="130"/>
        <v>0</v>
      </c>
      <c r="AK159" s="56">
        <f t="shared" si="130"/>
        <v>0</v>
      </c>
      <c r="AL159" s="56">
        <f t="shared" si="130"/>
        <v>0</v>
      </c>
      <c r="AM159" s="56">
        <f t="shared" si="130"/>
        <v>0</v>
      </c>
      <c r="AN159" s="56">
        <f t="shared" si="130"/>
        <v>0</v>
      </c>
    </row>
    <row r="160" spans="1:41" ht="15" x14ac:dyDescent="0.2">
      <c r="B160">
        <v>2038</v>
      </c>
      <c r="C160" t="s">
        <v>54</v>
      </c>
      <c r="D160" s="1" t="s">
        <v>342</v>
      </c>
      <c r="E160" t="s">
        <v>18</v>
      </c>
      <c r="F160">
        <v>8</v>
      </c>
      <c r="G160">
        <v>1.12225E-2</v>
      </c>
      <c r="H160" s="4" t="s">
        <v>233</v>
      </c>
      <c r="I160" t="s">
        <v>3</v>
      </c>
      <c r="J160" s="56">
        <f t="shared" si="107"/>
        <v>0</v>
      </c>
      <c r="K160" s="56">
        <f t="shared" si="107"/>
        <v>0.31423000000000001</v>
      </c>
      <c r="L160" s="56">
        <f t="shared" si="107"/>
        <v>0.31423000000000001</v>
      </c>
      <c r="M160" s="56">
        <f t="shared" si="107"/>
        <v>0.29178500000000002</v>
      </c>
      <c r="N160" s="56">
        <f t="shared" si="107"/>
        <v>0.31423000000000001</v>
      </c>
      <c r="O160" s="56">
        <f t="shared" si="107"/>
        <v>0.29178500000000002</v>
      </c>
      <c r="P160" s="56">
        <f t="shared" si="107"/>
        <v>0</v>
      </c>
      <c r="Q160" s="56">
        <f t="shared" ref="Q160:AN160" si="131">Q121*$G160</f>
        <v>0</v>
      </c>
      <c r="R160" s="56">
        <f t="shared" si="131"/>
        <v>0.31423000000000001</v>
      </c>
      <c r="S160" s="56">
        <f t="shared" si="131"/>
        <v>0.29178500000000002</v>
      </c>
      <c r="T160" s="56">
        <f t="shared" si="131"/>
        <v>0.29178500000000002</v>
      </c>
      <c r="U160" s="56">
        <f t="shared" si="131"/>
        <v>0.31423000000000001</v>
      </c>
      <c r="V160" s="56">
        <f t="shared" si="131"/>
        <v>0.29178500000000002</v>
      </c>
      <c r="W160" s="56">
        <f t="shared" si="131"/>
        <v>0</v>
      </c>
      <c r="X160" s="56">
        <f t="shared" si="131"/>
        <v>0</v>
      </c>
      <c r="Y160" s="56">
        <f t="shared" si="131"/>
        <v>0.31423000000000001</v>
      </c>
      <c r="Z160" s="56">
        <f t="shared" si="131"/>
        <v>0.31423000000000001</v>
      </c>
      <c r="AA160" s="56">
        <f t="shared" si="131"/>
        <v>0.29178500000000002</v>
      </c>
      <c r="AB160" s="56">
        <f t="shared" si="131"/>
        <v>0.31423000000000001</v>
      </c>
      <c r="AC160" s="56">
        <f t="shared" si="131"/>
        <v>0.29178500000000002</v>
      </c>
      <c r="AD160" s="56">
        <f t="shared" si="131"/>
        <v>0</v>
      </c>
      <c r="AE160" s="56">
        <f t="shared" si="131"/>
        <v>0</v>
      </c>
      <c r="AF160" s="56">
        <f t="shared" si="131"/>
        <v>0.46012249999999999</v>
      </c>
      <c r="AG160" s="56">
        <f t="shared" si="131"/>
        <v>0.46012249999999999</v>
      </c>
      <c r="AH160" s="56">
        <f t="shared" si="131"/>
        <v>0.42645499999999997</v>
      </c>
      <c r="AI160" s="56">
        <f t="shared" si="131"/>
        <v>0.44889999999999997</v>
      </c>
      <c r="AJ160" s="56">
        <f t="shared" si="131"/>
        <v>0.42645499999999997</v>
      </c>
      <c r="AK160" s="56">
        <f t="shared" si="131"/>
        <v>0</v>
      </c>
      <c r="AL160" s="56">
        <f t="shared" si="131"/>
        <v>0</v>
      </c>
      <c r="AM160" s="56">
        <f t="shared" si="131"/>
        <v>0.7743525</v>
      </c>
      <c r="AN160" s="56">
        <f t="shared" si="131"/>
        <v>0.7743525</v>
      </c>
    </row>
    <row r="161" spans="2:55" ht="15" x14ac:dyDescent="0.2">
      <c r="B161">
        <v>2038</v>
      </c>
      <c r="C161" t="s">
        <v>54</v>
      </c>
      <c r="D161" s="1" t="s">
        <v>343</v>
      </c>
      <c r="E161" t="s">
        <v>18</v>
      </c>
      <c r="F161">
        <v>8</v>
      </c>
      <c r="G161">
        <v>1.12225E-2</v>
      </c>
      <c r="H161" s="4" t="s">
        <v>233</v>
      </c>
      <c r="I161" t="s">
        <v>3</v>
      </c>
      <c r="J161" s="56">
        <f t="shared" si="107"/>
        <v>0</v>
      </c>
      <c r="K161" s="56">
        <f t="shared" si="107"/>
        <v>0.58357000000000003</v>
      </c>
      <c r="L161" s="56">
        <f t="shared" si="107"/>
        <v>0.58357000000000003</v>
      </c>
      <c r="M161" s="56">
        <f t="shared" si="107"/>
        <v>0.54990249999999996</v>
      </c>
      <c r="N161" s="56">
        <f t="shared" si="107"/>
        <v>0.58357000000000003</v>
      </c>
      <c r="O161" s="56">
        <f t="shared" si="107"/>
        <v>0.54990249999999996</v>
      </c>
      <c r="P161" s="56">
        <f t="shared" si="107"/>
        <v>0</v>
      </c>
      <c r="Q161" s="56">
        <f t="shared" ref="Q161:AN161" si="132">Q122*$G161</f>
        <v>0</v>
      </c>
      <c r="R161" s="56">
        <f t="shared" si="132"/>
        <v>0.58357000000000003</v>
      </c>
      <c r="S161" s="56">
        <f t="shared" si="132"/>
        <v>0.54990249999999996</v>
      </c>
      <c r="T161" s="56">
        <f t="shared" si="132"/>
        <v>0.54990249999999996</v>
      </c>
      <c r="U161" s="56">
        <f t="shared" si="132"/>
        <v>0.58357000000000003</v>
      </c>
      <c r="V161" s="56">
        <f t="shared" si="132"/>
        <v>0.54990249999999996</v>
      </c>
      <c r="W161" s="56">
        <f t="shared" si="132"/>
        <v>0</v>
      </c>
      <c r="X161" s="56">
        <f t="shared" si="132"/>
        <v>0</v>
      </c>
      <c r="Y161" s="56">
        <f t="shared" si="132"/>
        <v>0.58357000000000003</v>
      </c>
      <c r="Z161" s="56">
        <f t="shared" si="132"/>
        <v>0.58357000000000003</v>
      </c>
      <c r="AA161" s="56">
        <f t="shared" si="132"/>
        <v>0.54990249999999996</v>
      </c>
      <c r="AB161" s="56">
        <f t="shared" si="132"/>
        <v>0.58357000000000003</v>
      </c>
      <c r="AC161" s="56">
        <f t="shared" si="132"/>
        <v>0.56112499999999998</v>
      </c>
      <c r="AD161" s="56">
        <f t="shared" si="132"/>
        <v>0</v>
      </c>
      <c r="AE161" s="56">
        <f t="shared" si="132"/>
        <v>0</v>
      </c>
      <c r="AF161" s="56">
        <f t="shared" si="132"/>
        <v>0.56112499999999998</v>
      </c>
      <c r="AG161" s="56">
        <f t="shared" si="132"/>
        <v>0.57234750000000001</v>
      </c>
      <c r="AH161" s="56">
        <f t="shared" si="132"/>
        <v>0.52745750000000002</v>
      </c>
      <c r="AI161" s="56">
        <f t="shared" si="132"/>
        <v>0.57234750000000001</v>
      </c>
      <c r="AJ161" s="56">
        <f t="shared" si="132"/>
        <v>0.53868000000000005</v>
      </c>
      <c r="AK161" s="56">
        <f t="shared" si="132"/>
        <v>0</v>
      </c>
      <c r="AL161" s="56">
        <f t="shared" si="132"/>
        <v>0</v>
      </c>
      <c r="AM161" s="56">
        <f t="shared" si="132"/>
        <v>0.48256749999999998</v>
      </c>
      <c r="AN161" s="56">
        <f t="shared" si="132"/>
        <v>0.49379000000000001</v>
      </c>
    </row>
    <row r="162" spans="2:55" ht="15" x14ac:dyDescent="0.2">
      <c r="B162">
        <v>2038</v>
      </c>
      <c r="C162" t="s">
        <v>54</v>
      </c>
      <c r="D162" s="1" t="s">
        <v>344</v>
      </c>
      <c r="E162" t="s">
        <v>18</v>
      </c>
      <c r="F162">
        <v>8</v>
      </c>
      <c r="G162">
        <v>1.12225E-2</v>
      </c>
      <c r="H162" s="4" t="s">
        <v>233</v>
      </c>
      <c r="I162" t="s">
        <v>3</v>
      </c>
      <c r="J162" s="56">
        <f t="shared" si="107"/>
        <v>0</v>
      </c>
      <c r="K162" s="56">
        <f t="shared" si="107"/>
        <v>0.1010025</v>
      </c>
      <c r="L162" s="56">
        <f t="shared" si="107"/>
        <v>0.1010025</v>
      </c>
      <c r="M162" s="56">
        <f t="shared" si="107"/>
        <v>8.9779999999999999E-2</v>
      </c>
      <c r="N162" s="56">
        <f t="shared" si="107"/>
        <v>0.1010025</v>
      </c>
      <c r="O162" s="56">
        <f t="shared" si="107"/>
        <v>8.9779999999999999E-2</v>
      </c>
      <c r="P162" s="56">
        <f t="shared" si="107"/>
        <v>0</v>
      </c>
      <c r="Q162" s="56">
        <f t="shared" ref="Q162:AN162" si="133">Q123*$G162</f>
        <v>0</v>
      </c>
      <c r="R162" s="56">
        <f t="shared" si="133"/>
        <v>0.1010025</v>
      </c>
      <c r="S162" s="56">
        <f t="shared" si="133"/>
        <v>8.9779999999999999E-2</v>
      </c>
      <c r="T162" s="56">
        <f t="shared" si="133"/>
        <v>8.9779999999999999E-2</v>
      </c>
      <c r="U162" s="56">
        <f t="shared" si="133"/>
        <v>0.1010025</v>
      </c>
      <c r="V162" s="56">
        <f t="shared" si="133"/>
        <v>8.9779999999999999E-2</v>
      </c>
      <c r="W162" s="56">
        <f t="shared" si="133"/>
        <v>0</v>
      </c>
      <c r="X162" s="56">
        <f t="shared" si="133"/>
        <v>0</v>
      </c>
      <c r="Y162" s="56">
        <f t="shared" si="133"/>
        <v>8.9779999999999999E-2</v>
      </c>
      <c r="Z162" s="56">
        <f t="shared" si="133"/>
        <v>0.1010025</v>
      </c>
      <c r="AA162" s="56">
        <f t="shared" si="133"/>
        <v>8.9779999999999999E-2</v>
      </c>
      <c r="AB162" s="56">
        <f t="shared" si="133"/>
        <v>8.9779999999999999E-2</v>
      </c>
      <c r="AC162" s="56">
        <f t="shared" si="133"/>
        <v>7.8557500000000002E-2</v>
      </c>
      <c r="AD162" s="56">
        <f t="shared" si="133"/>
        <v>0</v>
      </c>
      <c r="AE162" s="56">
        <f t="shared" si="133"/>
        <v>0</v>
      </c>
      <c r="AF162" s="56">
        <f t="shared" si="133"/>
        <v>0.1010025</v>
      </c>
      <c r="AG162" s="56">
        <f t="shared" si="133"/>
        <v>8.9779999999999999E-2</v>
      </c>
      <c r="AH162" s="56">
        <f t="shared" si="133"/>
        <v>8.9779999999999999E-2</v>
      </c>
      <c r="AI162" s="56">
        <f t="shared" si="133"/>
        <v>8.9779999999999999E-2</v>
      </c>
      <c r="AJ162" s="56">
        <f t="shared" si="133"/>
        <v>8.9779999999999999E-2</v>
      </c>
      <c r="AK162" s="56">
        <f t="shared" si="133"/>
        <v>0</v>
      </c>
      <c r="AL162" s="56">
        <f t="shared" si="133"/>
        <v>0</v>
      </c>
      <c r="AM162" s="56">
        <f t="shared" si="133"/>
        <v>8.9779999999999999E-2</v>
      </c>
      <c r="AN162" s="56">
        <f t="shared" si="133"/>
        <v>8.9779999999999999E-2</v>
      </c>
    </row>
    <row r="163" spans="2:55" ht="15" x14ac:dyDescent="0.2">
      <c r="B163">
        <v>2038</v>
      </c>
      <c r="C163" t="s">
        <v>54</v>
      </c>
      <c r="D163" s="1" t="s">
        <v>345</v>
      </c>
      <c r="E163" t="s">
        <v>62</v>
      </c>
      <c r="F163">
        <v>8</v>
      </c>
      <c r="G163">
        <v>2.7046225E-2</v>
      </c>
      <c r="H163" s="4" t="s">
        <v>235</v>
      </c>
      <c r="I163" t="s">
        <v>3</v>
      </c>
      <c r="J163" s="56">
        <f t="shared" si="107"/>
        <v>0</v>
      </c>
      <c r="K163" s="56">
        <f t="shared" si="107"/>
        <v>0</v>
      </c>
      <c r="L163" s="56">
        <f t="shared" si="107"/>
        <v>0.730248075</v>
      </c>
      <c r="M163" s="56">
        <f t="shared" si="107"/>
        <v>0</v>
      </c>
      <c r="N163" s="56">
        <f t="shared" si="107"/>
        <v>0</v>
      </c>
      <c r="O163" s="56">
        <f t="shared" si="107"/>
        <v>0</v>
      </c>
      <c r="P163" s="56">
        <f t="shared" si="107"/>
        <v>0</v>
      </c>
      <c r="Q163" s="56">
        <f t="shared" ref="Q163:AN163" si="134">Q124*$G163</f>
        <v>0</v>
      </c>
      <c r="R163" s="56">
        <f t="shared" si="134"/>
        <v>0</v>
      </c>
      <c r="S163" s="56">
        <f t="shared" si="134"/>
        <v>0</v>
      </c>
      <c r="T163" s="56">
        <f t="shared" si="134"/>
        <v>0</v>
      </c>
      <c r="U163" s="56">
        <f t="shared" si="134"/>
        <v>0</v>
      </c>
      <c r="V163" s="56">
        <f t="shared" si="134"/>
        <v>0</v>
      </c>
      <c r="W163" s="56">
        <f t="shared" si="134"/>
        <v>0</v>
      </c>
      <c r="X163" s="56">
        <f t="shared" si="134"/>
        <v>0</v>
      </c>
      <c r="Y163" s="56">
        <f t="shared" si="134"/>
        <v>0.730248075</v>
      </c>
      <c r="Z163" s="56">
        <f t="shared" si="134"/>
        <v>0</v>
      </c>
      <c r="AA163" s="56">
        <f t="shared" si="134"/>
        <v>0</v>
      </c>
      <c r="AB163" s="56">
        <f t="shared" si="134"/>
        <v>0</v>
      </c>
      <c r="AC163" s="56">
        <f t="shared" si="134"/>
        <v>0</v>
      </c>
      <c r="AD163" s="56">
        <f t="shared" si="134"/>
        <v>0</v>
      </c>
      <c r="AE163" s="56">
        <f t="shared" si="134"/>
        <v>0</v>
      </c>
      <c r="AF163" s="56">
        <f t="shared" si="134"/>
        <v>0.730248075</v>
      </c>
      <c r="AG163" s="56">
        <f t="shared" si="134"/>
        <v>0</v>
      </c>
      <c r="AH163" s="56">
        <f t="shared" si="134"/>
        <v>0</v>
      </c>
      <c r="AI163" s="56">
        <f t="shared" si="134"/>
        <v>0.730248075</v>
      </c>
      <c r="AJ163" s="56">
        <f t="shared" si="134"/>
        <v>0</v>
      </c>
      <c r="AK163" s="56">
        <f t="shared" si="134"/>
        <v>0</v>
      </c>
      <c r="AL163" s="56">
        <f t="shared" si="134"/>
        <v>0</v>
      </c>
      <c r="AM163" s="56">
        <f t="shared" si="134"/>
        <v>0</v>
      </c>
      <c r="AN163" s="56">
        <f t="shared" si="134"/>
        <v>0</v>
      </c>
    </row>
    <row r="164" spans="2:55" ht="15" x14ac:dyDescent="0.2">
      <c r="B164">
        <v>2038</v>
      </c>
      <c r="C164" t="s">
        <v>54</v>
      </c>
      <c r="D164" s="1" t="s">
        <v>346</v>
      </c>
      <c r="E164" t="s">
        <v>62</v>
      </c>
      <c r="F164">
        <v>8</v>
      </c>
      <c r="G164">
        <v>2.7046225E-2</v>
      </c>
      <c r="H164" s="4" t="s">
        <v>235</v>
      </c>
      <c r="I164" t="s">
        <v>3</v>
      </c>
      <c r="J164" s="56">
        <f t="shared" si="107"/>
        <v>0</v>
      </c>
      <c r="K164" s="56">
        <f t="shared" si="107"/>
        <v>1.46049615</v>
      </c>
      <c r="L164" s="56">
        <f t="shared" si="107"/>
        <v>0.730248075</v>
      </c>
      <c r="M164" s="56">
        <f t="shared" si="107"/>
        <v>1.46049615</v>
      </c>
      <c r="N164" s="56">
        <f t="shared" si="107"/>
        <v>0.730248075</v>
      </c>
      <c r="O164" s="56">
        <f t="shared" si="107"/>
        <v>0.730248075</v>
      </c>
      <c r="P164" s="56">
        <f t="shared" si="107"/>
        <v>0</v>
      </c>
      <c r="Q164" s="56">
        <f t="shared" ref="Q164:AN164" si="135">Q125*$G164</f>
        <v>0</v>
      </c>
      <c r="R164" s="56">
        <f t="shared" si="135"/>
        <v>1.46049615</v>
      </c>
      <c r="S164" s="56">
        <f t="shared" si="135"/>
        <v>0.730248075</v>
      </c>
      <c r="T164" s="56">
        <f t="shared" si="135"/>
        <v>1.46049615</v>
      </c>
      <c r="U164" s="56">
        <f t="shared" si="135"/>
        <v>0.730248075</v>
      </c>
      <c r="V164" s="56">
        <f t="shared" si="135"/>
        <v>1.46049615</v>
      </c>
      <c r="W164" s="56">
        <f t="shared" si="135"/>
        <v>0</v>
      </c>
      <c r="X164" s="56">
        <f t="shared" si="135"/>
        <v>0</v>
      </c>
      <c r="Y164" s="56">
        <f t="shared" si="135"/>
        <v>1.46049615</v>
      </c>
      <c r="Z164" s="56">
        <f t="shared" si="135"/>
        <v>1.46049615</v>
      </c>
      <c r="AA164" s="56">
        <f t="shared" si="135"/>
        <v>1.46049615</v>
      </c>
      <c r="AB164" s="56">
        <f t="shared" si="135"/>
        <v>1.46049615</v>
      </c>
      <c r="AC164" s="56">
        <f t="shared" si="135"/>
        <v>1.46049615</v>
      </c>
      <c r="AD164" s="56">
        <f t="shared" si="135"/>
        <v>0</v>
      </c>
      <c r="AE164" s="56">
        <f t="shared" si="135"/>
        <v>0</v>
      </c>
      <c r="AF164" s="56">
        <f t="shared" si="135"/>
        <v>1.46049615</v>
      </c>
      <c r="AG164" s="56">
        <f t="shared" si="135"/>
        <v>1.46049615</v>
      </c>
      <c r="AH164" s="56">
        <f t="shared" si="135"/>
        <v>1.46049615</v>
      </c>
      <c r="AI164" s="56">
        <f t="shared" si="135"/>
        <v>1.46049615</v>
      </c>
      <c r="AJ164" s="56">
        <f t="shared" si="135"/>
        <v>1.46049615</v>
      </c>
      <c r="AK164" s="56">
        <f t="shared" si="135"/>
        <v>0</v>
      </c>
      <c r="AL164" s="56">
        <f t="shared" si="135"/>
        <v>0</v>
      </c>
      <c r="AM164" s="56">
        <f t="shared" si="135"/>
        <v>1.46049615</v>
      </c>
      <c r="AN164" s="56">
        <f t="shared" si="135"/>
        <v>2.190744225</v>
      </c>
    </row>
    <row r="165" spans="2:55" ht="15" x14ac:dyDescent="0.2">
      <c r="B165">
        <v>2038</v>
      </c>
      <c r="C165" t="s">
        <v>54</v>
      </c>
      <c r="D165" s="1" t="s">
        <v>347</v>
      </c>
      <c r="E165" t="s">
        <v>62</v>
      </c>
      <c r="F165">
        <v>8</v>
      </c>
      <c r="G165">
        <v>2.8900000000000002E-2</v>
      </c>
      <c r="H165" s="4" t="s">
        <v>235</v>
      </c>
      <c r="I165" t="s">
        <v>3</v>
      </c>
      <c r="J165" s="56">
        <f t="shared" si="107"/>
        <v>0</v>
      </c>
      <c r="K165" s="56">
        <f t="shared" si="107"/>
        <v>0</v>
      </c>
      <c r="L165" s="56">
        <f t="shared" si="107"/>
        <v>0</v>
      </c>
      <c r="M165" s="56">
        <f t="shared" si="107"/>
        <v>0</v>
      </c>
      <c r="N165" s="56">
        <f t="shared" si="107"/>
        <v>0</v>
      </c>
      <c r="O165" s="56">
        <f t="shared" si="107"/>
        <v>0</v>
      </c>
      <c r="P165" s="56">
        <f t="shared" si="107"/>
        <v>0</v>
      </c>
      <c r="Q165" s="56">
        <f t="shared" ref="Q165:AN165" si="136">Q126*$G165</f>
        <v>0</v>
      </c>
      <c r="R165" s="56">
        <f t="shared" si="136"/>
        <v>0</v>
      </c>
      <c r="S165" s="56">
        <f t="shared" si="136"/>
        <v>0</v>
      </c>
      <c r="T165" s="56">
        <f t="shared" si="136"/>
        <v>0</v>
      </c>
      <c r="U165" s="56">
        <f t="shared" si="136"/>
        <v>0</v>
      </c>
      <c r="V165" s="56">
        <f t="shared" si="136"/>
        <v>0</v>
      </c>
      <c r="W165" s="56">
        <f t="shared" si="136"/>
        <v>0</v>
      </c>
      <c r="X165" s="56">
        <f t="shared" si="136"/>
        <v>0</v>
      </c>
      <c r="Y165" s="56">
        <f t="shared" si="136"/>
        <v>0</v>
      </c>
      <c r="Z165" s="56">
        <f t="shared" si="136"/>
        <v>0</v>
      </c>
      <c r="AA165" s="56">
        <f t="shared" si="136"/>
        <v>0</v>
      </c>
      <c r="AB165" s="56">
        <f t="shared" si="136"/>
        <v>0</v>
      </c>
      <c r="AC165" s="56">
        <f t="shared" si="136"/>
        <v>0</v>
      </c>
      <c r="AD165" s="56">
        <f t="shared" si="136"/>
        <v>0</v>
      </c>
      <c r="AE165" s="56">
        <f t="shared" si="136"/>
        <v>0</v>
      </c>
      <c r="AF165" s="56">
        <f t="shared" si="136"/>
        <v>0</v>
      </c>
      <c r="AG165" s="56">
        <f t="shared" si="136"/>
        <v>0</v>
      </c>
      <c r="AH165" s="56">
        <f t="shared" si="136"/>
        <v>0</v>
      </c>
      <c r="AI165" s="56">
        <f t="shared" si="136"/>
        <v>0</v>
      </c>
      <c r="AJ165" s="56">
        <f t="shared" si="136"/>
        <v>0</v>
      </c>
      <c r="AK165" s="56">
        <f t="shared" si="136"/>
        <v>0</v>
      </c>
      <c r="AL165" s="56">
        <f t="shared" si="136"/>
        <v>0</v>
      </c>
      <c r="AM165" s="56">
        <f t="shared" si="136"/>
        <v>0</v>
      </c>
      <c r="AN165" s="56">
        <f t="shared" si="136"/>
        <v>0</v>
      </c>
    </row>
    <row r="166" spans="2:55" ht="15" x14ac:dyDescent="0.2">
      <c r="B166">
        <v>2038</v>
      </c>
      <c r="C166" t="s">
        <v>54</v>
      </c>
      <c r="D166" s="1" t="s">
        <v>348</v>
      </c>
      <c r="E166" t="s">
        <v>62</v>
      </c>
      <c r="F166">
        <v>6</v>
      </c>
      <c r="G166">
        <v>2.7046225E-2</v>
      </c>
      <c r="H166" s="4" t="s">
        <v>235</v>
      </c>
      <c r="I166" t="s">
        <v>3</v>
      </c>
      <c r="J166" s="56">
        <f t="shared" si="107"/>
        <v>0</v>
      </c>
      <c r="K166" s="56">
        <f t="shared" si="107"/>
        <v>0.730248075</v>
      </c>
      <c r="L166" s="56">
        <f t="shared" si="107"/>
        <v>0.730248075</v>
      </c>
      <c r="M166" s="56">
        <f t="shared" si="107"/>
        <v>0.730248075</v>
      </c>
      <c r="N166" s="56">
        <f t="shared" si="107"/>
        <v>0.730248075</v>
      </c>
      <c r="O166" s="56">
        <f t="shared" si="107"/>
        <v>0</v>
      </c>
      <c r="P166" s="56">
        <f t="shared" si="107"/>
        <v>0</v>
      </c>
      <c r="Q166" s="56">
        <f t="shared" ref="Q166:AN166" si="137">Q127*$G166</f>
        <v>0</v>
      </c>
      <c r="R166" s="56">
        <f t="shared" si="137"/>
        <v>0.730248075</v>
      </c>
      <c r="S166" s="56">
        <f t="shared" si="137"/>
        <v>0.730248075</v>
      </c>
      <c r="T166" s="56">
        <f t="shared" si="137"/>
        <v>0.730248075</v>
      </c>
      <c r="U166" s="56">
        <f t="shared" si="137"/>
        <v>0.730248075</v>
      </c>
      <c r="V166" s="56">
        <f t="shared" si="137"/>
        <v>0.730248075</v>
      </c>
      <c r="W166" s="56">
        <f t="shared" si="137"/>
        <v>0</v>
      </c>
      <c r="X166" s="56">
        <f t="shared" si="137"/>
        <v>0</v>
      </c>
      <c r="Y166" s="56">
        <f t="shared" si="137"/>
        <v>0.730248075</v>
      </c>
      <c r="Z166" s="56">
        <f t="shared" si="137"/>
        <v>0.730248075</v>
      </c>
      <c r="AA166" s="56">
        <f t="shared" si="137"/>
        <v>0.730248075</v>
      </c>
      <c r="AB166" s="56">
        <f t="shared" si="137"/>
        <v>0.730248075</v>
      </c>
      <c r="AC166" s="56">
        <f t="shared" si="137"/>
        <v>0.730248075</v>
      </c>
      <c r="AD166" s="56">
        <f t="shared" si="137"/>
        <v>0</v>
      </c>
      <c r="AE166" s="56">
        <f t="shared" si="137"/>
        <v>0</v>
      </c>
      <c r="AF166" s="56">
        <f t="shared" si="137"/>
        <v>0.730248075</v>
      </c>
      <c r="AG166" s="56">
        <f t="shared" si="137"/>
        <v>0.730248075</v>
      </c>
      <c r="AH166" s="56">
        <f t="shared" si="137"/>
        <v>0.730248075</v>
      </c>
      <c r="AI166" s="56">
        <f t="shared" si="137"/>
        <v>0.730248075</v>
      </c>
      <c r="AJ166" s="56">
        <f t="shared" si="137"/>
        <v>0.730248075</v>
      </c>
      <c r="AK166" s="56">
        <f t="shared" si="137"/>
        <v>0</v>
      </c>
      <c r="AL166" s="56">
        <f t="shared" si="137"/>
        <v>0</v>
      </c>
      <c r="AM166" s="56">
        <f t="shared" si="137"/>
        <v>0.730248075</v>
      </c>
      <c r="AN166" s="56">
        <f t="shared" si="137"/>
        <v>0.730248075</v>
      </c>
    </row>
    <row r="167" spans="2:55" ht="15" x14ac:dyDescent="0.2">
      <c r="B167">
        <v>2038</v>
      </c>
      <c r="C167" t="s">
        <v>54</v>
      </c>
      <c r="D167" s="1" t="s">
        <v>349</v>
      </c>
      <c r="E167" t="s">
        <v>18</v>
      </c>
      <c r="F167">
        <v>8</v>
      </c>
      <c r="G167">
        <v>1.1560000000000001E-2</v>
      </c>
      <c r="H167" s="4" t="s">
        <v>233</v>
      </c>
      <c r="I167" t="s">
        <v>3</v>
      </c>
      <c r="J167" s="56">
        <f t="shared" si="107"/>
        <v>0</v>
      </c>
      <c r="K167" s="56">
        <f t="shared" si="107"/>
        <v>1.1791200000000002</v>
      </c>
      <c r="L167" s="56">
        <f t="shared" si="107"/>
        <v>1.1791200000000002</v>
      </c>
      <c r="M167" s="56">
        <f t="shared" si="107"/>
        <v>1.1213200000000001</v>
      </c>
      <c r="N167" s="56">
        <f t="shared" si="107"/>
        <v>1.1791200000000002</v>
      </c>
      <c r="O167" s="56">
        <f t="shared" si="107"/>
        <v>1.1328800000000001</v>
      </c>
      <c r="P167" s="56">
        <f t="shared" si="107"/>
        <v>0</v>
      </c>
      <c r="Q167" s="56">
        <f t="shared" ref="Q167:AN167" si="138">Q128*$G167</f>
        <v>0</v>
      </c>
      <c r="R167" s="56">
        <f t="shared" si="138"/>
        <v>1.1791200000000002</v>
      </c>
      <c r="S167" s="56">
        <f t="shared" si="138"/>
        <v>1.1213200000000001</v>
      </c>
      <c r="T167" s="56">
        <f t="shared" si="138"/>
        <v>1.1213200000000001</v>
      </c>
      <c r="U167" s="56">
        <f t="shared" si="138"/>
        <v>1.1791200000000002</v>
      </c>
      <c r="V167" s="56">
        <f t="shared" si="138"/>
        <v>1.1213200000000001</v>
      </c>
      <c r="W167" s="56">
        <f t="shared" si="138"/>
        <v>0</v>
      </c>
      <c r="X167" s="56">
        <f t="shared" si="138"/>
        <v>0</v>
      </c>
      <c r="Y167" s="56">
        <f t="shared" si="138"/>
        <v>1.1906800000000002</v>
      </c>
      <c r="Z167" s="56">
        <f t="shared" si="138"/>
        <v>1.1791200000000002</v>
      </c>
      <c r="AA167" s="56">
        <f t="shared" si="138"/>
        <v>1.1213200000000001</v>
      </c>
      <c r="AB167" s="56">
        <f t="shared" si="138"/>
        <v>1.1906800000000002</v>
      </c>
      <c r="AC167" s="56">
        <f t="shared" si="138"/>
        <v>1.1213200000000001</v>
      </c>
      <c r="AD167" s="56">
        <f t="shared" si="138"/>
        <v>0</v>
      </c>
      <c r="AE167" s="56">
        <f t="shared" si="138"/>
        <v>0</v>
      </c>
      <c r="AF167" s="56">
        <f t="shared" si="138"/>
        <v>1.06352</v>
      </c>
      <c r="AG167" s="56">
        <f t="shared" si="138"/>
        <v>1.06352</v>
      </c>
      <c r="AH167" s="56">
        <f t="shared" si="138"/>
        <v>1.0057200000000002</v>
      </c>
      <c r="AI167" s="56">
        <f t="shared" si="138"/>
        <v>1.06352</v>
      </c>
      <c r="AJ167" s="56">
        <f t="shared" si="138"/>
        <v>1.0057200000000002</v>
      </c>
      <c r="AK167" s="56">
        <f t="shared" si="138"/>
        <v>0</v>
      </c>
      <c r="AL167" s="56">
        <f t="shared" si="138"/>
        <v>0</v>
      </c>
      <c r="AM167" s="56">
        <f t="shared" si="138"/>
        <v>0.82076000000000005</v>
      </c>
      <c r="AN167" s="56">
        <f t="shared" si="138"/>
        <v>0.82076000000000005</v>
      </c>
    </row>
    <row r="168" spans="2:55" ht="15" x14ac:dyDescent="0.2">
      <c r="B168">
        <v>2038</v>
      </c>
      <c r="C168" t="s">
        <v>54</v>
      </c>
      <c r="D168" s="1" t="s">
        <v>350</v>
      </c>
      <c r="E168" t="s">
        <v>18</v>
      </c>
      <c r="F168">
        <v>30</v>
      </c>
      <c r="G168">
        <v>0.152</v>
      </c>
      <c r="H168" s="4" t="s">
        <v>237</v>
      </c>
      <c r="I168" t="s">
        <v>3</v>
      </c>
      <c r="J168" s="56">
        <f t="shared" si="107"/>
        <v>0</v>
      </c>
      <c r="K168" s="56">
        <f t="shared" si="107"/>
        <v>0</v>
      </c>
      <c r="L168" s="56">
        <f t="shared" si="107"/>
        <v>1.52</v>
      </c>
      <c r="M168" s="56">
        <f t="shared" si="107"/>
        <v>1.52</v>
      </c>
      <c r="N168" s="56">
        <f t="shared" si="107"/>
        <v>1.52</v>
      </c>
      <c r="O168" s="56">
        <f t="shared" si="107"/>
        <v>1.52</v>
      </c>
      <c r="P168" s="56">
        <f t="shared" si="107"/>
        <v>0</v>
      </c>
      <c r="Q168" s="56">
        <f t="shared" ref="Q168:AN168" si="139">Q129*$G168</f>
        <v>0</v>
      </c>
      <c r="R168" s="56">
        <f t="shared" si="139"/>
        <v>1.216</v>
      </c>
      <c r="S168" s="56">
        <f t="shared" si="139"/>
        <v>1.216</v>
      </c>
      <c r="T168" s="56">
        <f t="shared" si="139"/>
        <v>1.52</v>
      </c>
      <c r="U168" s="56">
        <f t="shared" si="139"/>
        <v>0</v>
      </c>
      <c r="V168" s="56">
        <f t="shared" si="139"/>
        <v>1.52</v>
      </c>
      <c r="W168" s="56">
        <f t="shared" si="139"/>
        <v>0</v>
      </c>
      <c r="X168" s="56">
        <f t="shared" si="139"/>
        <v>0</v>
      </c>
      <c r="Y168" s="56">
        <f t="shared" si="139"/>
        <v>1.216</v>
      </c>
      <c r="Z168" s="56">
        <f t="shared" si="139"/>
        <v>1.52</v>
      </c>
      <c r="AA168" s="56">
        <f t="shared" si="139"/>
        <v>0</v>
      </c>
      <c r="AB168" s="56">
        <f t="shared" si="139"/>
        <v>1.216</v>
      </c>
      <c r="AC168" s="56">
        <f t="shared" si="139"/>
        <v>1.52</v>
      </c>
      <c r="AD168" s="56">
        <f t="shared" si="139"/>
        <v>0</v>
      </c>
      <c r="AE168" s="56">
        <f t="shared" si="139"/>
        <v>0</v>
      </c>
      <c r="AF168" s="56">
        <f t="shared" si="139"/>
        <v>1.52</v>
      </c>
      <c r="AG168" s="56">
        <f t="shared" si="139"/>
        <v>2.4319999999999999</v>
      </c>
      <c r="AH168" s="56">
        <f t="shared" si="139"/>
        <v>2.1280000000000001</v>
      </c>
      <c r="AI168" s="56">
        <f t="shared" si="139"/>
        <v>0</v>
      </c>
      <c r="AJ168" s="56">
        <f t="shared" si="139"/>
        <v>2.4319999999999999</v>
      </c>
      <c r="AK168" s="56">
        <f t="shared" si="139"/>
        <v>0</v>
      </c>
      <c r="AL168" s="56">
        <f t="shared" si="139"/>
        <v>0</v>
      </c>
      <c r="AM168" s="56">
        <f t="shared" si="139"/>
        <v>1.52</v>
      </c>
      <c r="AN168" s="56">
        <f t="shared" si="139"/>
        <v>4.1040000000000001</v>
      </c>
    </row>
    <row r="169" spans="2:55" ht="15" x14ac:dyDescent="0.2">
      <c r="B169">
        <v>2038</v>
      </c>
      <c r="C169" t="s">
        <v>54</v>
      </c>
      <c r="D169" s="1" t="s">
        <v>351</v>
      </c>
      <c r="E169" t="s">
        <v>18</v>
      </c>
      <c r="F169">
        <v>30</v>
      </c>
      <c r="G169">
        <v>0.152</v>
      </c>
      <c r="H169" s="4" t="s">
        <v>237</v>
      </c>
      <c r="I169" t="s">
        <v>3</v>
      </c>
      <c r="J169" s="56">
        <f t="shared" si="107"/>
        <v>0</v>
      </c>
      <c r="K169" s="56">
        <f t="shared" si="107"/>
        <v>4.2560000000000002</v>
      </c>
      <c r="L169" s="56">
        <f t="shared" si="107"/>
        <v>1.52</v>
      </c>
      <c r="M169" s="56">
        <f t="shared" si="107"/>
        <v>1.52</v>
      </c>
      <c r="N169" s="56">
        <f t="shared" si="107"/>
        <v>2.8879999999999999</v>
      </c>
      <c r="O169" s="56">
        <f t="shared" si="107"/>
        <v>0</v>
      </c>
      <c r="P169" s="56">
        <f t="shared" si="107"/>
        <v>0</v>
      </c>
      <c r="Q169" s="56">
        <f t="shared" ref="Q169:AN169" si="140">Q130*$G169</f>
        <v>0</v>
      </c>
      <c r="R169" s="56">
        <f t="shared" si="140"/>
        <v>2.2799999999999998</v>
      </c>
      <c r="S169" s="56">
        <f t="shared" si="140"/>
        <v>2.7359999999999998</v>
      </c>
      <c r="T169" s="56">
        <f t="shared" si="140"/>
        <v>1.52</v>
      </c>
      <c r="U169" s="56">
        <f t="shared" si="140"/>
        <v>3.496</v>
      </c>
      <c r="V169" s="56">
        <f t="shared" si="140"/>
        <v>1.52</v>
      </c>
      <c r="W169" s="56">
        <f t="shared" si="140"/>
        <v>0</v>
      </c>
      <c r="X169" s="56">
        <f t="shared" si="140"/>
        <v>0</v>
      </c>
      <c r="Y169" s="56">
        <f t="shared" si="140"/>
        <v>2.4319999999999999</v>
      </c>
      <c r="Z169" s="56">
        <f t="shared" si="140"/>
        <v>0.91199999999999992</v>
      </c>
      <c r="AA169" s="56">
        <f t="shared" si="140"/>
        <v>2.4319999999999999</v>
      </c>
      <c r="AB169" s="56">
        <f t="shared" si="140"/>
        <v>2.4319999999999999</v>
      </c>
      <c r="AC169" s="56">
        <f t="shared" si="140"/>
        <v>2.4319999999999999</v>
      </c>
      <c r="AD169" s="56">
        <f t="shared" si="140"/>
        <v>0</v>
      </c>
      <c r="AE169" s="56">
        <f t="shared" si="140"/>
        <v>0</v>
      </c>
      <c r="AF169" s="56">
        <f t="shared" si="140"/>
        <v>2.7359999999999998</v>
      </c>
      <c r="AG169" s="56">
        <f t="shared" si="140"/>
        <v>1.216</v>
      </c>
      <c r="AH169" s="56">
        <f t="shared" si="140"/>
        <v>1.52</v>
      </c>
      <c r="AI169" s="56">
        <f t="shared" si="140"/>
        <v>2.8879999999999999</v>
      </c>
      <c r="AJ169" s="56">
        <f t="shared" si="140"/>
        <v>1.8239999999999998</v>
      </c>
      <c r="AK169" s="56">
        <f t="shared" si="140"/>
        <v>0</v>
      </c>
      <c r="AL169" s="56">
        <f t="shared" si="140"/>
        <v>0</v>
      </c>
      <c r="AM169" s="56">
        <f t="shared" si="140"/>
        <v>2.7359999999999998</v>
      </c>
      <c r="AN169" s="56">
        <f t="shared" si="140"/>
        <v>0</v>
      </c>
    </row>
    <row r="170" spans="2:55" ht="15" x14ac:dyDescent="0.2">
      <c r="B170">
        <v>2038</v>
      </c>
      <c r="C170" t="s">
        <v>54</v>
      </c>
      <c r="D170" s="1" t="s">
        <v>352</v>
      </c>
      <c r="E170" t="s">
        <v>18</v>
      </c>
      <c r="F170">
        <v>30</v>
      </c>
      <c r="G170">
        <v>0.152</v>
      </c>
      <c r="H170" s="4" t="s">
        <v>237</v>
      </c>
      <c r="I170" t="s">
        <v>3</v>
      </c>
      <c r="J170" s="56">
        <f t="shared" si="107"/>
        <v>0</v>
      </c>
      <c r="K170" s="56">
        <f t="shared" si="107"/>
        <v>0</v>
      </c>
      <c r="L170" s="56">
        <f t="shared" si="107"/>
        <v>0</v>
      </c>
      <c r="M170" s="56">
        <f t="shared" si="107"/>
        <v>0</v>
      </c>
      <c r="N170" s="56">
        <f t="shared" si="107"/>
        <v>0</v>
      </c>
      <c r="O170" s="56">
        <f t="shared" si="107"/>
        <v>1.52</v>
      </c>
      <c r="P170" s="56">
        <f t="shared" si="107"/>
        <v>0</v>
      </c>
      <c r="Q170" s="56">
        <f t="shared" ref="Q170:AN170" si="141">Q131*$G170</f>
        <v>0</v>
      </c>
      <c r="R170" s="56">
        <f t="shared" si="141"/>
        <v>0</v>
      </c>
      <c r="S170" s="56">
        <f t="shared" si="141"/>
        <v>1.0640000000000001</v>
      </c>
      <c r="T170" s="56">
        <f t="shared" si="141"/>
        <v>0</v>
      </c>
      <c r="U170" s="56">
        <f t="shared" si="141"/>
        <v>0</v>
      </c>
      <c r="V170" s="56">
        <f t="shared" si="141"/>
        <v>0</v>
      </c>
      <c r="W170" s="56">
        <f t="shared" si="141"/>
        <v>0</v>
      </c>
      <c r="X170" s="56">
        <f t="shared" si="141"/>
        <v>0</v>
      </c>
      <c r="Y170" s="56">
        <f t="shared" si="141"/>
        <v>0</v>
      </c>
      <c r="Z170" s="56">
        <f t="shared" si="141"/>
        <v>1.976</v>
      </c>
      <c r="AA170" s="56">
        <f t="shared" si="141"/>
        <v>0</v>
      </c>
      <c r="AB170" s="56">
        <f t="shared" si="141"/>
        <v>0</v>
      </c>
      <c r="AC170" s="56">
        <f t="shared" si="141"/>
        <v>0</v>
      </c>
      <c r="AD170" s="56">
        <f t="shared" si="141"/>
        <v>0</v>
      </c>
      <c r="AE170" s="56">
        <f t="shared" si="141"/>
        <v>0</v>
      </c>
      <c r="AF170" s="56">
        <f t="shared" si="141"/>
        <v>1.52</v>
      </c>
      <c r="AG170" s="56">
        <f t="shared" si="141"/>
        <v>0</v>
      </c>
      <c r="AH170" s="56">
        <f t="shared" si="141"/>
        <v>0</v>
      </c>
      <c r="AI170" s="56">
        <f t="shared" si="141"/>
        <v>0</v>
      </c>
      <c r="AJ170" s="56">
        <f t="shared" si="141"/>
        <v>0</v>
      </c>
      <c r="AK170" s="56">
        <f t="shared" si="141"/>
        <v>0</v>
      </c>
      <c r="AL170" s="56">
        <f t="shared" si="141"/>
        <v>0</v>
      </c>
      <c r="AM170" s="56">
        <f t="shared" si="141"/>
        <v>1.52</v>
      </c>
      <c r="AN170" s="56">
        <f t="shared" si="141"/>
        <v>0</v>
      </c>
    </row>
    <row r="171" spans="2:55" ht="15" x14ac:dyDescent="0.2">
      <c r="I171" s="62" t="s">
        <v>240</v>
      </c>
      <c r="J171" s="61">
        <f>SUBTOTAL(109,J136:J170)</f>
        <v>0</v>
      </c>
      <c r="K171" s="61">
        <f t="shared" ref="K171:AN171" si="142">SUBTOTAL(109,K136:K170)</f>
        <v>90.479626200000013</v>
      </c>
      <c r="L171" s="61">
        <f t="shared" si="142"/>
        <v>88.607116200000021</v>
      </c>
      <c r="M171" s="61">
        <f t="shared" si="142"/>
        <v>84.537916200000026</v>
      </c>
      <c r="N171" s="61">
        <f t="shared" si="142"/>
        <v>89.389368125000033</v>
      </c>
      <c r="O171" s="61">
        <f t="shared" si="142"/>
        <v>82.555385050000027</v>
      </c>
      <c r="P171" s="61">
        <f t="shared" si="142"/>
        <v>0</v>
      </c>
      <c r="Q171" s="61">
        <f t="shared" si="142"/>
        <v>0</v>
      </c>
      <c r="R171" s="61">
        <f t="shared" si="142"/>
        <v>89.692166200000017</v>
      </c>
      <c r="S171" s="61">
        <f t="shared" si="142"/>
        <v>86.31207337500004</v>
      </c>
      <c r="T171" s="61">
        <f t="shared" si="142"/>
        <v>84.443911200000016</v>
      </c>
      <c r="U171" s="61">
        <f t="shared" si="142"/>
        <v>89.250392125000019</v>
      </c>
      <c r="V171" s="61">
        <f t="shared" si="142"/>
        <v>84.512281200000018</v>
      </c>
      <c r="W171" s="61">
        <f t="shared" si="142"/>
        <v>0</v>
      </c>
      <c r="X171" s="61">
        <f t="shared" si="142"/>
        <v>0</v>
      </c>
      <c r="Y171" s="61">
        <f t="shared" si="142"/>
        <v>90.983721775000021</v>
      </c>
      <c r="Z171" s="61">
        <f t="shared" si="142"/>
        <v>90.775795575000004</v>
      </c>
      <c r="AA171" s="61">
        <f t="shared" si="142"/>
        <v>83.945403050000039</v>
      </c>
      <c r="AB171" s="61">
        <f t="shared" si="142"/>
        <v>89.532129700000013</v>
      </c>
      <c r="AC171" s="61">
        <f t="shared" si="142"/>
        <v>84.902857200000028</v>
      </c>
      <c r="AD171" s="61">
        <f t="shared" si="142"/>
        <v>0</v>
      </c>
      <c r="AE171" s="61">
        <f t="shared" si="142"/>
        <v>0</v>
      </c>
      <c r="AF171" s="61">
        <f t="shared" si="142"/>
        <v>92.944317775000044</v>
      </c>
      <c r="AG171" s="61">
        <f t="shared" si="142"/>
        <v>90.100479950000022</v>
      </c>
      <c r="AH171" s="61">
        <f t="shared" si="142"/>
        <v>84.653826200000026</v>
      </c>
      <c r="AI171" s="61">
        <f t="shared" si="142"/>
        <v>89.700663275000039</v>
      </c>
      <c r="AJ171" s="61">
        <f t="shared" si="142"/>
        <v>85.441484700000018</v>
      </c>
      <c r="AK171" s="61">
        <f t="shared" si="142"/>
        <v>0</v>
      </c>
      <c r="AL171" s="61">
        <f t="shared" si="142"/>
        <v>0</v>
      </c>
      <c r="AM171" s="61">
        <f t="shared" si="142"/>
        <v>91.914189700000023</v>
      </c>
      <c r="AN171" s="61">
        <f t="shared" si="142"/>
        <v>90.405660275000031</v>
      </c>
    </row>
    <row r="175" spans="2:55" ht="15" x14ac:dyDescent="0.2">
      <c r="B175" s="3" t="s">
        <v>243</v>
      </c>
    </row>
    <row r="176" spans="2:55" x14ac:dyDescent="0.2">
      <c r="G176">
        <v>20231002</v>
      </c>
      <c r="H176">
        <v>20231002</v>
      </c>
      <c r="I176">
        <v>20231002</v>
      </c>
      <c r="J176">
        <v>20231002</v>
      </c>
      <c r="K176">
        <v>20231003</v>
      </c>
      <c r="L176">
        <v>20231003</v>
      </c>
      <c r="M176">
        <v>20231003</v>
      </c>
      <c r="N176">
        <v>20231003</v>
      </c>
      <c r="O176">
        <v>20231004</v>
      </c>
      <c r="P176">
        <v>20231004</v>
      </c>
      <c r="Q176">
        <v>20231004</v>
      </c>
      <c r="R176">
        <v>20231004</v>
      </c>
      <c r="S176">
        <v>20231005</v>
      </c>
      <c r="T176">
        <v>20231005</v>
      </c>
      <c r="U176">
        <v>20231005</v>
      </c>
      <c r="V176">
        <v>20231005</v>
      </c>
      <c r="W176">
        <v>20231006</v>
      </c>
      <c r="X176">
        <v>20231006</v>
      </c>
      <c r="Y176">
        <v>20231006</v>
      </c>
      <c r="Z176">
        <v>20231006</v>
      </c>
      <c r="AA176">
        <v>20231009</v>
      </c>
      <c r="AB176">
        <v>20231009</v>
      </c>
      <c r="AC176">
        <v>20231009</v>
      </c>
      <c r="AD176">
        <v>20231009</v>
      </c>
      <c r="AE176">
        <v>20231010</v>
      </c>
      <c r="AF176">
        <v>20231010</v>
      </c>
      <c r="AG176">
        <v>20231010</v>
      </c>
      <c r="AH176">
        <v>20231010</v>
      </c>
      <c r="AI176">
        <v>20231011</v>
      </c>
      <c r="AJ176">
        <v>20231011</v>
      </c>
      <c r="AK176">
        <v>20231011</v>
      </c>
      <c r="AL176">
        <v>20231011</v>
      </c>
      <c r="AM176">
        <v>20231012</v>
      </c>
      <c r="AN176">
        <v>20231012</v>
      </c>
      <c r="AO176">
        <v>20231012</v>
      </c>
      <c r="AP176">
        <v>20231012</v>
      </c>
      <c r="AQ176">
        <v>20231013</v>
      </c>
      <c r="AR176">
        <v>20231013</v>
      </c>
      <c r="AS176">
        <v>20231013</v>
      </c>
      <c r="AT176">
        <v>20231013</v>
      </c>
      <c r="AU176">
        <v>20231016</v>
      </c>
      <c r="AV176">
        <v>20231016</v>
      </c>
      <c r="AW176">
        <v>20231016</v>
      </c>
      <c r="AX176">
        <v>20231016</v>
      </c>
      <c r="AY176">
        <v>20231017</v>
      </c>
      <c r="AZ176">
        <v>20231017</v>
      </c>
      <c r="BA176">
        <v>20231017</v>
      </c>
      <c r="BB176">
        <v>20231017</v>
      </c>
      <c r="BC176" t="s">
        <v>241</v>
      </c>
    </row>
    <row r="177" spans="2:55" x14ac:dyDescent="0.2">
      <c r="B177" t="s">
        <v>89</v>
      </c>
      <c r="C177" t="s">
        <v>225</v>
      </c>
      <c r="D177" t="s">
        <v>21</v>
      </c>
      <c r="E177" t="s">
        <v>242</v>
      </c>
      <c r="F177" t="s">
        <v>1</v>
      </c>
      <c r="G177">
        <v>1</v>
      </c>
      <c r="H177">
        <v>2</v>
      </c>
      <c r="I177">
        <v>3</v>
      </c>
      <c r="J177">
        <v>4</v>
      </c>
      <c r="K177">
        <v>1</v>
      </c>
      <c r="L177">
        <v>2</v>
      </c>
      <c r="M177">
        <v>3</v>
      </c>
      <c r="N177">
        <v>4</v>
      </c>
      <c r="O177">
        <v>1</v>
      </c>
      <c r="P177">
        <v>2</v>
      </c>
      <c r="Q177">
        <v>3</v>
      </c>
      <c r="R177">
        <v>4</v>
      </c>
      <c r="S177">
        <v>1</v>
      </c>
      <c r="T177">
        <v>2</v>
      </c>
      <c r="U177">
        <v>3</v>
      </c>
      <c r="V177">
        <v>4</v>
      </c>
      <c r="W177">
        <v>1</v>
      </c>
      <c r="X177">
        <v>2</v>
      </c>
      <c r="Y177">
        <v>3</v>
      </c>
      <c r="Z177">
        <v>4</v>
      </c>
      <c r="AA177">
        <v>1</v>
      </c>
      <c r="AB177">
        <v>2</v>
      </c>
      <c r="AC177">
        <v>3</v>
      </c>
      <c r="AD177">
        <v>4</v>
      </c>
      <c r="AE177">
        <v>1</v>
      </c>
      <c r="AF177">
        <v>2</v>
      </c>
      <c r="AG177">
        <v>3</v>
      </c>
      <c r="AH177">
        <v>4</v>
      </c>
      <c r="AI177">
        <v>1</v>
      </c>
      <c r="AJ177">
        <v>2</v>
      </c>
      <c r="AK177">
        <v>3</v>
      </c>
      <c r="AL177">
        <v>4</v>
      </c>
      <c r="AM177">
        <v>1</v>
      </c>
      <c r="AN177">
        <v>2</v>
      </c>
      <c r="AO177">
        <v>3</v>
      </c>
      <c r="AP177">
        <v>4</v>
      </c>
      <c r="AQ177">
        <v>1</v>
      </c>
      <c r="AR177">
        <v>2</v>
      </c>
      <c r="AS177">
        <v>3</v>
      </c>
      <c r="AT177">
        <v>4</v>
      </c>
      <c r="AU177">
        <v>1</v>
      </c>
      <c r="AV177">
        <v>2</v>
      </c>
      <c r="AW177">
        <v>3</v>
      </c>
      <c r="AX177">
        <v>4</v>
      </c>
      <c r="AY177">
        <v>1</v>
      </c>
      <c r="AZ177">
        <v>2</v>
      </c>
      <c r="BA177">
        <v>3</v>
      </c>
      <c r="BB177">
        <v>4</v>
      </c>
    </row>
    <row r="178" spans="2:55" x14ac:dyDescent="0.2">
      <c r="B178">
        <v>6.6300000000000012E-2</v>
      </c>
      <c r="C178" t="s">
        <v>230</v>
      </c>
      <c r="D178" t="s">
        <v>323</v>
      </c>
      <c r="E178" t="s">
        <v>16</v>
      </c>
      <c r="F178">
        <v>2</v>
      </c>
      <c r="G178">
        <v>90</v>
      </c>
      <c r="H178">
        <v>90</v>
      </c>
      <c r="I178">
        <v>90</v>
      </c>
      <c r="J178">
        <v>72</v>
      </c>
      <c r="K178">
        <v>90</v>
      </c>
      <c r="L178">
        <v>72</v>
      </c>
      <c r="M178">
        <v>90</v>
      </c>
      <c r="N178">
        <v>90</v>
      </c>
      <c r="O178">
        <v>72</v>
      </c>
      <c r="P178">
        <v>90</v>
      </c>
      <c r="Q178">
        <v>90</v>
      </c>
      <c r="R178">
        <v>72</v>
      </c>
      <c r="S178">
        <v>90</v>
      </c>
      <c r="T178">
        <v>72</v>
      </c>
      <c r="U178">
        <v>72</v>
      </c>
      <c r="V178">
        <v>54</v>
      </c>
      <c r="W178">
        <v>90</v>
      </c>
      <c r="X178">
        <v>72</v>
      </c>
      <c r="Y178">
        <v>90</v>
      </c>
      <c r="Z178">
        <v>72</v>
      </c>
      <c r="AA178">
        <v>90</v>
      </c>
      <c r="AB178">
        <v>90</v>
      </c>
      <c r="AC178">
        <v>72</v>
      </c>
      <c r="AD178">
        <v>90</v>
      </c>
      <c r="AE178">
        <v>54</v>
      </c>
      <c r="AF178">
        <v>72</v>
      </c>
      <c r="AG178">
        <v>90</v>
      </c>
      <c r="AH178">
        <v>90</v>
      </c>
      <c r="AI178">
        <v>54</v>
      </c>
      <c r="AJ178">
        <v>72</v>
      </c>
      <c r="AK178">
        <v>90</v>
      </c>
      <c r="AL178">
        <v>72</v>
      </c>
      <c r="AM178">
        <v>90</v>
      </c>
      <c r="AN178">
        <v>72</v>
      </c>
      <c r="AO178">
        <v>90</v>
      </c>
      <c r="AP178">
        <v>90</v>
      </c>
      <c r="AQ178">
        <v>72</v>
      </c>
      <c r="AR178">
        <v>72</v>
      </c>
      <c r="AS178">
        <v>90</v>
      </c>
      <c r="AT178">
        <v>72</v>
      </c>
      <c r="AU178">
        <v>90</v>
      </c>
      <c r="AV178">
        <v>90</v>
      </c>
      <c r="AW178">
        <v>72</v>
      </c>
      <c r="AX178">
        <v>90</v>
      </c>
      <c r="AY178">
        <v>72</v>
      </c>
      <c r="AZ178">
        <v>72</v>
      </c>
      <c r="BA178">
        <v>108</v>
      </c>
      <c r="BB178">
        <v>90</v>
      </c>
      <c r="BC178">
        <v>3888</v>
      </c>
    </row>
    <row r="179" spans="2:55" x14ac:dyDescent="0.2">
      <c r="B179">
        <v>5.6100000000000004E-2</v>
      </c>
      <c r="C179" t="s">
        <v>230</v>
      </c>
      <c r="D179" t="s">
        <v>324</v>
      </c>
      <c r="E179" t="s">
        <v>16</v>
      </c>
      <c r="F179">
        <v>2</v>
      </c>
      <c r="G179">
        <v>6</v>
      </c>
      <c r="H179">
        <v>6</v>
      </c>
      <c r="I179">
        <v>5</v>
      </c>
      <c r="J179">
        <v>3</v>
      </c>
      <c r="K179">
        <v>5</v>
      </c>
      <c r="L179">
        <v>4</v>
      </c>
      <c r="M179">
        <v>6</v>
      </c>
      <c r="N179">
        <v>6</v>
      </c>
      <c r="O179">
        <v>6</v>
      </c>
      <c r="P179">
        <v>4</v>
      </c>
      <c r="Q179">
        <v>6</v>
      </c>
      <c r="R179">
        <v>4</v>
      </c>
      <c r="S179">
        <v>4</v>
      </c>
      <c r="T179">
        <v>6</v>
      </c>
      <c r="U179">
        <v>4</v>
      </c>
      <c r="V179">
        <v>4</v>
      </c>
      <c r="W179">
        <v>6</v>
      </c>
      <c r="X179">
        <v>6</v>
      </c>
      <c r="Y179">
        <v>4</v>
      </c>
      <c r="Z179">
        <v>6</v>
      </c>
      <c r="AA179">
        <v>4</v>
      </c>
      <c r="AB179">
        <v>6</v>
      </c>
      <c r="AC179">
        <v>6</v>
      </c>
      <c r="AD179">
        <v>6</v>
      </c>
      <c r="AE179">
        <v>2</v>
      </c>
      <c r="AF179">
        <v>6</v>
      </c>
      <c r="AG179">
        <v>4</v>
      </c>
      <c r="AH179">
        <v>6</v>
      </c>
      <c r="AI179">
        <v>6</v>
      </c>
      <c r="AJ179">
        <v>4</v>
      </c>
      <c r="AK179">
        <v>4</v>
      </c>
      <c r="AL179">
        <v>6</v>
      </c>
      <c r="AM179">
        <v>6</v>
      </c>
      <c r="AN179">
        <v>6</v>
      </c>
      <c r="AO179">
        <v>4</v>
      </c>
      <c r="AP179">
        <v>6</v>
      </c>
      <c r="AQ179">
        <v>6</v>
      </c>
      <c r="AR179">
        <v>4</v>
      </c>
      <c r="AS179">
        <v>4</v>
      </c>
      <c r="AT179">
        <v>6</v>
      </c>
      <c r="AU179">
        <v>4</v>
      </c>
      <c r="AV179">
        <v>6</v>
      </c>
      <c r="AW179">
        <v>4</v>
      </c>
      <c r="AX179">
        <v>6</v>
      </c>
      <c r="AY179">
        <v>4</v>
      </c>
      <c r="AZ179">
        <v>6</v>
      </c>
      <c r="BA179">
        <v>4</v>
      </c>
      <c r="BB179">
        <v>6</v>
      </c>
      <c r="BC179">
        <v>243</v>
      </c>
    </row>
    <row r="180" spans="2:55" x14ac:dyDescent="0.2">
      <c r="B180">
        <v>1.6750000000000001E-2</v>
      </c>
      <c r="C180" t="s">
        <v>202</v>
      </c>
      <c r="D180" t="s">
        <v>335</v>
      </c>
      <c r="E180" t="s">
        <v>18</v>
      </c>
      <c r="F180">
        <v>15</v>
      </c>
      <c r="G180">
        <v>29</v>
      </c>
      <c r="H180">
        <v>29</v>
      </c>
      <c r="I180">
        <v>6</v>
      </c>
      <c r="J180">
        <v>14</v>
      </c>
      <c r="K180">
        <v>16</v>
      </c>
      <c r="L180">
        <v>28</v>
      </c>
      <c r="M180">
        <v>28</v>
      </c>
      <c r="N180">
        <v>24</v>
      </c>
      <c r="O180">
        <v>28</v>
      </c>
      <c r="P180">
        <v>28</v>
      </c>
      <c r="Q180">
        <v>20</v>
      </c>
      <c r="R180">
        <v>28</v>
      </c>
      <c r="S180">
        <v>28</v>
      </c>
      <c r="T180">
        <v>24</v>
      </c>
      <c r="U180">
        <v>16</v>
      </c>
      <c r="V180">
        <v>28</v>
      </c>
      <c r="W180">
        <v>28</v>
      </c>
      <c r="X180">
        <v>28</v>
      </c>
      <c r="Y180">
        <v>28</v>
      </c>
      <c r="Z180">
        <v>28</v>
      </c>
      <c r="AA180">
        <v>28</v>
      </c>
      <c r="AB180">
        <v>28</v>
      </c>
      <c r="AC180">
        <v>12</v>
      </c>
      <c r="AD180">
        <v>28</v>
      </c>
      <c r="AE180">
        <v>20</v>
      </c>
      <c r="AF180">
        <v>28</v>
      </c>
      <c r="AG180">
        <v>28</v>
      </c>
      <c r="AH180">
        <v>28</v>
      </c>
      <c r="AI180">
        <v>28</v>
      </c>
      <c r="AJ180">
        <v>28</v>
      </c>
      <c r="AK180">
        <v>20</v>
      </c>
      <c r="AL180">
        <v>28</v>
      </c>
      <c r="AM180">
        <v>20</v>
      </c>
      <c r="AN180">
        <v>16</v>
      </c>
      <c r="AO180">
        <v>28</v>
      </c>
      <c r="AP180">
        <v>28</v>
      </c>
      <c r="AQ180">
        <v>24</v>
      </c>
      <c r="AR180">
        <v>16</v>
      </c>
      <c r="AS180">
        <v>28</v>
      </c>
      <c r="AT180">
        <v>28</v>
      </c>
      <c r="AU180">
        <v>24</v>
      </c>
      <c r="AV180">
        <v>28</v>
      </c>
      <c r="AW180">
        <v>20</v>
      </c>
      <c r="AX180">
        <v>28</v>
      </c>
      <c r="AY180">
        <v>20</v>
      </c>
      <c r="AZ180">
        <v>16</v>
      </c>
      <c r="BA180">
        <v>28</v>
      </c>
      <c r="BB180">
        <v>28</v>
      </c>
      <c r="BC180">
        <v>1170</v>
      </c>
    </row>
    <row r="181" spans="2:55" x14ac:dyDescent="0.2">
      <c r="B181">
        <v>1.12225E-2</v>
      </c>
      <c r="C181" t="s">
        <v>233</v>
      </c>
      <c r="D181" t="s">
        <v>342</v>
      </c>
      <c r="E181" t="s">
        <v>18</v>
      </c>
      <c r="F181">
        <v>8</v>
      </c>
      <c r="G181">
        <v>7</v>
      </c>
      <c r="H181">
        <v>7</v>
      </c>
      <c r="I181">
        <v>5</v>
      </c>
      <c r="J181">
        <v>7</v>
      </c>
      <c r="K181">
        <v>3</v>
      </c>
      <c r="L181">
        <v>3</v>
      </c>
      <c r="M181">
        <v>3</v>
      </c>
      <c r="N181">
        <v>3</v>
      </c>
      <c r="O181">
        <v>6</v>
      </c>
      <c r="P181">
        <v>8</v>
      </c>
      <c r="Q181">
        <v>8</v>
      </c>
      <c r="R181">
        <v>8</v>
      </c>
      <c r="S181">
        <v>8</v>
      </c>
      <c r="T181">
        <v>8</v>
      </c>
      <c r="U181">
        <v>8</v>
      </c>
      <c r="V181">
        <v>8</v>
      </c>
      <c r="W181">
        <v>8</v>
      </c>
      <c r="X181">
        <v>8</v>
      </c>
      <c r="Y181">
        <v>8</v>
      </c>
      <c r="Z181">
        <v>8</v>
      </c>
      <c r="AA181">
        <v>8</v>
      </c>
      <c r="AB181">
        <v>8</v>
      </c>
      <c r="AC181">
        <v>8</v>
      </c>
      <c r="AD181">
        <v>8</v>
      </c>
      <c r="AE181">
        <v>8</v>
      </c>
      <c r="AF181">
        <v>8</v>
      </c>
      <c r="AG181">
        <v>8</v>
      </c>
      <c r="AH181">
        <v>8</v>
      </c>
      <c r="AI181">
        <v>8</v>
      </c>
      <c r="AJ181">
        <v>8</v>
      </c>
      <c r="AK181">
        <v>8</v>
      </c>
      <c r="AL181">
        <v>8</v>
      </c>
      <c r="AM181">
        <v>8</v>
      </c>
      <c r="AN181">
        <v>8</v>
      </c>
      <c r="AO181">
        <v>8</v>
      </c>
      <c r="AP181">
        <v>8</v>
      </c>
      <c r="AQ181">
        <v>8</v>
      </c>
      <c r="AR181">
        <v>8</v>
      </c>
      <c r="AS181">
        <v>8</v>
      </c>
      <c r="AT181">
        <v>8</v>
      </c>
      <c r="AU181">
        <v>8</v>
      </c>
      <c r="AV181">
        <v>8</v>
      </c>
      <c r="AW181">
        <v>7</v>
      </c>
      <c r="AX181">
        <v>7</v>
      </c>
      <c r="AY181">
        <v>6</v>
      </c>
      <c r="AZ181">
        <v>7</v>
      </c>
      <c r="BA181">
        <v>7</v>
      </c>
      <c r="BB181">
        <v>7</v>
      </c>
      <c r="BC181">
        <v>349</v>
      </c>
    </row>
    <row r="182" spans="2:55" x14ac:dyDescent="0.2">
      <c r="B182">
        <v>1.12225E-2</v>
      </c>
      <c r="C182" t="s">
        <v>233</v>
      </c>
      <c r="D182" t="s">
        <v>343</v>
      </c>
      <c r="E182" t="s">
        <v>18</v>
      </c>
      <c r="F182">
        <v>8</v>
      </c>
      <c r="G182">
        <v>12</v>
      </c>
      <c r="H182">
        <v>12</v>
      </c>
      <c r="I182">
        <v>7</v>
      </c>
      <c r="K182">
        <v>9</v>
      </c>
      <c r="L182">
        <v>11</v>
      </c>
      <c r="M182">
        <v>9</v>
      </c>
      <c r="N182">
        <v>13</v>
      </c>
      <c r="O182">
        <v>13</v>
      </c>
      <c r="P182">
        <v>12</v>
      </c>
      <c r="Q182">
        <v>13</v>
      </c>
      <c r="R182">
        <v>13</v>
      </c>
      <c r="S182">
        <v>13</v>
      </c>
      <c r="T182">
        <v>12</v>
      </c>
      <c r="U182">
        <v>13</v>
      </c>
      <c r="V182">
        <v>13</v>
      </c>
      <c r="W182">
        <v>13</v>
      </c>
      <c r="X182">
        <v>12</v>
      </c>
      <c r="Y182">
        <v>14</v>
      </c>
      <c r="Z182">
        <v>13</v>
      </c>
      <c r="AA182">
        <v>14</v>
      </c>
      <c r="AB182">
        <v>13</v>
      </c>
      <c r="AC182">
        <v>13</v>
      </c>
      <c r="AD182">
        <v>13</v>
      </c>
      <c r="AE182">
        <v>13</v>
      </c>
      <c r="AF182">
        <v>12</v>
      </c>
      <c r="AG182">
        <v>11</v>
      </c>
      <c r="AH182">
        <v>13</v>
      </c>
      <c r="AI182">
        <v>13</v>
      </c>
      <c r="AJ182">
        <v>12</v>
      </c>
      <c r="AK182">
        <v>13</v>
      </c>
      <c r="AL182">
        <v>14</v>
      </c>
      <c r="AM182">
        <v>13</v>
      </c>
      <c r="AN182">
        <v>12</v>
      </c>
      <c r="AO182">
        <v>13</v>
      </c>
      <c r="AP182">
        <v>13</v>
      </c>
      <c r="AQ182">
        <v>13</v>
      </c>
      <c r="AR182">
        <v>12</v>
      </c>
      <c r="AS182">
        <v>13</v>
      </c>
      <c r="AT182">
        <v>13</v>
      </c>
      <c r="AU182">
        <v>13</v>
      </c>
      <c r="AV182">
        <v>12</v>
      </c>
      <c r="AW182">
        <v>13</v>
      </c>
      <c r="AX182">
        <v>13</v>
      </c>
      <c r="AY182">
        <v>13</v>
      </c>
      <c r="AZ182">
        <v>12</v>
      </c>
      <c r="BA182">
        <v>13</v>
      </c>
      <c r="BB182">
        <v>13</v>
      </c>
      <c r="BC182">
        <v>585</v>
      </c>
    </row>
    <row r="183" spans="2:55" x14ac:dyDescent="0.2">
      <c r="B183">
        <v>1.12225E-2</v>
      </c>
      <c r="C183" t="s">
        <v>233</v>
      </c>
      <c r="D183" t="s">
        <v>344</v>
      </c>
      <c r="E183" t="s">
        <v>18</v>
      </c>
      <c r="F183">
        <v>8</v>
      </c>
      <c r="G183">
        <v>3</v>
      </c>
      <c r="H183">
        <v>2</v>
      </c>
      <c r="I183">
        <v>2</v>
      </c>
      <c r="J183">
        <v>2</v>
      </c>
      <c r="K183">
        <v>3</v>
      </c>
      <c r="L183">
        <v>3</v>
      </c>
      <c r="M183">
        <v>3</v>
      </c>
      <c r="N183">
        <v>2</v>
      </c>
      <c r="O183">
        <v>2</v>
      </c>
      <c r="P183">
        <v>2</v>
      </c>
      <c r="Q183">
        <v>3</v>
      </c>
      <c r="R183">
        <v>2</v>
      </c>
      <c r="S183">
        <v>2</v>
      </c>
      <c r="T183">
        <v>2</v>
      </c>
      <c r="U183">
        <v>3</v>
      </c>
      <c r="V183">
        <v>2</v>
      </c>
      <c r="W183">
        <v>2</v>
      </c>
      <c r="AA183">
        <v>1</v>
      </c>
      <c r="AB183">
        <v>3</v>
      </c>
      <c r="AC183">
        <v>2</v>
      </c>
      <c r="AD183">
        <v>2</v>
      </c>
      <c r="AE183">
        <v>2</v>
      </c>
      <c r="AF183">
        <v>3</v>
      </c>
      <c r="AG183">
        <v>2</v>
      </c>
      <c r="AH183">
        <v>2</v>
      </c>
      <c r="AI183">
        <v>2</v>
      </c>
      <c r="AJ183">
        <v>3</v>
      </c>
      <c r="AK183">
        <v>2</v>
      </c>
      <c r="AL183">
        <v>2</v>
      </c>
      <c r="AM183">
        <v>2</v>
      </c>
      <c r="AN183">
        <v>2</v>
      </c>
      <c r="AO183">
        <v>2</v>
      </c>
      <c r="AP183">
        <v>2</v>
      </c>
      <c r="AQ183">
        <v>2</v>
      </c>
      <c r="AR183">
        <v>3</v>
      </c>
      <c r="AS183">
        <v>3</v>
      </c>
      <c r="AT183">
        <v>3</v>
      </c>
      <c r="AU183">
        <v>3</v>
      </c>
      <c r="AV183">
        <v>2</v>
      </c>
      <c r="AW183">
        <v>2</v>
      </c>
      <c r="AX183">
        <v>2</v>
      </c>
      <c r="AY183">
        <v>2</v>
      </c>
      <c r="AZ183">
        <v>2</v>
      </c>
      <c r="BA183">
        <v>2</v>
      </c>
      <c r="BB183">
        <v>2</v>
      </c>
      <c r="BC183">
        <v>102</v>
      </c>
    </row>
    <row r="184" spans="2:55" x14ac:dyDescent="0.2">
      <c r="B184">
        <v>0.152</v>
      </c>
      <c r="C184" t="s">
        <v>237</v>
      </c>
      <c r="D184" t="s">
        <v>350</v>
      </c>
      <c r="E184" t="s">
        <v>18</v>
      </c>
      <c r="F184">
        <v>30</v>
      </c>
      <c r="G184">
        <v>3</v>
      </c>
      <c r="H184">
        <v>2</v>
      </c>
      <c r="I184">
        <v>3</v>
      </c>
      <c r="J184">
        <v>2</v>
      </c>
      <c r="K184">
        <v>1</v>
      </c>
      <c r="L184">
        <v>1</v>
      </c>
      <c r="M184">
        <v>1</v>
      </c>
      <c r="N184">
        <v>1</v>
      </c>
      <c r="Q184">
        <v>1</v>
      </c>
      <c r="R184">
        <v>1</v>
      </c>
      <c r="S184">
        <v>1</v>
      </c>
      <c r="T184">
        <v>1</v>
      </c>
      <c r="U184">
        <v>2</v>
      </c>
      <c r="V184">
        <v>2</v>
      </c>
      <c r="W184">
        <v>2</v>
      </c>
      <c r="X184">
        <v>2</v>
      </c>
      <c r="Y184">
        <v>2</v>
      </c>
      <c r="Z184">
        <v>2</v>
      </c>
      <c r="AA184">
        <v>2</v>
      </c>
      <c r="AB184">
        <v>2</v>
      </c>
      <c r="AC184">
        <v>1</v>
      </c>
      <c r="AD184">
        <v>2</v>
      </c>
      <c r="AE184">
        <v>1</v>
      </c>
      <c r="AF184">
        <v>2</v>
      </c>
      <c r="AG184">
        <v>1</v>
      </c>
      <c r="AH184">
        <v>2</v>
      </c>
      <c r="AI184">
        <v>1</v>
      </c>
      <c r="AJ184">
        <v>2</v>
      </c>
      <c r="AK184">
        <v>1</v>
      </c>
      <c r="AL184">
        <v>2</v>
      </c>
      <c r="AM184">
        <v>1</v>
      </c>
      <c r="AN184">
        <v>2</v>
      </c>
      <c r="AO184">
        <v>1</v>
      </c>
      <c r="AP184">
        <v>2</v>
      </c>
      <c r="AQ184">
        <v>1</v>
      </c>
      <c r="AR184">
        <v>3</v>
      </c>
      <c r="AS184">
        <v>1</v>
      </c>
      <c r="AT184">
        <v>2</v>
      </c>
      <c r="AU184">
        <v>1</v>
      </c>
      <c r="AV184">
        <v>2</v>
      </c>
      <c r="AW184">
        <v>2</v>
      </c>
      <c r="AX184">
        <v>2</v>
      </c>
      <c r="AY184">
        <v>1</v>
      </c>
      <c r="AZ184">
        <v>2</v>
      </c>
      <c r="BA184">
        <v>2</v>
      </c>
      <c r="BB184">
        <v>2</v>
      </c>
      <c r="BC184">
        <v>76</v>
      </c>
    </row>
    <row r="185" spans="2:55" x14ac:dyDescent="0.2">
      <c r="B185">
        <v>0.152</v>
      </c>
      <c r="C185" t="s">
        <v>237</v>
      </c>
      <c r="D185" t="s">
        <v>351</v>
      </c>
      <c r="E185" t="s">
        <v>18</v>
      </c>
      <c r="F185">
        <v>30</v>
      </c>
      <c r="G185">
        <v>7</v>
      </c>
      <c r="H185">
        <v>6</v>
      </c>
      <c r="I185">
        <v>7</v>
      </c>
      <c r="J185">
        <v>4</v>
      </c>
      <c r="K185">
        <v>7</v>
      </c>
      <c r="L185">
        <v>3</v>
      </c>
      <c r="M185">
        <v>4</v>
      </c>
      <c r="N185">
        <v>4</v>
      </c>
      <c r="O185">
        <v>3</v>
      </c>
      <c r="P185">
        <v>3</v>
      </c>
      <c r="Q185">
        <v>4</v>
      </c>
      <c r="R185">
        <v>4</v>
      </c>
      <c r="S185">
        <v>3</v>
      </c>
      <c r="T185">
        <v>3</v>
      </c>
      <c r="U185">
        <v>5</v>
      </c>
      <c r="V185">
        <v>4</v>
      </c>
      <c r="W185">
        <v>3</v>
      </c>
      <c r="X185">
        <v>2</v>
      </c>
      <c r="Y185">
        <v>3</v>
      </c>
      <c r="Z185">
        <v>3</v>
      </c>
      <c r="AA185">
        <v>2</v>
      </c>
      <c r="AB185">
        <v>3</v>
      </c>
      <c r="AC185">
        <v>4</v>
      </c>
      <c r="AD185">
        <v>4</v>
      </c>
      <c r="AE185">
        <v>3</v>
      </c>
      <c r="AF185">
        <v>3</v>
      </c>
      <c r="AG185">
        <v>4</v>
      </c>
      <c r="AH185">
        <v>4</v>
      </c>
      <c r="AI185">
        <v>3</v>
      </c>
      <c r="AJ185">
        <v>3</v>
      </c>
      <c r="AK185">
        <v>3</v>
      </c>
      <c r="AL185">
        <v>4</v>
      </c>
      <c r="AM185">
        <v>3</v>
      </c>
      <c r="AN185">
        <v>3</v>
      </c>
      <c r="AO185">
        <v>4</v>
      </c>
      <c r="AP185">
        <v>4</v>
      </c>
      <c r="AQ185">
        <v>3</v>
      </c>
      <c r="AR185">
        <v>3</v>
      </c>
      <c r="AS185">
        <v>4</v>
      </c>
      <c r="AT185">
        <v>4</v>
      </c>
      <c r="AU185">
        <v>3</v>
      </c>
      <c r="AV185">
        <v>3</v>
      </c>
      <c r="AW185">
        <v>4</v>
      </c>
      <c r="AX185">
        <v>3</v>
      </c>
      <c r="AY185">
        <v>3</v>
      </c>
      <c r="AZ185">
        <v>3</v>
      </c>
      <c r="BA185">
        <v>4</v>
      </c>
      <c r="BB185">
        <v>4</v>
      </c>
      <c r="BC185">
        <v>177</v>
      </c>
    </row>
    <row r="186" spans="2:55" x14ac:dyDescent="0.2">
      <c r="B186">
        <v>0.152</v>
      </c>
      <c r="C186" t="s">
        <v>237</v>
      </c>
      <c r="D186" t="s">
        <v>352</v>
      </c>
      <c r="E186" t="s">
        <v>18</v>
      </c>
      <c r="F186">
        <v>30</v>
      </c>
      <c r="G186">
        <v>2</v>
      </c>
      <c r="H186">
        <v>3</v>
      </c>
      <c r="I186">
        <v>2</v>
      </c>
      <c r="J186">
        <v>4</v>
      </c>
      <c r="AC186">
        <v>1</v>
      </c>
      <c r="AE186">
        <v>1</v>
      </c>
      <c r="AG186">
        <v>1</v>
      </c>
      <c r="AI186">
        <v>1</v>
      </c>
      <c r="AK186">
        <v>1</v>
      </c>
      <c r="AL186">
        <v>4</v>
      </c>
      <c r="AM186">
        <v>1</v>
      </c>
      <c r="AU186">
        <v>1</v>
      </c>
      <c r="AW186">
        <v>1</v>
      </c>
      <c r="AY186">
        <v>1</v>
      </c>
      <c r="BA186">
        <v>1</v>
      </c>
      <c r="BC186">
        <v>25</v>
      </c>
    </row>
    <row r="187" spans="2:55" x14ac:dyDescent="0.2">
      <c r="B187">
        <v>6.2458000000000001E-3</v>
      </c>
      <c r="C187" t="s">
        <v>155</v>
      </c>
      <c r="D187" t="s">
        <v>319</v>
      </c>
      <c r="E187" t="s">
        <v>12</v>
      </c>
      <c r="F187">
        <v>150</v>
      </c>
      <c r="AQ187">
        <v>1</v>
      </c>
      <c r="BC187">
        <v>1</v>
      </c>
    </row>
    <row r="188" spans="2:55" x14ac:dyDescent="0.2">
      <c r="B188">
        <v>6.2458000000000001E-3</v>
      </c>
      <c r="C188" t="s">
        <v>155</v>
      </c>
      <c r="D188" t="s">
        <v>319</v>
      </c>
      <c r="E188" t="s">
        <v>13</v>
      </c>
      <c r="F188">
        <v>150</v>
      </c>
      <c r="I188">
        <v>1</v>
      </c>
      <c r="O188">
        <v>1</v>
      </c>
      <c r="T188">
        <v>1</v>
      </c>
      <c r="AA188">
        <v>1</v>
      </c>
      <c r="AF188">
        <v>1</v>
      </c>
      <c r="AM188">
        <v>1</v>
      </c>
      <c r="AS188">
        <v>1</v>
      </c>
      <c r="AZ188">
        <v>1</v>
      </c>
      <c r="BC188">
        <v>8</v>
      </c>
    </row>
    <row r="189" spans="2:55" x14ac:dyDescent="0.2">
      <c r="B189">
        <v>2.7744000000000001E-2</v>
      </c>
      <c r="C189" t="s">
        <v>181</v>
      </c>
      <c r="D189" t="s">
        <v>320</v>
      </c>
      <c r="E189" t="s">
        <v>12</v>
      </c>
      <c r="F189">
        <v>6</v>
      </c>
      <c r="I189">
        <v>1</v>
      </c>
      <c r="L189">
        <v>1</v>
      </c>
      <c r="M189">
        <v>1</v>
      </c>
      <c r="P189">
        <v>1</v>
      </c>
      <c r="Q189">
        <v>1</v>
      </c>
      <c r="S189">
        <v>1</v>
      </c>
      <c r="T189">
        <v>1</v>
      </c>
      <c r="U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J189">
        <v>1</v>
      </c>
      <c r="AM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Y189">
        <v>1</v>
      </c>
      <c r="AZ189">
        <v>1</v>
      </c>
      <c r="BA189">
        <v>1</v>
      </c>
      <c r="BC189">
        <v>29</v>
      </c>
    </row>
    <row r="190" spans="2:55" x14ac:dyDescent="0.2">
      <c r="B190">
        <v>2.3120000000000002E-2</v>
      </c>
      <c r="C190" t="s">
        <v>197</v>
      </c>
      <c r="D190" t="s">
        <v>321</v>
      </c>
      <c r="E190" t="s">
        <v>14</v>
      </c>
      <c r="F190">
        <v>2</v>
      </c>
      <c r="H190">
        <v>16</v>
      </c>
      <c r="I190">
        <v>11</v>
      </c>
      <c r="K190">
        <v>15</v>
      </c>
      <c r="L190">
        <v>15</v>
      </c>
      <c r="M190">
        <v>15</v>
      </c>
      <c r="N190">
        <v>5</v>
      </c>
      <c r="O190">
        <v>15</v>
      </c>
      <c r="P190">
        <v>15</v>
      </c>
      <c r="Q190">
        <v>15</v>
      </c>
      <c r="R190">
        <v>7</v>
      </c>
      <c r="S190">
        <v>15</v>
      </c>
      <c r="T190">
        <v>15</v>
      </c>
      <c r="U190">
        <v>14</v>
      </c>
      <c r="W190">
        <v>15</v>
      </c>
      <c r="X190">
        <v>15</v>
      </c>
      <c r="Y190">
        <v>15</v>
      </c>
      <c r="Z190">
        <v>6</v>
      </c>
      <c r="AA190">
        <v>15</v>
      </c>
      <c r="AB190">
        <v>15</v>
      </c>
      <c r="AC190">
        <v>15</v>
      </c>
      <c r="AD190">
        <v>7</v>
      </c>
      <c r="AE190">
        <v>15</v>
      </c>
      <c r="AF190">
        <v>15</v>
      </c>
      <c r="AG190">
        <v>15</v>
      </c>
      <c r="AH190">
        <v>5</v>
      </c>
      <c r="AI190">
        <v>15</v>
      </c>
      <c r="AJ190">
        <v>15</v>
      </c>
      <c r="AK190">
        <v>15</v>
      </c>
      <c r="AL190">
        <v>3</v>
      </c>
      <c r="AM190">
        <v>15</v>
      </c>
      <c r="AN190">
        <v>15</v>
      </c>
      <c r="AO190">
        <v>13</v>
      </c>
      <c r="AQ190">
        <v>15</v>
      </c>
      <c r="AR190">
        <v>15</v>
      </c>
      <c r="AS190">
        <v>15</v>
      </c>
      <c r="AT190">
        <v>5</v>
      </c>
      <c r="AU190">
        <v>15</v>
      </c>
      <c r="AV190">
        <v>15</v>
      </c>
      <c r="AW190">
        <v>15</v>
      </c>
      <c r="AX190">
        <v>6</v>
      </c>
      <c r="AY190">
        <v>15</v>
      </c>
      <c r="AZ190">
        <v>15</v>
      </c>
      <c r="BA190">
        <v>15</v>
      </c>
      <c r="BB190">
        <v>6</v>
      </c>
      <c r="BC190">
        <v>569</v>
      </c>
    </row>
    <row r="191" spans="2:55" x14ac:dyDescent="0.2">
      <c r="B191">
        <v>1.6721525000000001E-2</v>
      </c>
      <c r="C191" t="s">
        <v>196</v>
      </c>
      <c r="D191" t="s">
        <v>322</v>
      </c>
      <c r="E191" t="s">
        <v>63</v>
      </c>
      <c r="F191">
        <v>1</v>
      </c>
      <c r="G191">
        <v>45</v>
      </c>
      <c r="H191">
        <v>45</v>
      </c>
      <c r="I191">
        <v>45</v>
      </c>
      <c r="K191">
        <v>45</v>
      </c>
      <c r="L191">
        <v>45</v>
      </c>
      <c r="M191">
        <v>45</v>
      </c>
      <c r="O191">
        <v>45</v>
      </c>
      <c r="P191">
        <v>45</v>
      </c>
      <c r="Q191">
        <v>45</v>
      </c>
      <c r="S191">
        <v>45</v>
      </c>
      <c r="T191">
        <v>45</v>
      </c>
      <c r="U191">
        <v>45</v>
      </c>
      <c r="W191">
        <v>45</v>
      </c>
      <c r="X191">
        <v>45</v>
      </c>
      <c r="Y191">
        <v>45</v>
      </c>
      <c r="AA191">
        <v>45</v>
      </c>
      <c r="AB191">
        <v>45</v>
      </c>
      <c r="AC191">
        <v>45</v>
      </c>
      <c r="AE191">
        <v>45</v>
      </c>
      <c r="AF191">
        <v>45</v>
      </c>
      <c r="AG191">
        <v>45</v>
      </c>
      <c r="AI191">
        <v>45</v>
      </c>
      <c r="AJ191">
        <v>45</v>
      </c>
      <c r="AK191">
        <v>45</v>
      </c>
      <c r="AM191">
        <v>45</v>
      </c>
      <c r="AN191">
        <v>45</v>
      </c>
      <c r="AO191">
        <v>45</v>
      </c>
      <c r="AQ191">
        <v>45</v>
      </c>
      <c r="AR191">
        <v>45</v>
      </c>
      <c r="AS191">
        <v>45</v>
      </c>
      <c r="AU191">
        <v>45</v>
      </c>
      <c r="AV191">
        <v>45</v>
      </c>
      <c r="AW191">
        <v>45</v>
      </c>
      <c r="AX191">
        <v>45</v>
      </c>
      <c r="AY191">
        <v>45</v>
      </c>
      <c r="AZ191">
        <v>45</v>
      </c>
      <c r="BA191">
        <v>45</v>
      </c>
      <c r="BB191">
        <v>45</v>
      </c>
      <c r="BC191">
        <v>1710</v>
      </c>
    </row>
    <row r="192" spans="2:55" x14ac:dyDescent="0.2">
      <c r="B192">
        <v>5.2019999999999997E-2</v>
      </c>
      <c r="C192" t="s">
        <v>188</v>
      </c>
      <c r="D192" t="s">
        <v>325</v>
      </c>
      <c r="E192" t="s">
        <v>12</v>
      </c>
      <c r="F192">
        <v>3</v>
      </c>
      <c r="G192">
        <v>1</v>
      </c>
      <c r="H192">
        <v>2</v>
      </c>
      <c r="I192">
        <v>2</v>
      </c>
      <c r="J192">
        <v>1</v>
      </c>
      <c r="K192">
        <v>1</v>
      </c>
      <c r="L192">
        <v>1</v>
      </c>
      <c r="M192">
        <v>1</v>
      </c>
      <c r="P192">
        <v>2</v>
      </c>
      <c r="S192">
        <v>1</v>
      </c>
      <c r="U192">
        <v>1</v>
      </c>
      <c r="X192">
        <v>1</v>
      </c>
      <c r="Y192">
        <v>2</v>
      </c>
      <c r="AA192">
        <v>1</v>
      </c>
      <c r="AB192">
        <v>2</v>
      </c>
      <c r="AC192">
        <v>1</v>
      </c>
      <c r="AE192">
        <v>1</v>
      </c>
      <c r="AF192">
        <v>1</v>
      </c>
      <c r="AG192">
        <v>2</v>
      </c>
      <c r="AI192">
        <v>1</v>
      </c>
      <c r="AJ192">
        <v>2</v>
      </c>
      <c r="AK192">
        <v>2</v>
      </c>
      <c r="AM192">
        <v>1</v>
      </c>
      <c r="AN192">
        <v>1</v>
      </c>
      <c r="AO192">
        <v>2</v>
      </c>
      <c r="AR192">
        <v>1</v>
      </c>
      <c r="AU192">
        <v>1</v>
      </c>
      <c r="AV192">
        <v>2</v>
      </c>
      <c r="AW192">
        <v>1</v>
      </c>
      <c r="AY192">
        <v>1</v>
      </c>
      <c r="AZ192">
        <v>2</v>
      </c>
      <c r="BA192">
        <v>1</v>
      </c>
      <c r="BC192">
        <v>42</v>
      </c>
    </row>
    <row r="193" spans="2:55" x14ac:dyDescent="0.2">
      <c r="B193">
        <v>4.9950000000000001E-2</v>
      </c>
      <c r="C193" t="s">
        <v>188</v>
      </c>
      <c r="D193" t="s">
        <v>326</v>
      </c>
      <c r="E193" t="s">
        <v>12</v>
      </c>
      <c r="F193">
        <v>3</v>
      </c>
      <c r="H193">
        <v>1</v>
      </c>
      <c r="Q193">
        <v>1</v>
      </c>
      <c r="AS193">
        <v>1</v>
      </c>
      <c r="BC193">
        <v>3</v>
      </c>
    </row>
    <row r="194" spans="2:55" x14ac:dyDescent="0.2">
      <c r="B194">
        <v>5.2019999999999997E-2</v>
      </c>
      <c r="C194" t="s">
        <v>188</v>
      </c>
      <c r="D194" t="s">
        <v>327</v>
      </c>
      <c r="E194" t="s">
        <v>12</v>
      </c>
      <c r="F194">
        <v>3</v>
      </c>
      <c r="G194">
        <v>1</v>
      </c>
      <c r="H194">
        <v>1</v>
      </c>
      <c r="I194">
        <v>3</v>
      </c>
      <c r="J194">
        <v>1</v>
      </c>
      <c r="K194">
        <v>1</v>
      </c>
      <c r="L194">
        <v>3</v>
      </c>
      <c r="M194">
        <v>3</v>
      </c>
      <c r="O194">
        <v>3</v>
      </c>
      <c r="P194">
        <v>3</v>
      </c>
      <c r="Q194">
        <v>2</v>
      </c>
      <c r="S194">
        <v>3</v>
      </c>
      <c r="T194">
        <v>3</v>
      </c>
      <c r="U194">
        <v>3</v>
      </c>
      <c r="W194">
        <v>3</v>
      </c>
      <c r="X194">
        <v>3</v>
      </c>
      <c r="Y194">
        <v>3</v>
      </c>
      <c r="Z194">
        <v>1</v>
      </c>
      <c r="AA194">
        <v>2</v>
      </c>
      <c r="AB194">
        <v>3</v>
      </c>
      <c r="AC194">
        <v>3</v>
      </c>
      <c r="AE194">
        <v>3</v>
      </c>
      <c r="AF194">
        <v>3</v>
      </c>
      <c r="AG194">
        <v>2</v>
      </c>
      <c r="AI194">
        <v>3</v>
      </c>
      <c r="AJ194">
        <v>2</v>
      </c>
      <c r="AK194">
        <v>2</v>
      </c>
      <c r="AM194">
        <v>2</v>
      </c>
      <c r="AN194">
        <v>3</v>
      </c>
      <c r="AO194">
        <v>1</v>
      </c>
      <c r="AQ194">
        <v>3</v>
      </c>
      <c r="AR194">
        <v>3</v>
      </c>
      <c r="AS194">
        <v>3</v>
      </c>
      <c r="AT194">
        <v>1</v>
      </c>
      <c r="AU194">
        <v>3</v>
      </c>
      <c r="AV194">
        <v>2</v>
      </c>
      <c r="AW194">
        <v>3</v>
      </c>
      <c r="AY194">
        <v>1</v>
      </c>
      <c r="AZ194">
        <v>3</v>
      </c>
      <c r="BA194">
        <v>3</v>
      </c>
      <c r="BB194">
        <v>1</v>
      </c>
      <c r="BC194">
        <v>95</v>
      </c>
    </row>
    <row r="195" spans="2:55" x14ac:dyDescent="0.2">
      <c r="B195">
        <v>6.9360000000000005E-2</v>
      </c>
      <c r="C195" t="s">
        <v>190</v>
      </c>
      <c r="D195" t="s">
        <v>328</v>
      </c>
      <c r="E195" t="s">
        <v>16</v>
      </c>
      <c r="F195">
        <v>2</v>
      </c>
      <c r="G195">
        <v>90</v>
      </c>
      <c r="H195">
        <v>90</v>
      </c>
      <c r="I195">
        <v>90</v>
      </c>
      <c r="J195">
        <v>90</v>
      </c>
      <c r="K195">
        <v>72</v>
      </c>
      <c r="L195">
        <v>108</v>
      </c>
      <c r="M195">
        <v>90</v>
      </c>
      <c r="N195">
        <v>90</v>
      </c>
      <c r="O195">
        <v>90</v>
      </c>
      <c r="P195">
        <v>90</v>
      </c>
      <c r="Q195">
        <v>90</v>
      </c>
      <c r="R195">
        <v>90</v>
      </c>
      <c r="S195">
        <v>90</v>
      </c>
      <c r="T195">
        <v>90</v>
      </c>
      <c r="U195">
        <v>90</v>
      </c>
      <c r="V195">
        <v>72</v>
      </c>
      <c r="W195">
        <v>90</v>
      </c>
      <c r="X195">
        <v>90</v>
      </c>
      <c r="Y195">
        <v>108</v>
      </c>
      <c r="Z195">
        <v>90</v>
      </c>
      <c r="AA195">
        <v>90</v>
      </c>
      <c r="AB195">
        <v>108</v>
      </c>
      <c r="AC195">
        <v>108</v>
      </c>
      <c r="AD195">
        <v>90</v>
      </c>
      <c r="AE195">
        <v>54</v>
      </c>
      <c r="AF195">
        <v>90</v>
      </c>
      <c r="AG195">
        <v>90</v>
      </c>
      <c r="AH195">
        <v>90</v>
      </c>
      <c r="AI195">
        <v>90</v>
      </c>
      <c r="AJ195">
        <v>72</v>
      </c>
      <c r="AK195">
        <v>90</v>
      </c>
      <c r="AL195">
        <v>90</v>
      </c>
      <c r="AM195">
        <v>90</v>
      </c>
      <c r="AN195">
        <v>108</v>
      </c>
      <c r="AO195">
        <v>90</v>
      </c>
      <c r="AP195">
        <v>90</v>
      </c>
      <c r="AQ195">
        <v>108</v>
      </c>
      <c r="AR195">
        <v>72</v>
      </c>
      <c r="AS195">
        <v>90</v>
      </c>
      <c r="AT195">
        <v>90</v>
      </c>
      <c r="AU195">
        <v>90</v>
      </c>
      <c r="AV195">
        <v>90</v>
      </c>
      <c r="AW195">
        <v>90</v>
      </c>
      <c r="AX195">
        <v>90</v>
      </c>
      <c r="AY195">
        <v>90</v>
      </c>
      <c r="AZ195">
        <v>90</v>
      </c>
      <c r="BA195">
        <v>108</v>
      </c>
      <c r="BB195">
        <v>90</v>
      </c>
      <c r="BC195">
        <v>4338</v>
      </c>
    </row>
    <row r="196" spans="2:55" x14ac:dyDescent="0.2">
      <c r="B196">
        <v>6.9360000000000005E-2</v>
      </c>
      <c r="C196" t="s">
        <v>190</v>
      </c>
      <c r="D196" t="s">
        <v>329</v>
      </c>
      <c r="E196" t="s">
        <v>16</v>
      </c>
      <c r="F196">
        <v>2</v>
      </c>
      <c r="I196">
        <v>18</v>
      </c>
      <c r="N196">
        <v>18</v>
      </c>
      <c r="P196">
        <v>18</v>
      </c>
      <c r="R196">
        <v>18</v>
      </c>
      <c r="T196">
        <v>18</v>
      </c>
      <c r="W196">
        <v>18</v>
      </c>
      <c r="Y196">
        <v>18</v>
      </c>
      <c r="AA196">
        <v>18</v>
      </c>
      <c r="AC196">
        <v>18</v>
      </c>
      <c r="AD196">
        <v>18</v>
      </c>
      <c r="AG196">
        <v>18</v>
      </c>
      <c r="AI196">
        <v>18</v>
      </c>
      <c r="AK196">
        <v>18</v>
      </c>
      <c r="AM196">
        <v>18</v>
      </c>
      <c r="AO196">
        <v>18</v>
      </c>
      <c r="AQ196">
        <v>18</v>
      </c>
      <c r="AS196">
        <v>18</v>
      </c>
      <c r="AU196">
        <v>18</v>
      </c>
      <c r="AV196">
        <v>18</v>
      </c>
      <c r="AX196">
        <v>18</v>
      </c>
      <c r="AZ196">
        <v>18</v>
      </c>
      <c r="BB196">
        <v>18</v>
      </c>
      <c r="BC196">
        <v>396</v>
      </c>
    </row>
    <row r="197" spans="2:55" x14ac:dyDescent="0.2">
      <c r="B197">
        <v>2.8900000000000002E-2</v>
      </c>
      <c r="C197" t="s">
        <v>235</v>
      </c>
      <c r="D197" t="s">
        <v>330</v>
      </c>
      <c r="E197" t="s">
        <v>63</v>
      </c>
      <c r="F197">
        <v>1</v>
      </c>
      <c r="H197">
        <v>36</v>
      </c>
      <c r="I197">
        <v>36</v>
      </c>
      <c r="J197">
        <v>36</v>
      </c>
      <c r="K197">
        <v>36</v>
      </c>
      <c r="M197">
        <v>36</v>
      </c>
      <c r="N197">
        <v>36</v>
      </c>
      <c r="O197">
        <v>36</v>
      </c>
      <c r="P197">
        <v>36</v>
      </c>
      <c r="Q197">
        <v>36</v>
      </c>
      <c r="S197">
        <v>36</v>
      </c>
      <c r="T197">
        <v>36</v>
      </c>
      <c r="V197">
        <v>36</v>
      </c>
      <c r="W197">
        <v>36</v>
      </c>
      <c r="X197">
        <v>36</v>
      </c>
      <c r="Y197">
        <v>36</v>
      </c>
      <c r="Z197">
        <v>36</v>
      </c>
      <c r="AB197">
        <v>36</v>
      </c>
      <c r="AC197">
        <v>36</v>
      </c>
      <c r="AD197">
        <v>36</v>
      </c>
      <c r="AF197">
        <v>36</v>
      </c>
      <c r="AG197">
        <v>36</v>
      </c>
      <c r="AH197">
        <v>36</v>
      </c>
      <c r="AI197">
        <v>36</v>
      </c>
      <c r="AJ197">
        <v>36</v>
      </c>
      <c r="AL197">
        <v>36</v>
      </c>
      <c r="AM197">
        <v>36</v>
      </c>
      <c r="AN197">
        <v>36</v>
      </c>
      <c r="AP197">
        <v>36</v>
      </c>
      <c r="AQ197">
        <v>36</v>
      </c>
      <c r="AR197">
        <v>36</v>
      </c>
      <c r="AT197">
        <v>72</v>
      </c>
      <c r="AV197">
        <v>36</v>
      </c>
      <c r="AW197">
        <v>36</v>
      </c>
      <c r="AX197">
        <v>36</v>
      </c>
      <c r="AY197">
        <v>36</v>
      </c>
      <c r="BA197">
        <v>36</v>
      </c>
      <c r="BB197">
        <v>36</v>
      </c>
      <c r="BC197">
        <v>1368</v>
      </c>
    </row>
    <row r="198" spans="2:55" x14ac:dyDescent="0.2">
      <c r="B198">
        <v>0.38556000000000001</v>
      </c>
      <c r="C198" t="s">
        <v>239</v>
      </c>
      <c r="D198" t="s">
        <v>331</v>
      </c>
      <c r="E198" t="s">
        <v>16</v>
      </c>
      <c r="F198">
        <v>30</v>
      </c>
      <c r="H198">
        <v>1</v>
      </c>
      <c r="N198">
        <v>1</v>
      </c>
      <c r="Q198">
        <v>1</v>
      </c>
      <c r="T198">
        <v>1</v>
      </c>
      <c r="W198">
        <v>1</v>
      </c>
      <c r="Z198">
        <v>1</v>
      </c>
      <c r="AC198">
        <v>1</v>
      </c>
      <c r="AF198">
        <v>1</v>
      </c>
      <c r="AI198">
        <v>1</v>
      </c>
      <c r="AL198">
        <v>1</v>
      </c>
      <c r="AO198">
        <v>1</v>
      </c>
      <c r="AQ198">
        <v>1</v>
      </c>
      <c r="AU198">
        <v>1</v>
      </c>
      <c r="AX198">
        <v>1</v>
      </c>
      <c r="BA198">
        <v>1</v>
      </c>
      <c r="BC198">
        <v>15</v>
      </c>
    </row>
    <row r="199" spans="2:55" x14ac:dyDescent="0.2">
      <c r="B199">
        <v>0.38556000000000001</v>
      </c>
      <c r="C199" t="s">
        <v>239</v>
      </c>
      <c r="D199" t="s">
        <v>332</v>
      </c>
      <c r="E199" t="s">
        <v>16</v>
      </c>
      <c r="F199">
        <v>30</v>
      </c>
      <c r="G199">
        <v>13</v>
      </c>
      <c r="H199">
        <v>13</v>
      </c>
      <c r="I199">
        <v>13</v>
      </c>
      <c r="J199">
        <v>12</v>
      </c>
      <c r="K199">
        <v>12</v>
      </c>
      <c r="L199">
        <v>12</v>
      </c>
      <c r="M199">
        <v>13</v>
      </c>
      <c r="N199">
        <v>12</v>
      </c>
      <c r="O199">
        <v>12</v>
      </c>
      <c r="P199">
        <v>13</v>
      </c>
      <c r="Q199">
        <v>12</v>
      </c>
      <c r="R199">
        <v>12</v>
      </c>
      <c r="S199">
        <v>11</v>
      </c>
      <c r="T199">
        <v>12</v>
      </c>
      <c r="U199">
        <v>11</v>
      </c>
      <c r="V199">
        <v>10</v>
      </c>
      <c r="W199">
        <v>12</v>
      </c>
      <c r="X199">
        <v>11</v>
      </c>
      <c r="Y199">
        <v>13</v>
      </c>
      <c r="Z199">
        <v>12</v>
      </c>
      <c r="AA199">
        <v>13</v>
      </c>
      <c r="AB199">
        <v>13</v>
      </c>
      <c r="AC199">
        <v>13</v>
      </c>
      <c r="AD199">
        <v>12</v>
      </c>
      <c r="AE199">
        <v>9</v>
      </c>
      <c r="AF199">
        <v>12</v>
      </c>
      <c r="AG199">
        <v>12</v>
      </c>
      <c r="AH199">
        <v>13</v>
      </c>
      <c r="AI199">
        <v>10</v>
      </c>
      <c r="AJ199">
        <v>9</v>
      </c>
      <c r="AK199">
        <v>13</v>
      </c>
      <c r="AL199">
        <v>12</v>
      </c>
      <c r="AM199">
        <v>12</v>
      </c>
      <c r="AN199">
        <v>13</v>
      </c>
      <c r="AO199">
        <v>13</v>
      </c>
      <c r="AP199">
        <v>12</v>
      </c>
      <c r="AQ199">
        <v>13</v>
      </c>
      <c r="AR199">
        <v>10</v>
      </c>
      <c r="AS199">
        <v>12</v>
      </c>
      <c r="AT199">
        <v>12</v>
      </c>
      <c r="AU199">
        <v>13</v>
      </c>
      <c r="AV199">
        <v>12</v>
      </c>
      <c r="AW199">
        <v>12</v>
      </c>
      <c r="AX199">
        <v>12</v>
      </c>
      <c r="AY199">
        <v>12</v>
      </c>
      <c r="AZ199">
        <v>11</v>
      </c>
      <c r="BA199">
        <v>14</v>
      </c>
      <c r="BB199">
        <v>14</v>
      </c>
      <c r="BC199">
        <v>579</v>
      </c>
    </row>
    <row r="200" spans="2:55" x14ac:dyDescent="0.2">
      <c r="B200">
        <v>2.8900000000000002E-2</v>
      </c>
      <c r="C200" t="s">
        <v>235</v>
      </c>
      <c r="D200" t="s">
        <v>333</v>
      </c>
      <c r="E200" t="s">
        <v>14</v>
      </c>
      <c r="F200">
        <v>7</v>
      </c>
      <c r="L200">
        <v>2</v>
      </c>
      <c r="O200">
        <v>5</v>
      </c>
      <c r="S200">
        <v>6</v>
      </c>
      <c r="X200">
        <v>6</v>
      </c>
      <c r="AB200">
        <v>4</v>
      </c>
      <c r="AE200">
        <v>5</v>
      </c>
      <c r="AI200">
        <v>3</v>
      </c>
      <c r="AJ200">
        <v>1</v>
      </c>
      <c r="AM200">
        <v>5</v>
      </c>
      <c r="AR200">
        <v>4</v>
      </c>
      <c r="AZ200">
        <v>5</v>
      </c>
      <c r="BC200">
        <v>46</v>
      </c>
    </row>
    <row r="201" spans="2:55" x14ac:dyDescent="0.2">
      <c r="B201">
        <v>2.8900000000000002E-2</v>
      </c>
      <c r="C201" t="s">
        <v>235</v>
      </c>
      <c r="D201" t="s">
        <v>334</v>
      </c>
      <c r="E201" t="s">
        <v>13</v>
      </c>
      <c r="F201">
        <v>2</v>
      </c>
      <c r="G201">
        <v>1</v>
      </c>
      <c r="H201">
        <v>5</v>
      </c>
      <c r="I201">
        <v>5</v>
      </c>
      <c r="J201">
        <v>5</v>
      </c>
      <c r="K201">
        <v>5</v>
      </c>
      <c r="L201">
        <v>5</v>
      </c>
      <c r="M201">
        <v>5</v>
      </c>
      <c r="N201">
        <v>2</v>
      </c>
      <c r="O201">
        <v>5</v>
      </c>
      <c r="P201">
        <v>5</v>
      </c>
      <c r="Q201">
        <v>5</v>
      </c>
      <c r="R201">
        <v>2</v>
      </c>
      <c r="S201">
        <v>3</v>
      </c>
      <c r="T201">
        <v>5</v>
      </c>
      <c r="U201">
        <v>5</v>
      </c>
      <c r="W201">
        <v>5</v>
      </c>
      <c r="X201">
        <v>5</v>
      </c>
      <c r="Y201">
        <v>5</v>
      </c>
      <c r="Z201">
        <v>2</v>
      </c>
      <c r="AA201">
        <v>4</v>
      </c>
      <c r="AB201">
        <v>5</v>
      </c>
      <c r="AC201">
        <v>5</v>
      </c>
      <c r="AD201">
        <v>3</v>
      </c>
      <c r="AE201">
        <v>5</v>
      </c>
      <c r="AF201">
        <v>5</v>
      </c>
      <c r="AG201">
        <v>5</v>
      </c>
      <c r="AH201">
        <v>1</v>
      </c>
      <c r="AI201">
        <v>5</v>
      </c>
      <c r="AJ201">
        <v>5</v>
      </c>
      <c r="AK201">
        <v>5</v>
      </c>
      <c r="AL201">
        <v>1</v>
      </c>
      <c r="AM201">
        <v>4</v>
      </c>
      <c r="AN201">
        <v>5</v>
      </c>
      <c r="AO201">
        <v>4</v>
      </c>
      <c r="AQ201">
        <v>5</v>
      </c>
      <c r="AR201">
        <v>5</v>
      </c>
      <c r="AS201">
        <v>5</v>
      </c>
      <c r="AT201">
        <v>2</v>
      </c>
      <c r="AU201">
        <v>5</v>
      </c>
      <c r="AV201">
        <v>5</v>
      </c>
      <c r="AW201">
        <v>5</v>
      </c>
      <c r="AX201">
        <v>1</v>
      </c>
      <c r="AY201">
        <v>4</v>
      </c>
      <c r="AZ201">
        <v>5</v>
      </c>
      <c r="BA201">
        <v>5</v>
      </c>
      <c r="BB201">
        <v>2</v>
      </c>
      <c r="BC201">
        <v>191</v>
      </c>
    </row>
    <row r="202" spans="2:55" x14ac:dyDescent="0.2">
      <c r="B202">
        <v>1.6833750000000001E-2</v>
      </c>
      <c r="C202" t="s">
        <v>196</v>
      </c>
      <c r="D202" t="s">
        <v>337</v>
      </c>
      <c r="E202" t="s">
        <v>17</v>
      </c>
      <c r="F202">
        <v>4</v>
      </c>
      <c r="O202">
        <v>18</v>
      </c>
      <c r="P202">
        <v>18</v>
      </c>
      <c r="AE202">
        <v>24</v>
      </c>
      <c r="AF202">
        <v>23</v>
      </c>
      <c r="BC202">
        <v>83</v>
      </c>
    </row>
    <row r="203" spans="2:55" x14ac:dyDescent="0.2">
      <c r="B203">
        <v>1.1559175E-2</v>
      </c>
      <c r="C203" t="s">
        <v>233</v>
      </c>
      <c r="D203" t="s">
        <v>338</v>
      </c>
      <c r="E203" t="s">
        <v>17</v>
      </c>
      <c r="F203">
        <v>8</v>
      </c>
      <c r="AY203">
        <v>13</v>
      </c>
      <c r="AZ203">
        <v>12</v>
      </c>
      <c r="BC203">
        <v>25</v>
      </c>
    </row>
    <row r="204" spans="2:55" x14ac:dyDescent="0.2">
      <c r="B204">
        <v>1.12225E-2</v>
      </c>
      <c r="C204" t="s">
        <v>233</v>
      </c>
      <c r="D204" t="s">
        <v>339</v>
      </c>
      <c r="E204" t="s">
        <v>17</v>
      </c>
      <c r="F204">
        <v>10</v>
      </c>
      <c r="AA204">
        <v>10</v>
      </c>
      <c r="AB204">
        <v>10</v>
      </c>
      <c r="BC204">
        <v>20</v>
      </c>
    </row>
    <row r="205" spans="2:55" x14ac:dyDescent="0.2">
      <c r="B205">
        <v>1.2716000000000002E-2</v>
      </c>
      <c r="C205" t="s">
        <v>233</v>
      </c>
      <c r="D205" t="s">
        <v>340</v>
      </c>
      <c r="E205" t="s">
        <v>17</v>
      </c>
      <c r="F205">
        <v>5</v>
      </c>
      <c r="AM205">
        <v>17</v>
      </c>
      <c r="AN205">
        <v>17</v>
      </c>
      <c r="BC205">
        <v>34</v>
      </c>
    </row>
    <row r="206" spans="2:55" x14ac:dyDescent="0.2">
      <c r="B206">
        <v>0</v>
      </c>
      <c r="C206">
        <v>0</v>
      </c>
      <c r="D206" t="s">
        <v>341</v>
      </c>
      <c r="E206" t="s">
        <v>17</v>
      </c>
      <c r="F206">
        <v>5</v>
      </c>
      <c r="G206">
        <v>17</v>
      </c>
      <c r="H206">
        <v>17</v>
      </c>
      <c r="I206">
        <v>26</v>
      </c>
      <c r="K206">
        <v>4</v>
      </c>
      <c r="BC206">
        <v>64</v>
      </c>
    </row>
    <row r="207" spans="2:55" x14ac:dyDescent="0.2">
      <c r="B207">
        <v>2.7046225E-2</v>
      </c>
      <c r="C207" t="s">
        <v>235</v>
      </c>
      <c r="D207" t="s">
        <v>345</v>
      </c>
      <c r="E207" t="s">
        <v>62</v>
      </c>
      <c r="F207">
        <v>8</v>
      </c>
      <c r="K207">
        <v>27</v>
      </c>
      <c r="AA207">
        <v>27</v>
      </c>
      <c r="AU207">
        <v>27</v>
      </c>
      <c r="BC207">
        <v>81</v>
      </c>
    </row>
    <row r="208" spans="2:55" x14ac:dyDescent="0.2">
      <c r="B208">
        <v>2.7046225E-2</v>
      </c>
      <c r="C208" t="s">
        <v>235</v>
      </c>
      <c r="D208" t="s">
        <v>346</v>
      </c>
      <c r="E208" t="s">
        <v>62</v>
      </c>
      <c r="F208">
        <v>8</v>
      </c>
      <c r="G208">
        <v>27</v>
      </c>
      <c r="H208">
        <v>27</v>
      </c>
      <c r="K208">
        <v>27</v>
      </c>
      <c r="O208">
        <v>27</v>
      </c>
      <c r="P208">
        <v>27</v>
      </c>
      <c r="S208">
        <v>27</v>
      </c>
      <c r="W208">
        <v>27</v>
      </c>
      <c r="AA208">
        <v>27</v>
      </c>
      <c r="AB208">
        <v>27</v>
      </c>
      <c r="AE208">
        <v>27</v>
      </c>
      <c r="AI208">
        <v>27</v>
      </c>
      <c r="AJ208">
        <v>27</v>
      </c>
      <c r="AM208">
        <v>27</v>
      </c>
      <c r="AN208">
        <v>27</v>
      </c>
      <c r="AQ208">
        <v>27</v>
      </c>
      <c r="AR208">
        <v>27</v>
      </c>
      <c r="AU208">
        <v>27</v>
      </c>
      <c r="AV208">
        <v>27</v>
      </c>
      <c r="AW208">
        <v>27</v>
      </c>
      <c r="AY208">
        <v>27</v>
      </c>
      <c r="AZ208">
        <v>27</v>
      </c>
      <c r="BA208">
        <v>27</v>
      </c>
      <c r="BC208">
        <v>594</v>
      </c>
    </row>
    <row r="209" spans="2:55" x14ac:dyDescent="0.2">
      <c r="B209">
        <v>2.7046225E-2</v>
      </c>
      <c r="C209" t="s">
        <v>235</v>
      </c>
      <c r="D209" t="s">
        <v>348</v>
      </c>
      <c r="E209" t="s">
        <v>62</v>
      </c>
      <c r="F209">
        <v>6</v>
      </c>
      <c r="H209">
        <v>27</v>
      </c>
      <c r="L209">
        <v>27</v>
      </c>
      <c r="P209">
        <v>27</v>
      </c>
      <c r="T209">
        <v>27</v>
      </c>
      <c r="AB209">
        <v>27</v>
      </c>
      <c r="AF209">
        <v>27</v>
      </c>
      <c r="AJ209">
        <v>27</v>
      </c>
      <c r="AN209">
        <v>27</v>
      </c>
      <c r="AR209">
        <v>27</v>
      </c>
      <c r="AV209">
        <v>27</v>
      </c>
      <c r="AX209">
        <v>27</v>
      </c>
      <c r="AZ209">
        <v>27</v>
      </c>
      <c r="BC209">
        <v>324</v>
      </c>
    </row>
    <row r="210" spans="2:55" x14ac:dyDescent="0.2">
      <c r="B210">
        <v>1.1560000000000001E-2</v>
      </c>
      <c r="C210" t="s">
        <v>233</v>
      </c>
      <c r="D210" t="s">
        <v>349</v>
      </c>
      <c r="E210" t="s">
        <v>18</v>
      </c>
      <c r="F210">
        <v>8</v>
      </c>
      <c r="G210">
        <v>25</v>
      </c>
      <c r="H210">
        <v>24</v>
      </c>
      <c r="I210">
        <v>26</v>
      </c>
      <c r="J210">
        <v>18</v>
      </c>
      <c r="K210">
        <v>17</v>
      </c>
      <c r="L210">
        <v>25</v>
      </c>
      <c r="M210">
        <v>25</v>
      </c>
      <c r="N210">
        <v>25</v>
      </c>
      <c r="O210">
        <v>25</v>
      </c>
      <c r="P210">
        <v>23</v>
      </c>
      <c r="Q210">
        <v>25</v>
      </c>
      <c r="R210">
        <v>25</v>
      </c>
      <c r="S210">
        <v>25</v>
      </c>
      <c r="T210">
        <v>25</v>
      </c>
      <c r="U210">
        <v>25</v>
      </c>
      <c r="V210">
        <v>25</v>
      </c>
      <c r="W210">
        <v>25</v>
      </c>
      <c r="X210">
        <v>25</v>
      </c>
      <c r="Y210">
        <v>25</v>
      </c>
      <c r="Z210">
        <v>25</v>
      </c>
      <c r="AA210">
        <v>25</v>
      </c>
      <c r="AB210">
        <v>24</v>
      </c>
      <c r="AC210">
        <v>25</v>
      </c>
      <c r="AD210">
        <v>25</v>
      </c>
      <c r="AE210">
        <v>25</v>
      </c>
      <c r="AF210">
        <v>24</v>
      </c>
      <c r="AG210">
        <v>25</v>
      </c>
      <c r="AH210">
        <v>25</v>
      </c>
      <c r="AI210">
        <v>25</v>
      </c>
      <c r="AJ210">
        <v>24</v>
      </c>
      <c r="AK210">
        <v>25</v>
      </c>
      <c r="AL210">
        <v>25</v>
      </c>
      <c r="AM210">
        <v>25</v>
      </c>
      <c r="AN210">
        <v>24</v>
      </c>
      <c r="AO210">
        <v>24</v>
      </c>
      <c r="AP210">
        <v>25</v>
      </c>
      <c r="AQ210">
        <v>25</v>
      </c>
      <c r="AR210">
        <v>27</v>
      </c>
      <c r="AS210">
        <v>25</v>
      </c>
      <c r="AT210">
        <v>25</v>
      </c>
      <c r="AU210">
        <v>25</v>
      </c>
      <c r="AV210">
        <v>25</v>
      </c>
      <c r="AW210">
        <v>28</v>
      </c>
      <c r="AX210">
        <v>27</v>
      </c>
      <c r="AY210">
        <v>26</v>
      </c>
      <c r="AZ210">
        <v>25</v>
      </c>
      <c r="BA210">
        <v>25</v>
      </c>
      <c r="BB210">
        <v>25</v>
      </c>
      <c r="BC210">
        <v>1186</v>
      </c>
    </row>
    <row r="212" spans="2:55" ht="15" x14ac:dyDescent="0.2">
      <c r="B212" s="3" t="s">
        <v>244</v>
      </c>
    </row>
    <row r="213" spans="2:55" x14ac:dyDescent="0.2">
      <c r="G213">
        <v>20231002</v>
      </c>
      <c r="H213">
        <v>20231002</v>
      </c>
      <c r="I213">
        <v>20231002</v>
      </c>
      <c r="J213">
        <v>20231002</v>
      </c>
      <c r="K213">
        <v>20231003</v>
      </c>
      <c r="L213">
        <v>20231003</v>
      </c>
      <c r="M213">
        <v>20231003</v>
      </c>
      <c r="N213">
        <v>20231003</v>
      </c>
      <c r="O213">
        <v>20231004</v>
      </c>
      <c r="P213">
        <v>20231004</v>
      </c>
      <c r="Q213">
        <v>20231004</v>
      </c>
      <c r="R213">
        <v>20231004</v>
      </c>
      <c r="S213">
        <v>20231005</v>
      </c>
      <c r="T213">
        <v>20231005</v>
      </c>
      <c r="U213">
        <v>20231005</v>
      </c>
      <c r="V213">
        <v>20231005</v>
      </c>
      <c r="W213">
        <v>20231006</v>
      </c>
      <c r="X213">
        <v>20231006</v>
      </c>
      <c r="Y213">
        <v>20231006</v>
      </c>
      <c r="Z213">
        <v>20231006</v>
      </c>
      <c r="AA213">
        <v>20231009</v>
      </c>
      <c r="AB213">
        <v>20231009</v>
      </c>
      <c r="AC213">
        <v>20231009</v>
      </c>
      <c r="AD213">
        <v>20231009</v>
      </c>
      <c r="AE213">
        <v>20231010</v>
      </c>
      <c r="AF213">
        <v>20231010</v>
      </c>
      <c r="AG213">
        <v>20231010</v>
      </c>
      <c r="AH213">
        <v>20231010</v>
      </c>
      <c r="AI213">
        <v>20231011</v>
      </c>
      <c r="AJ213">
        <v>20231011</v>
      </c>
      <c r="AK213">
        <v>20231011</v>
      </c>
      <c r="AL213">
        <v>20231011</v>
      </c>
      <c r="AM213">
        <v>20231012</v>
      </c>
      <c r="AN213">
        <v>20231012</v>
      </c>
      <c r="AO213">
        <v>20231012</v>
      </c>
      <c r="AP213">
        <v>20231012</v>
      </c>
      <c r="AQ213">
        <v>20231013</v>
      </c>
      <c r="AR213">
        <v>20231013</v>
      </c>
      <c r="AS213">
        <v>20231013</v>
      </c>
      <c r="AT213">
        <v>20231013</v>
      </c>
      <c r="AU213">
        <v>20231016</v>
      </c>
      <c r="AV213">
        <v>20231016</v>
      </c>
      <c r="AW213">
        <v>20231016</v>
      </c>
      <c r="AX213">
        <v>20231016</v>
      </c>
      <c r="AY213">
        <v>20231017</v>
      </c>
      <c r="AZ213">
        <v>20231017</v>
      </c>
      <c r="BA213">
        <v>20231017</v>
      </c>
      <c r="BB213">
        <v>20231017</v>
      </c>
    </row>
    <row r="214" spans="2:55" x14ac:dyDescent="0.2">
      <c r="D214" t="s">
        <v>21</v>
      </c>
      <c r="E214" t="s">
        <v>242</v>
      </c>
      <c r="F214" t="s">
        <v>1</v>
      </c>
      <c r="G214">
        <v>1</v>
      </c>
      <c r="H214">
        <v>2</v>
      </c>
      <c r="I214">
        <v>3</v>
      </c>
      <c r="J214">
        <v>4</v>
      </c>
      <c r="K214">
        <v>1</v>
      </c>
      <c r="L214">
        <v>2</v>
      </c>
      <c r="M214">
        <v>3</v>
      </c>
      <c r="N214">
        <v>4</v>
      </c>
      <c r="O214">
        <v>1</v>
      </c>
      <c r="P214">
        <v>2</v>
      </c>
      <c r="Q214">
        <v>3</v>
      </c>
      <c r="R214">
        <v>4</v>
      </c>
      <c r="S214">
        <v>1</v>
      </c>
      <c r="T214">
        <v>2</v>
      </c>
      <c r="U214">
        <v>3</v>
      </c>
      <c r="V214">
        <v>4</v>
      </c>
      <c r="W214">
        <v>1</v>
      </c>
      <c r="X214">
        <v>2</v>
      </c>
      <c r="Y214">
        <v>3</v>
      </c>
      <c r="Z214">
        <v>4</v>
      </c>
      <c r="AA214">
        <v>1</v>
      </c>
      <c r="AB214">
        <v>2</v>
      </c>
      <c r="AC214">
        <v>3</v>
      </c>
      <c r="AD214">
        <v>4</v>
      </c>
      <c r="AE214">
        <v>1</v>
      </c>
      <c r="AF214">
        <v>2</v>
      </c>
      <c r="AG214">
        <v>3</v>
      </c>
      <c r="AH214">
        <v>4</v>
      </c>
      <c r="AI214">
        <v>1</v>
      </c>
      <c r="AJ214">
        <v>2</v>
      </c>
      <c r="AK214">
        <v>3</v>
      </c>
      <c r="AL214">
        <v>4</v>
      </c>
      <c r="AM214">
        <v>1</v>
      </c>
      <c r="AN214">
        <v>2</v>
      </c>
      <c r="AO214">
        <v>3</v>
      </c>
      <c r="AP214">
        <v>4</v>
      </c>
      <c r="AQ214">
        <v>1</v>
      </c>
      <c r="AR214">
        <v>2</v>
      </c>
      <c r="AS214">
        <v>3</v>
      </c>
      <c r="AT214">
        <v>4</v>
      </c>
      <c r="AU214">
        <v>1</v>
      </c>
      <c r="AV214">
        <v>2</v>
      </c>
      <c r="AW214">
        <v>3</v>
      </c>
      <c r="AX214">
        <v>4</v>
      </c>
      <c r="AY214">
        <v>1</v>
      </c>
      <c r="AZ214">
        <v>2</v>
      </c>
      <c r="BA214">
        <v>3</v>
      </c>
      <c r="BB214">
        <v>4</v>
      </c>
    </row>
    <row r="215" spans="2:55" x14ac:dyDescent="0.2">
      <c r="D215" t="s">
        <v>323</v>
      </c>
      <c r="E215" t="s">
        <v>16</v>
      </c>
      <c r="F215">
        <v>2</v>
      </c>
      <c r="G215">
        <f>$B178*G178</f>
        <v>5.9670000000000014</v>
      </c>
      <c r="H215">
        <f>$B178*H178</f>
        <v>5.9670000000000014</v>
      </c>
      <c r="I215">
        <f t="shared" ref="I215" si="143">$B178*I178</f>
        <v>5.9670000000000014</v>
      </c>
      <c r="J215">
        <f>$B178*J178</f>
        <v>4.773600000000001</v>
      </c>
      <c r="K215">
        <f t="shared" ref="K215:BB215" si="144">$B178*K178</f>
        <v>5.9670000000000014</v>
      </c>
      <c r="L215">
        <f t="shared" si="144"/>
        <v>4.773600000000001</v>
      </c>
      <c r="M215">
        <f t="shared" si="144"/>
        <v>5.9670000000000014</v>
      </c>
      <c r="N215">
        <f t="shared" si="144"/>
        <v>5.9670000000000014</v>
      </c>
      <c r="O215">
        <f t="shared" si="144"/>
        <v>4.773600000000001</v>
      </c>
      <c r="P215">
        <f t="shared" si="144"/>
        <v>5.9670000000000014</v>
      </c>
      <c r="Q215">
        <f t="shared" si="144"/>
        <v>5.9670000000000014</v>
      </c>
      <c r="R215">
        <f t="shared" si="144"/>
        <v>4.773600000000001</v>
      </c>
      <c r="S215">
        <f t="shared" si="144"/>
        <v>5.9670000000000014</v>
      </c>
      <c r="T215">
        <f t="shared" si="144"/>
        <v>4.773600000000001</v>
      </c>
      <c r="U215">
        <f t="shared" si="144"/>
        <v>4.773600000000001</v>
      </c>
      <c r="V215">
        <f t="shared" si="144"/>
        <v>3.5802000000000005</v>
      </c>
      <c r="W215">
        <f t="shared" si="144"/>
        <v>5.9670000000000014</v>
      </c>
      <c r="X215">
        <f t="shared" si="144"/>
        <v>4.773600000000001</v>
      </c>
      <c r="Y215">
        <f t="shared" si="144"/>
        <v>5.9670000000000014</v>
      </c>
      <c r="Z215">
        <f t="shared" si="144"/>
        <v>4.773600000000001</v>
      </c>
      <c r="AA215">
        <f t="shared" si="144"/>
        <v>5.9670000000000014</v>
      </c>
      <c r="AB215">
        <f t="shared" si="144"/>
        <v>5.9670000000000014</v>
      </c>
      <c r="AC215">
        <f t="shared" si="144"/>
        <v>4.773600000000001</v>
      </c>
      <c r="AD215">
        <f t="shared" si="144"/>
        <v>5.9670000000000014</v>
      </c>
      <c r="AE215">
        <f t="shared" si="144"/>
        <v>3.5802000000000005</v>
      </c>
      <c r="AF215">
        <f t="shared" si="144"/>
        <v>4.773600000000001</v>
      </c>
      <c r="AG215">
        <f t="shared" si="144"/>
        <v>5.9670000000000014</v>
      </c>
      <c r="AH215">
        <f t="shared" si="144"/>
        <v>5.9670000000000014</v>
      </c>
      <c r="AI215">
        <f t="shared" si="144"/>
        <v>3.5802000000000005</v>
      </c>
      <c r="AJ215">
        <f t="shared" si="144"/>
        <v>4.773600000000001</v>
      </c>
      <c r="AK215">
        <f t="shared" si="144"/>
        <v>5.9670000000000014</v>
      </c>
      <c r="AL215">
        <f t="shared" si="144"/>
        <v>4.773600000000001</v>
      </c>
      <c r="AM215">
        <f t="shared" si="144"/>
        <v>5.9670000000000014</v>
      </c>
      <c r="AN215">
        <f t="shared" si="144"/>
        <v>4.773600000000001</v>
      </c>
      <c r="AO215">
        <f t="shared" si="144"/>
        <v>5.9670000000000014</v>
      </c>
      <c r="AP215">
        <f t="shared" si="144"/>
        <v>5.9670000000000014</v>
      </c>
      <c r="AQ215">
        <f t="shared" si="144"/>
        <v>4.773600000000001</v>
      </c>
      <c r="AR215">
        <f t="shared" si="144"/>
        <v>4.773600000000001</v>
      </c>
      <c r="AS215">
        <f t="shared" si="144"/>
        <v>5.9670000000000014</v>
      </c>
      <c r="AT215">
        <f t="shared" si="144"/>
        <v>4.773600000000001</v>
      </c>
      <c r="AU215">
        <f t="shared" si="144"/>
        <v>5.9670000000000014</v>
      </c>
      <c r="AV215">
        <f t="shared" si="144"/>
        <v>5.9670000000000014</v>
      </c>
      <c r="AW215">
        <f t="shared" si="144"/>
        <v>4.773600000000001</v>
      </c>
      <c r="AX215">
        <f t="shared" si="144"/>
        <v>5.9670000000000014</v>
      </c>
      <c r="AY215">
        <f t="shared" si="144"/>
        <v>4.773600000000001</v>
      </c>
      <c r="AZ215">
        <f t="shared" si="144"/>
        <v>4.773600000000001</v>
      </c>
      <c r="BA215">
        <f t="shared" si="144"/>
        <v>7.160400000000001</v>
      </c>
      <c r="BB215">
        <f t="shared" si="144"/>
        <v>5.9670000000000014</v>
      </c>
    </row>
    <row r="216" spans="2:55" x14ac:dyDescent="0.2">
      <c r="D216" t="s">
        <v>324</v>
      </c>
      <c r="E216" t="s">
        <v>16</v>
      </c>
      <c r="F216">
        <v>2</v>
      </c>
      <c r="G216">
        <f t="shared" ref="G216:BB216" si="145">$B179*G179</f>
        <v>0.33660000000000001</v>
      </c>
      <c r="H216">
        <f t="shared" si="145"/>
        <v>0.33660000000000001</v>
      </c>
      <c r="I216">
        <f t="shared" si="145"/>
        <v>0.28050000000000003</v>
      </c>
      <c r="J216">
        <f t="shared" si="145"/>
        <v>0.16830000000000001</v>
      </c>
      <c r="K216">
        <f t="shared" si="145"/>
        <v>0.28050000000000003</v>
      </c>
      <c r="L216">
        <f t="shared" si="145"/>
        <v>0.22440000000000002</v>
      </c>
      <c r="M216">
        <f t="shared" si="145"/>
        <v>0.33660000000000001</v>
      </c>
      <c r="N216">
        <f t="shared" si="145"/>
        <v>0.33660000000000001</v>
      </c>
      <c r="O216">
        <f t="shared" si="145"/>
        <v>0.33660000000000001</v>
      </c>
      <c r="P216">
        <f t="shared" si="145"/>
        <v>0.22440000000000002</v>
      </c>
      <c r="Q216">
        <f t="shared" si="145"/>
        <v>0.33660000000000001</v>
      </c>
      <c r="R216">
        <f t="shared" si="145"/>
        <v>0.22440000000000002</v>
      </c>
      <c r="S216">
        <f t="shared" si="145"/>
        <v>0.22440000000000002</v>
      </c>
      <c r="T216">
        <f t="shared" si="145"/>
        <v>0.33660000000000001</v>
      </c>
      <c r="U216">
        <f t="shared" si="145"/>
        <v>0.22440000000000002</v>
      </c>
      <c r="V216">
        <f t="shared" si="145"/>
        <v>0.22440000000000002</v>
      </c>
      <c r="W216">
        <f t="shared" si="145"/>
        <v>0.33660000000000001</v>
      </c>
      <c r="X216">
        <f t="shared" si="145"/>
        <v>0.33660000000000001</v>
      </c>
      <c r="Y216">
        <f t="shared" si="145"/>
        <v>0.22440000000000002</v>
      </c>
      <c r="Z216">
        <f t="shared" si="145"/>
        <v>0.33660000000000001</v>
      </c>
      <c r="AA216">
        <f t="shared" si="145"/>
        <v>0.22440000000000002</v>
      </c>
      <c r="AB216">
        <f t="shared" si="145"/>
        <v>0.33660000000000001</v>
      </c>
      <c r="AC216">
        <f t="shared" si="145"/>
        <v>0.33660000000000001</v>
      </c>
      <c r="AD216">
        <f t="shared" si="145"/>
        <v>0.33660000000000001</v>
      </c>
      <c r="AE216">
        <f t="shared" si="145"/>
        <v>0.11220000000000001</v>
      </c>
      <c r="AF216">
        <f t="shared" si="145"/>
        <v>0.33660000000000001</v>
      </c>
      <c r="AG216">
        <f t="shared" si="145"/>
        <v>0.22440000000000002</v>
      </c>
      <c r="AH216">
        <f t="shared" si="145"/>
        <v>0.33660000000000001</v>
      </c>
      <c r="AI216">
        <f t="shared" si="145"/>
        <v>0.33660000000000001</v>
      </c>
      <c r="AJ216">
        <f t="shared" si="145"/>
        <v>0.22440000000000002</v>
      </c>
      <c r="AK216">
        <f t="shared" si="145"/>
        <v>0.22440000000000002</v>
      </c>
      <c r="AL216">
        <f t="shared" si="145"/>
        <v>0.33660000000000001</v>
      </c>
      <c r="AM216">
        <f t="shared" si="145"/>
        <v>0.33660000000000001</v>
      </c>
      <c r="AN216">
        <f t="shared" si="145"/>
        <v>0.33660000000000001</v>
      </c>
      <c r="AO216">
        <f t="shared" si="145"/>
        <v>0.22440000000000002</v>
      </c>
      <c r="AP216">
        <f t="shared" si="145"/>
        <v>0.33660000000000001</v>
      </c>
      <c r="AQ216">
        <f t="shared" si="145"/>
        <v>0.33660000000000001</v>
      </c>
      <c r="AR216">
        <f t="shared" si="145"/>
        <v>0.22440000000000002</v>
      </c>
      <c r="AS216">
        <f t="shared" si="145"/>
        <v>0.22440000000000002</v>
      </c>
      <c r="AT216">
        <f t="shared" si="145"/>
        <v>0.33660000000000001</v>
      </c>
      <c r="AU216">
        <f t="shared" si="145"/>
        <v>0.22440000000000002</v>
      </c>
      <c r="AV216">
        <f t="shared" si="145"/>
        <v>0.33660000000000001</v>
      </c>
      <c r="AW216">
        <f t="shared" si="145"/>
        <v>0.22440000000000002</v>
      </c>
      <c r="AX216">
        <f t="shared" si="145"/>
        <v>0.33660000000000001</v>
      </c>
      <c r="AY216">
        <f t="shared" si="145"/>
        <v>0.22440000000000002</v>
      </c>
      <c r="AZ216">
        <f t="shared" si="145"/>
        <v>0.33660000000000001</v>
      </c>
      <c r="BA216">
        <f t="shared" si="145"/>
        <v>0.22440000000000002</v>
      </c>
      <c r="BB216">
        <f t="shared" si="145"/>
        <v>0.33660000000000001</v>
      </c>
    </row>
    <row r="217" spans="2:55" x14ac:dyDescent="0.2">
      <c r="D217" t="s">
        <v>335</v>
      </c>
      <c r="E217" t="s">
        <v>18</v>
      </c>
      <c r="F217">
        <v>15</v>
      </c>
      <c r="G217">
        <f t="shared" ref="G217:BB217" si="146">$B180*G180</f>
        <v>0.48575000000000002</v>
      </c>
      <c r="H217">
        <f t="shared" si="146"/>
        <v>0.48575000000000002</v>
      </c>
      <c r="I217">
        <f t="shared" si="146"/>
        <v>0.10050000000000001</v>
      </c>
      <c r="J217">
        <f t="shared" si="146"/>
        <v>0.23450000000000001</v>
      </c>
      <c r="K217">
        <f t="shared" si="146"/>
        <v>0.26800000000000002</v>
      </c>
      <c r="L217">
        <f t="shared" si="146"/>
        <v>0.46900000000000003</v>
      </c>
      <c r="M217">
        <f t="shared" si="146"/>
        <v>0.46900000000000003</v>
      </c>
      <c r="N217">
        <f t="shared" si="146"/>
        <v>0.40200000000000002</v>
      </c>
      <c r="O217">
        <f t="shared" si="146"/>
        <v>0.46900000000000003</v>
      </c>
      <c r="P217">
        <f t="shared" si="146"/>
        <v>0.46900000000000003</v>
      </c>
      <c r="Q217">
        <f t="shared" si="146"/>
        <v>0.33500000000000002</v>
      </c>
      <c r="R217">
        <f t="shared" si="146"/>
        <v>0.46900000000000003</v>
      </c>
      <c r="S217">
        <f t="shared" si="146"/>
        <v>0.46900000000000003</v>
      </c>
      <c r="T217">
        <f t="shared" si="146"/>
        <v>0.40200000000000002</v>
      </c>
      <c r="U217">
        <f t="shared" si="146"/>
        <v>0.26800000000000002</v>
      </c>
      <c r="V217">
        <f t="shared" si="146"/>
        <v>0.46900000000000003</v>
      </c>
      <c r="W217">
        <f t="shared" si="146"/>
        <v>0.46900000000000003</v>
      </c>
      <c r="X217">
        <f t="shared" si="146"/>
        <v>0.46900000000000003</v>
      </c>
      <c r="Y217">
        <f t="shared" si="146"/>
        <v>0.46900000000000003</v>
      </c>
      <c r="Z217">
        <f t="shared" si="146"/>
        <v>0.46900000000000003</v>
      </c>
      <c r="AA217">
        <f t="shared" si="146"/>
        <v>0.46900000000000003</v>
      </c>
      <c r="AB217">
        <f t="shared" si="146"/>
        <v>0.46900000000000003</v>
      </c>
      <c r="AC217">
        <f t="shared" si="146"/>
        <v>0.20100000000000001</v>
      </c>
      <c r="AD217">
        <f t="shared" si="146"/>
        <v>0.46900000000000003</v>
      </c>
      <c r="AE217">
        <f t="shared" si="146"/>
        <v>0.33500000000000002</v>
      </c>
      <c r="AF217">
        <f t="shared" si="146"/>
        <v>0.46900000000000003</v>
      </c>
      <c r="AG217">
        <f t="shared" si="146"/>
        <v>0.46900000000000003</v>
      </c>
      <c r="AH217">
        <f t="shared" si="146"/>
        <v>0.46900000000000003</v>
      </c>
      <c r="AI217">
        <f t="shared" si="146"/>
        <v>0.46900000000000003</v>
      </c>
      <c r="AJ217">
        <f t="shared" si="146"/>
        <v>0.46900000000000003</v>
      </c>
      <c r="AK217">
        <f t="shared" si="146"/>
        <v>0.33500000000000002</v>
      </c>
      <c r="AL217">
        <f t="shared" si="146"/>
        <v>0.46900000000000003</v>
      </c>
      <c r="AM217">
        <f t="shared" si="146"/>
        <v>0.33500000000000002</v>
      </c>
      <c r="AN217">
        <f t="shared" si="146"/>
        <v>0.26800000000000002</v>
      </c>
      <c r="AO217">
        <f t="shared" si="146"/>
        <v>0.46900000000000003</v>
      </c>
      <c r="AP217">
        <f t="shared" si="146"/>
        <v>0.46900000000000003</v>
      </c>
      <c r="AQ217">
        <f t="shared" si="146"/>
        <v>0.40200000000000002</v>
      </c>
      <c r="AR217">
        <f t="shared" si="146"/>
        <v>0.26800000000000002</v>
      </c>
      <c r="AS217">
        <f t="shared" si="146"/>
        <v>0.46900000000000003</v>
      </c>
      <c r="AT217">
        <f t="shared" si="146"/>
        <v>0.46900000000000003</v>
      </c>
      <c r="AU217">
        <f t="shared" si="146"/>
        <v>0.40200000000000002</v>
      </c>
      <c r="AV217">
        <f t="shared" si="146"/>
        <v>0.46900000000000003</v>
      </c>
      <c r="AW217">
        <f t="shared" si="146"/>
        <v>0.33500000000000002</v>
      </c>
      <c r="AX217">
        <f t="shared" si="146"/>
        <v>0.46900000000000003</v>
      </c>
      <c r="AY217">
        <f t="shared" si="146"/>
        <v>0.33500000000000002</v>
      </c>
      <c r="AZ217">
        <f t="shared" si="146"/>
        <v>0.26800000000000002</v>
      </c>
      <c r="BA217">
        <f t="shared" si="146"/>
        <v>0.46900000000000003</v>
      </c>
      <c r="BB217">
        <f t="shared" si="146"/>
        <v>0.46900000000000003</v>
      </c>
    </row>
    <row r="218" spans="2:55" x14ac:dyDescent="0.2">
      <c r="D218" t="s">
        <v>342</v>
      </c>
      <c r="E218" t="s">
        <v>18</v>
      </c>
      <c r="F218">
        <v>8</v>
      </c>
      <c r="G218">
        <f t="shared" ref="G218:BB218" si="147">$B181*G181</f>
        <v>7.8557500000000002E-2</v>
      </c>
      <c r="H218">
        <f t="shared" si="147"/>
        <v>7.8557500000000002E-2</v>
      </c>
      <c r="I218">
        <f t="shared" si="147"/>
        <v>5.6112499999999996E-2</v>
      </c>
      <c r="J218">
        <f t="shared" si="147"/>
        <v>7.8557500000000002E-2</v>
      </c>
      <c r="K218">
        <f t="shared" si="147"/>
        <v>3.3667500000000003E-2</v>
      </c>
      <c r="L218">
        <f t="shared" si="147"/>
        <v>3.3667500000000003E-2</v>
      </c>
      <c r="M218">
        <f t="shared" si="147"/>
        <v>3.3667500000000003E-2</v>
      </c>
      <c r="N218">
        <f t="shared" si="147"/>
        <v>3.3667500000000003E-2</v>
      </c>
      <c r="O218">
        <f t="shared" si="147"/>
        <v>6.7335000000000006E-2</v>
      </c>
      <c r="P218">
        <f t="shared" si="147"/>
        <v>8.9779999999999999E-2</v>
      </c>
      <c r="Q218">
        <f t="shared" si="147"/>
        <v>8.9779999999999999E-2</v>
      </c>
      <c r="R218">
        <f t="shared" si="147"/>
        <v>8.9779999999999999E-2</v>
      </c>
      <c r="S218">
        <f t="shared" si="147"/>
        <v>8.9779999999999999E-2</v>
      </c>
      <c r="T218">
        <f t="shared" si="147"/>
        <v>8.9779999999999999E-2</v>
      </c>
      <c r="U218">
        <f t="shared" si="147"/>
        <v>8.9779999999999999E-2</v>
      </c>
      <c r="V218">
        <f t="shared" si="147"/>
        <v>8.9779999999999999E-2</v>
      </c>
      <c r="W218">
        <f t="shared" si="147"/>
        <v>8.9779999999999999E-2</v>
      </c>
      <c r="X218">
        <f t="shared" si="147"/>
        <v>8.9779999999999999E-2</v>
      </c>
      <c r="Y218">
        <f t="shared" si="147"/>
        <v>8.9779999999999999E-2</v>
      </c>
      <c r="Z218">
        <f t="shared" si="147"/>
        <v>8.9779999999999999E-2</v>
      </c>
      <c r="AA218">
        <f t="shared" si="147"/>
        <v>8.9779999999999999E-2</v>
      </c>
      <c r="AB218">
        <f t="shared" si="147"/>
        <v>8.9779999999999999E-2</v>
      </c>
      <c r="AC218">
        <f t="shared" si="147"/>
        <v>8.9779999999999999E-2</v>
      </c>
      <c r="AD218">
        <f t="shared" si="147"/>
        <v>8.9779999999999999E-2</v>
      </c>
      <c r="AE218">
        <f t="shared" si="147"/>
        <v>8.9779999999999999E-2</v>
      </c>
      <c r="AF218">
        <f t="shared" si="147"/>
        <v>8.9779999999999999E-2</v>
      </c>
      <c r="AG218">
        <f t="shared" si="147"/>
        <v>8.9779999999999999E-2</v>
      </c>
      <c r="AH218">
        <f t="shared" si="147"/>
        <v>8.9779999999999999E-2</v>
      </c>
      <c r="AI218">
        <f t="shared" si="147"/>
        <v>8.9779999999999999E-2</v>
      </c>
      <c r="AJ218">
        <f t="shared" si="147"/>
        <v>8.9779999999999999E-2</v>
      </c>
      <c r="AK218">
        <f t="shared" si="147"/>
        <v>8.9779999999999999E-2</v>
      </c>
      <c r="AL218">
        <f t="shared" si="147"/>
        <v>8.9779999999999999E-2</v>
      </c>
      <c r="AM218">
        <f t="shared" si="147"/>
        <v>8.9779999999999999E-2</v>
      </c>
      <c r="AN218">
        <f t="shared" si="147"/>
        <v>8.9779999999999999E-2</v>
      </c>
      <c r="AO218">
        <f t="shared" si="147"/>
        <v>8.9779999999999999E-2</v>
      </c>
      <c r="AP218">
        <f t="shared" si="147"/>
        <v>8.9779999999999999E-2</v>
      </c>
      <c r="AQ218">
        <f t="shared" si="147"/>
        <v>8.9779999999999999E-2</v>
      </c>
      <c r="AR218">
        <f t="shared" si="147"/>
        <v>8.9779999999999999E-2</v>
      </c>
      <c r="AS218">
        <f t="shared" si="147"/>
        <v>8.9779999999999999E-2</v>
      </c>
      <c r="AT218">
        <f t="shared" si="147"/>
        <v>8.9779999999999999E-2</v>
      </c>
      <c r="AU218">
        <f t="shared" si="147"/>
        <v>8.9779999999999999E-2</v>
      </c>
      <c r="AV218">
        <f t="shared" si="147"/>
        <v>8.9779999999999999E-2</v>
      </c>
      <c r="AW218">
        <f t="shared" si="147"/>
        <v>7.8557500000000002E-2</v>
      </c>
      <c r="AX218">
        <f t="shared" si="147"/>
        <v>7.8557500000000002E-2</v>
      </c>
      <c r="AY218">
        <f t="shared" si="147"/>
        <v>6.7335000000000006E-2</v>
      </c>
      <c r="AZ218">
        <f t="shared" si="147"/>
        <v>7.8557500000000002E-2</v>
      </c>
      <c r="BA218">
        <f t="shared" si="147"/>
        <v>7.8557500000000002E-2</v>
      </c>
      <c r="BB218">
        <f t="shared" si="147"/>
        <v>7.8557500000000002E-2</v>
      </c>
    </row>
    <row r="219" spans="2:55" x14ac:dyDescent="0.2">
      <c r="D219" t="s">
        <v>343</v>
      </c>
      <c r="E219" t="s">
        <v>18</v>
      </c>
      <c r="F219">
        <v>8</v>
      </c>
      <c r="G219">
        <f t="shared" ref="G219:BB219" si="148">$B182*G182</f>
        <v>0.13467000000000001</v>
      </c>
      <c r="H219">
        <f t="shared" si="148"/>
        <v>0.13467000000000001</v>
      </c>
      <c r="I219">
        <f t="shared" si="148"/>
        <v>7.8557500000000002E-2</v>
      </c>
      <c r="J219">
        <f t="shared" si="148"/>
        <v>0</v>
      </c>
      <c r="K219">
        <f t="shared" si="148"/>
        <v>0.1010025</v>
      </c>
      <c r="L219">
        <f t="shared" si="148"/>
        <v>0.1234475</v>
      </c>
      <c r="M219">
        <f t="shared" si="148"/>
        <v>0.1010025</v>
      </c>
      <c r="N219">
        <f t="shared" si="148"/>
        <v>0.14589250000000001</v>
      </c>
      <c r="O219">
        <f t="shared" si="148"/>
        <v>0.14589250000000001</v>
      </c>
      <c r="P219">
        <f t="shared" si="148"/>
        <v>0.13467000000000001</v>
      </c>
      <c r="Q219">
        <f t="shared" si="148"/>
        <v>0.14589250000000001</v>
      </c>
      <c r="R219">
        <f t="shared" si="148"/>
        <v>0.14589250000000001</v>
      </c>
      <c r="S219">
        <f t="shared" si="148"/>
        <v>0.14589250000000001</v>
      </c>
      <c r="T219">
        <f t="shared" si="148"/>
        <v>0.13467000000000001</v>
      </c>
      <c r="U219">
        <f t="shared" si="148"/>
        <v>0.14589250000000001</v>
      </c>
      <c r="V219">
        <f t="shared" si="148"/>
        <v>0.14589250000000001</v>
      </c>
      <c r="W219">
        <f t="shared" si="148"/>
        <v>0.14589250000000001</v>
      </c>
      <c r="X219">
        <f t="shared" si="148"/>
        <v>0.13467000000000001</v>
      </c>
      <c r="Y219">
        <f t="shared" si="148"/>
        <v>0.157115</v>
      </c>
      <c r="Z219">
        <f t="shared" si="148"/>
        <v>0.14589250000000001</v>
      </c>
      <c r="AA219">
        <f t="shared" si="148"/>
        <v>0.157115</v>
      </c>
      <c r="AB219">
        <f t="shared" si="148"/>
        <v>0.14589250000000001</v>
      </c>
      <c r="AC219">
        <f t="shared" si="148"/>
        <v>0.14589250000000001</v>
      </c>
      <c r="AD219">
        <f t="shared" si="148"/>
        <v>0.14589250000000001</v>
      </c>
      <c r="AE219">
        <f t="shared" si="148"/>
        <v>0.14589250000000001</v>
      </c>
      <c r="AF219">
        <f t="shared" si="148"/>
        <v>0.13467000000000001</v>
      </c>
      <c r="AG219">
        <f t="shared" si="148"/>
        <v>0.1234475</v>
      </c>
      <c r="AH219">
        <f t="shared" si="148"/>
        <v>0.14589250000000001</v>
      </c>
      <c r="AI219">
        <f t="shared" si="148"/>
        <v>0.14589250000000001</v>
      </c>
      <c r="AJ219">
        <f t="shared" si="148"/>
        <v>0.13467000000000001</v>
      </c>
      <c r="AK219">
        <f t="shared" si="148"/>
        <v>0.14589250000000001</v>
      </c>
      <c r="AL219">
        <f t="shared" si="148"/>
        <v>0.157115</v>
      </c>
      <c r="AM219">
        <f t="shared" si="148"/>
        <v>0.14589250000000001</v>
      </c>
      <c r="AN219">
        <f t="shared" si="148"/>
        <v>0.13467000000000001</v>
      </c>
      <c r="AO219">
        <f t="shared" si="148"/>
        <v>0.14589250000000001</v>
      </c>
      <c r="AP219">
        <f t="shared" si="148"/>
        <v>0.14589250000000001</v>
      </c>
      <c r="AQ219">
        <f t="shared" si="148"/>
        <v>0.14589250000000001</v>
      </c>
      <c r="AR219">
        <f t="shared" si="148"/>
        <v>0.13467000000000001</v>
      </c>
      <c r="AS219">
        <f t="shared" si="148"/>
        <v>0.14589250000000001</v>
      </c>
      <c r="AT219">
        <f t="shared" si="148"/>
        <v>0.14589250000000001</v>
      </c>
      <c r="AU219">
        <f t="shared" si="148"/>
        <v>0.14589250000000001</v>
      </c>
      <c r="AV219">
        <f t="shared" si="148"/>
        <v>0.13467000000000001</v>
      </c>
      <c r="AW219">
        <f t="shared" si="148"/>
        <v>0.14589250000000001</v>
      </c>
      <c r="AX219">
        <f t="shared" si="148"/>
        <v>0.14589250000000001</v>
      </c>
      <c r="AY219">
        <f t="shared" si="148"/>
        <v>0.14589250000000001</v>
      </c>
      <c r="AZ219">
        <f t="shared" si="148"/>
        <v>0.13467000000000001</v>
      </c>
      <c r="BA219">
        <f t="shared" si="148"/>
        <v>0.14589250000000001</v>
      </c>
      <c r="BB219">
        <f t="shared" si="148"/>
        <v>0.14589250000000001</v>
      </c>
    </row>
    <row r="220" spans="2:55" x14ac:dyDescent="0.2">
      <c r="D220" t="s">
        <v>344</v>
      </c>
      <c r="E220" t="s">
        <v>18</v>
      </c>
      <c r="F220">
        <v>8</v>
      </c>
      <c r="G220">
        <f t="shared" ref="G220:BB220" si="149">$B183*G183</f>
        <v>3.3667500000000003E-2</v>
      </c>
      <c r="H220">
        <f t="shared" si="149"/>
        <v>2.2445E-2</v>
      </c>
      <c r="I220">
        <f t="shared" si="149"/>
        <v>2.2445E-2</v>
      </c>
      <c r="J220">
        <f t="shared" si="149"/>
        <v>2.2445E-2</v>
      </c>
      <c r="K220">
        <f t="shared" si="149"/>
        <v>3.3667500000000003E-2</v>
      </c>
      <c r="L220">
        <f t="shared" si="149"/>
        <v>3.3667500000000003E-2</v>
      </c>
      <c r="M220">
        <f t="shared" si="149"/>
        <v>3.3667500000000003E-2</v>
      </c>
      <c r="N220">
        <f t="shared" si="149"/>
        <v>2.2445E-2</v>
      </c>
      <c r="O220">
        <f t="shared" si="149"/>
        <v>2.2445E-2</v>
      </c>
      <c r="P220">
        <f t="shared" si="149"/>
        <v>2.2445E-2</v>
      </c>
      <c r="Q220">
        <f t="shared" si="149"/>
        <v>3.3667500000000003E-2</v>
      </c>
      <c r="R220">
        <f t="shared" si="149"/>
        <v>2.2445E-2</v>
      </c>
      <c r="S220">
        <f t="shared" si="149"/>
        <v>2.2445E-2</v>
      </c>
      <c r="T220">
        <f t="shared" si="149"/>
        <v>2.2445E-2</v>
      </c>
      <c r="U220">
        <f t="shared" si="149"/>
        <v>3.3667500000000003E-2</v>
      </c>
      <c r="V220">
        <f t="shared" si="149"/>
        <v>2.2445E-2</v>
      </c>
      <c r="W220">
        <f t="shared" si="149"/>
        <v>2.2445E-2</v>
      </c>
      <c r="X220">
        <f t="shared" si="149"/>
        <v>0</v>
      </c>
      <c r="Y220">
        <f t="shared" si="149"/>
        <v>0</v>
      </c>
      <c r="Z220">
        <f t="shared" si="149"/>
        <v>0</v>
      </c>
      <c r="AA220">
        <f t="shared" si="149"/>
        <v>1.12225E-2</v>
      </c>
      <c r="AB220">
        <f t="shared" si="149"/>
        <v>3.3667500000000003E-2</v>
      </c>
      <c r="AC220">
        <f t="shared" si="149"/>
        <v>2.2445E-2</v>
      </c>
      <c r="AD220">
        <f t="shared" si="149"/>
        <v>2.2445E-2</v>
      </c>
      <c r="AE220">
        <f t="shared" si="149"/>
        <v>2.2445E-2</v>
      </c>
      <c r="AF220">
        <f t="shared" si="149"/>
        <v>3.3667500000000003E-2</v>
      </c>
      <c r="AG220">
        <f t="shared" si="149"/>
        <v>2.2445E-2</v>
      </c>
      <c r="AH220">
        <f t="shared" si="149"/>
        <v>2.2445E-2</v>
      </c>
      <c r="AI220">
        <f t="shared" si="149"/>
        <v>2.2445E-2</v>
      </c>
      <c r="AJ220">
        <f t="shared" si="149"/>
        <v>3.3667500000000003E-2</v>
      </c>
      <c r="AK220">
        <f t="shared" si="149"/>
        <v>2.2445E-2</v>
      </c>
      <c r="AL220">
        <f t="shared" si="149"/>
        <v>2.2445E-2</v>
      </c>
      <c r="AM220">
        <f t="shared" si="149"/>
        <v>2.2445E-2</v>
      </c>
      <c r="AN220">
        <f t="shared" si="149"/>
        <v>2.2445E-2</v>
      </c>
      <c r="AO220">
        <f t="shared" si="149"/>
        <v>2.2445E-2</v>
      </c>
      <c r="AP220">
        <f t="shared" si="149"/>
        <v>2.2445E-2</v>
      </c>
      <c r="AQ220">
        <f t="shared" si="149"/>
        <v>2.2445E-2</v>
      </c>
      <c r="AR220">
        <f t="shared" si="149"/>
        <v>3.3667500000000003E-2</v>
      </c>
      <c r="AS220">
        <f t="shared" si="149"/>
        <v>3.3667500000000003E-2</v>
      </c>
      <c r="AT220">
        <f t="shared" si="149"/>
        <v>3.3667500000000003E-2</v>
      </c>
      <c r="AU220">
        <f t="shared" si="149"/>
        <v>3.3667500000000003E-2</v>
      </c>
      <c r="AV220">
        <f t="shared" si="149"/>
        <v>2.2445E-2</v>
      </c>
      <c r="AW220">
        <f t="shared" si="149"/>
        <v>2.2445E-2</v>
      </c>
      <c r="AX220">
        <f t="shared" si="149"/>
        <v>2.2445E-2</v>
      </c>
      <c r="AY220">
        <f t="shared" si="149"/>
        <v>2.2445E-2</v>
      </c>
      <c r="AZ220">
        <f t="shared" si="149"/>
        <v>2.2445E-2</v>
      </c>
      <c r="BA220">
        <f t="shared" si="149"/>
        <v>2.2445E-2</v>
      </c>
      <c r="BB220">
        <f t="shared" si="149"/>
        <v>2.2445E-2</v>
      </c>
    </row>
    <row r="221" spans="2:55" x14ac:dyDescent="0.2">
      <c r="D221" t="s">
        <v>350</v>
      </c>
      <c r="E221" t="s">
        <v>18</v>
      </c>
      <c r="F221">
        <v>30</v>
      </c>
      <c r="G221">
        <f t="shared" ref="G221:BB221" si="150">$B184*G184</f>
        <v>0.45599999999999996</v>
      </c>
      <c r="H221">
        <f t="shared" si="150"/>
        <v>0.30399999999999999</v>
      </c>
      <c r="I221">
        <f t="shared" si="150"/>
        <v>0.45599999999999996</v>
      </c>
      <c r="J221">
        <f t="shared" si="150"/>
        <v>0.30399999999999999</v>
      </c>
      <c r="K221">
        <f t="shared" si="150"/>
        <v>0.152</v>
      </c>
      <c r="L221">
        <f t="shared" si="150"/>
        <v>0.152</v>
      </c>
      <c r="M221">
        <f t="shared" si="150"/>
        <v>0.152</v>
      </c>
      <c r="N221">
        <f t="shared" si="150"/>
        <v>0.152</v>
      </c>
      <c r="O221">
        <f t="shared" si="150"/>
        <v>0</v>
      </c>
      <c r="P221">
        <f t="shared" si="150"/>
        <v>0</v>
      </c>
      <c r="Q221">
        <f t="shared" si="150"/>
        <v>0.152</v>
      </c>
      <c r="R221">
        <f t="shared" si="150"/>
        <v>0.152</v>
      </c>
      <c r="S221">
        <f t="shared" si="150"/>
        <v>0.152</v>
      </c>
      <c r="T221">
        <f t="shared" si="150"/>
        <v>0.152</v>
      </c>
      <c r="U221">
        <f t="shared" si="150"/>
        <v>0.30399999999999999</v>
      </c>
      <c r="V221">
        <f t="shared" si="150"/>
        <v>0.30399999999999999</v>
      </c>
      <c r="W221">
        <f t="shared" si="150"/>
        <v>0.30399999999999999</v>
      </c>
      <c r="X221">
        <f t="shared" si="150"/>
        <v>0.30399999999999999</v>
      </c>
      <c r="Y221">
        <f t="shared" si="150"/>
        <v>0.30399999999999999</v>
      </c>
      <c r="Z221">
        <f t="shared" si="150"/>
        <v>0.30399999999999999</v>
      </c>
      <c r="AA221">
        <f t="shared" si="150"/>
        <v>0.30399999999999999</v>
      </c>
      <c r="AB221">
        <f t="shared" si="150"/>
        <v>0.30399999999999999</v>
      </c>
      <c r="AC221">
        <f t="shared" si="150"/>
        <v>0.152</v>
      </c>
      <c r="AD221">
        <f t="shared" si="150"/>
        <v>0.30399999999999999</v>
      </c>
      <c r="AE221">
        <f t="shared" si="150"/>
        <v>0.152</v>
      </c>
      <c r="AF221">
        <f t="shared" si="150"/>
        <v>0.30399999999999999</v>
      </c>
      <c r="AG221">
        <f t="shared" si="150"/>
        <v>0.152</v>
      </c>
      <c r="AH221">
        <f t="shared" si="150"/>
        <v>0.30399999999999999</v>
      </c>
      <c r="AI221">
        <f t="shared" si="150"/>
        <v>0.152</v>
      </c>
      <c r="AJ221">
        <f t="shared" si="150"/>
        <v>0.30399999999999999</v>
      </c>
      <c r="AK221">
        <f t="shared" si="150"/>
        <v>0.152</v>
      </c>
      <c r="AL221">
        <f t="shared" si="150"/>
        <v>0.30399999999999999</v>
      </c>
      <c r="AM221">
        <f t="shared" si="150"/>
        <v>0.152</v>
      </c>
      <c r="AN221">
        <f t="shared" si="150"/>
        <v>0.30399999999999999</v>
      </c>
      <c r="AO221">
        <f t="shared" si="150"/>
        <v>0.152</v>
      </c>
      <c r="AP221">
        <f t="shared" si="150"/>
        <v>0.30399999999999999</v>
      </c>
      <c r="AQ221">
        <f t="shared" si="150"/>
        <v>0.152</v>
      </c>
      <c r="AR221">
        <f t="shared" si="150"/>
        <v>0.45599999999999996</v>
      </c>
      <c r="AS221">
        <f t="shared" si="150"/>
        <v>0.152</v>
      </c>
      <c r="AT221">
        <f t="shared" si="150"/>
        <v>0.30399999999999999</v>
      </c>
      <c r="AU221">
        <f t="shared" si="150"/>
        <v>0.152</v>
      </c>
      <c r="AV221">
        <f t="shared" si="150"/>
        <v>0.30399999999999999</v>
      </c>
      <c r="AW221">
        <f t="shared" si="150"/>
        <v>0.30399999999999999</v>
      </c>
      <c r="AX221">
        <f t="shared" si="150"/>
        <v>0.30399999999999999</v>
      </c>
      <c r="AY221">
        <f t="shared" si="150"/>
        <v>0.152</v>
      </c>
      <c r="AZ221">
        <f t="shared" si="150"/>
        <v>0.30399999999999999</v>
      </c>
      <c r="BA221">
        <f t="shared" si="150"/>
        <v>0.30399999999999999</v>
      </c>
      <c r="BB221">
        <f t="shared" si="150"/>
        <v>0.30399999999999999</v>
      </c>
    </row>
    <row r="222" spans="2:55" x14ac:dyDescent="0.2">
      <c r="D222" t="s">
        <v>351</v>
      </c>
      <c r="E222" t="s">
        <v>18</v>
      </c>
      <c r="F222">
        <v>30</v>
      </c>
      <c r="G222">
        <f t="shared" ref="G222:BB222" si="151">$B185*G185</f>
        <v>1.0640000000000001</v>
      </c>
      <c r="H222">
        <f t="shared" si="151"/>
        <v>0.91199999999999992</v>
      </c>
      <c r="I222">
        <f t="shared" si="151"/>
        <v>1.0640000000000001</v>
      </c>
      <c r="J222">
        <f t="shared" si="151"/>
        <v>0.60799999999999998</v>
      </c>
      <c r="K222">
        <f t="shared" si="151"/>
        <v>1.0640000000000001</v>
      </c>
      <c r="L222">
        <f t="shared" si="151"/>
        <v>0.45599999999999996</v>
      </c>
      <c r="M222">
        <f t="shared" si="151"/>
        <v>0.60799999999999998</v>
      </c>
      <c r="N222">
        <f t="shared" si="151"/>
        <v>0.60799999999999998</v>
      </c>
      <c r="O222">
        <f t="shared" si="151"/>
        <v>0.45599999999999996</v>
      </c>
      <c r="P222">
        <f t="shared" si="151"/>
        <v>0.45599999999999996</v>
      </c>
      <c r="Q222">
        <f t="shared" si="151"/>
        <v>0.60799999999999998</v>
      </c>
      <c r="R222">
        <f t="shared" si="151"/>
        <v>0.60799999999999998</v>
      </c>
      <c r="S222">
        <f t="shared" si="151"/>
        <v>0.45599999999999996</v>
      </c>
      <c r="T222">
        <f t="shared" si="151"/>
        <v>0.45599999999999996</v>
      </c>
      <c r="U222">
        <f t="shared" si="151"/>
        <v>0.76</v>
      </c>
      <c r="V222">
        <f t="shared" si="151"/>
        <v>0.60799999999999998</v>
      </c>
      <c r="W222">
        <f t="shared" si="151"/>
        <v>0.45599999999999996</v>
      </c>
      <c r="X222">
        <f t="shared" si="151"/>
        <v>0.30399999999999999</v>
      </c>
      <c r="Y222">
        <f t="shared" si="151"/>
        <v>0.45599999999999996</v>
      </c>
      <c r="Z222">
        <f t="shared" si="151"/>
        <v>0.45599999999999996</v>
      </c>
      <c r="AA222">
        <f t="shared" si="151"/>
        <v>0.30399999999999999</v>
      </c>
      <c r="AB222">
        <f t="shared" si="151"/>
        <v>0.45599999999999996</v>
      </c>
      <c r="AC222">
        <f t="shared" si="151"/>
        <v>0.60799999999999998</v>
      </c>
      <c r="AD222">
        <f t="shared" si="151"/>
        <v>0.60799999999999998</v>
      </c>
      <c r="AE222">
        <f t="shared" si="151"/>
        <v>0.45599999999999996</v>
      </c>
      <c r="AF222">
        <f t="shared" si="151"/>
        <v>0.45599999999999996</v>
      </c>
      <c r="AG222">
        <f t="shared" si="151"/>
        <v>0.60799999999999998</v>
      </c>
      <c r="AH222">
        <f t="shared" si="151"/>
        <v>0.60799999999999998</v>
      </c>
      <c r="AI222">
        <f t="shared" si="151"/>
        <v>0.45599999999999996</v>
      </c>
      <c r="AJ222">
        <f t="shared" si="151"/>
        <v>0.45599999999999996</v>
      </c>
      <c r="AK222">
        <f t="shared" si="151"/>
        <v>0.45599999999999996</v>
      </c>
      <c r="AL222">
        <f t="shared" si="151"/>
        <v>0.60799999999999998</v>
      </c>
      <c r="AM222">
        <f t="shared" si="151"/>
        <v>0.45599999999999996</v>
      </c>
      <c r="AN222">
        <f t="shared" si="151"/>
        <v>0.45599999999999996</v>
      </c>
      <c r="AO222">
        <f t="shared" si="151"/>
        <v>0.60799999999999998</v>
      </c>
      <c r="AP222">
        <f t="shared" si="151"/>
        <v>0.60799999999999998</v>
      </c>
      <c r="AQ222">
        <f t="shared" si="151"/>
        <v>0.45599999999999996</v>
      </c>
      <c r="AR222">
        <f t="shared" si="151"/>
        <v>0.45599999999999996</v>
      </c>
      <c r="AS222">
        <f t="shared" si="151"/>
        <v>0.60799999999999998</v>
      </c>
      <c r="AT222">
        <f t="shared" si="151"/>
        <v>0.60799999999999998</v>
      </c>
      <c r="AU222">
        <f t="shared" si="151"/>
        <v>0.45599999999999996</v>
      </c>
      <c r="AV222">
        <f t="shared" si="151"/>
        <v>0.45599999999999996</v>
      </c>
      <c r="AW222">
        <f t="shared" si="151"/>
        <v>0.60799999999999998</v>
      </c>
      <c r="AX222">
        <f t="shared" si="151"/>
        <v>0.45599999999999996</v>
      </c>
      <c r="AY222">
        <f t="shared" si="151"/>
        <v>0.45599999999999996</v>
      </c>
      <c r="AZ222">
        <f t="shared" si="151"/>
        <v>0.45599999999999996</v>
      </c>
      <c r="BA222">
        <f t="shared" si="151"/>
        <v>0.60799999999999998</v>
      </c>
      <c r="BB222">
        <f t="shared" si="151"/>
        <v>0.60799999999999998</v>
      </c>
    </row>
    <row r="223" spans="2:55" x14ac:dyDescent="0.2">
      <c r="D223" t="s">
        <v>352</v>
      </c>
      <c r="E223" t="s">
        <v>18</v>
      </c>
      <c r="F223">
        <v>30</v>
      </c>
      <c r="G223">
        <f t="shared" ref="G223:BB223" si="152">$B186*G186</f>
        <v>0.30399999999999999</v>
      </c>
      <c r="H223">
        <f t="shared" si="152"/>
        <v>0.45599999999999996</v>
      </c>
      <c r="I223">
        <f t="shared" si="152"/>
        <v>0.30399999999999999</v>
      </c>
      <c r="J223">
        <f t="shared" si="152"/>
        <v>0.60799999999999998</v>
      </c>
      <c r="K223">
        <f t="shared" si="152"/>
        <v>0</v>
      </c>
      <c r="L223">
        <f t="shared" si="152"/>
        <v>0</v>
      </c>
      <c r="M223">
        <f t="shared" si="152"/>
        <v>0</v>
      </c>
      <c r="N223">
        <f t="shared" si="152"/>
        <v>0</v>
      </c>
      <c r="O223">
        <f t="shared" si="152"/>
        <v>0</v>
      </c>
      <c r="P223">
        <f t="shared" si="152"/>
        <v>0</v>
      </c>
      <c r="Q223">
        <f t="shared" si="152"/>
        <v>0</v>
      </c>
      <c r="R223">
        <f t="shared" si="152"/>
        <v>0</v>
      </c>
      <c r="S223">
        <f t="shared" si="152"/>
        <v>0</v>
      </c>
      <c r="T223">
        <f t="shared" si="152"/>
        <v>0</v>
      </c>
      <c r="U223">
        <f t="shared" si="152"/>
        <v>0</v>
      </c>
      <c r="V223">
        <f t="shared" si="152"/>
        <v>0</v>
      </c>
      <c r="W223">
        <f t="shared" si="152"/>
        <v>0</v>
      </c>
      <c r="X223">
        <f t="shared" si="152"/>
        <v>0</v>
      </c>
      <c r="Y223">
        <f t="shared" si="152"/>
        <v>0</v>
      </c>
      <c r="Z223">
        <f t="shared" si="152"/>
        <v>0</v>
      </c>
      <c r="AA223">
        <f t="shared" si="152"/>
        <v>0</v>
      </c>
      <c r="AB223">
        <f t="shared" si="152"/>
        <v>0</v>
      </c>
      <c r="AC223">
        <f t="shared" si="152"/>
        <v>0.152</v>
      </c>
      <c r="AD223">
        <f t="shared" si="152"/>
        <v>0</v>
      </c>
      <c r="AE223">
        <f t="shared" si="152"/>
        <v>0.152</v>
      </c>
      <c r="AF223">
        <f t="shared" si="152"/>
        <v>0</v>
      </c>
      <c r="AG223">
        <f t="shared" si="152"/>
        <v>0.152</v>
      </c>
      <c r="AH223">
        <f t="shared" si="152"/>
        <v>0</v>
      </c>
      <c r="AI223">
        <f t="shared" si="152"/>
        <v>0.152</v>
      </c>
      <c r="AJ223">
        <f t="shared" si="152"/>
        <v>0</v>
      </c>
      <c r="AK223">
        <f t="shared" si="152"/>
        <v>0.152</v>
      </c>
      <c r="AL223">
        <f t="shared" si="152"/>
        <v>0.60799999999999998</v>
      </c>
      <c r="AM223">
        <f t="shared" si="152"/>
        <v>0.152</v>
      </c>
      <c r="AN223">
        <f t="shared" si="152"/>
        <v>0</v>
      </c>
      <c r="AO223">
        <f t="shared" si="152"/>
        <v>0</v>
      </c>
      <c r="AP223">
        <f t="shared" si="152"/>
        <v>0</v>
      </c>
      <c r="AQ223">
        <f t="shared" si="152"/>
        <v>0</v>
      </c>
      <c r="AR223">
        <f t="shared" si="152"/>
        <v>0</v>
      </c>
      <c r="AS223">
        <f t="shared" si="152"/>
        <v>0</v>
      </c>
      <c r="AT223">
        <f t="shared" si="152"/>
        <v>0</v>
      </c>
      <c r="AU223">
        <f t="shared" si="152"/>
        <v>0.152</v>
      </c>
      <c r="AV223">
        <f t="shared" si="152"/>
        <v>0</v>
      </c>
      <c r="AW223">
        <f t="shared" si="152"/>
        <v>0.152</v>
      </c>
      <c r="AX223">
        <f t="shared" si="152"/>
        <v>0</v>
      </c>
      <c r="AY223">
        <f t="shared" si="152"/>
        <v>0.152</v>
      </c>
      <c r="AZ223">
        <f t="shared" si="152"/>
        <v>0</v>
      </c>
      <c r="BA223">
        <f t="shared" si="152"/>
        <v>0.152</v>
      </c>
      <c r="BB223">
        <f t="shared" si="152"/>
        <v>0</v>
      </c>
    </row>
    <row r="224" spans="2:55" x14ac:dyDescent="0.2">
      <c r="D224" t="s">
        <v>319</v>
      </c>
      <c r="E224" t="s">
        <v>12</v>
      </c>
      <c r="F224">
        <v>150</v>
      </c>
      <c r="G224">
        <f t="shared" ref="G224:BB224" si="153">$B187*G187</f>
        <v>0</v>
      </c>
      <c r="H224">
        <f t="shared" si="153"/>
        <v>0</v>
      </c>
      <c r="I224">
        <f t="shared" si="153"/>
        <v>0</v>
      </c>
      <c r="J224">
        <f t="shared" si="153"/>
        <v>0</v>
      </c>
      <c r="K224">
        <f t="shared" si="153"/>
        <v>0</v>
      </c>
      <c r="L224">
        <f t="shared" si="153"/>
        <v>0</v>
      </c>
      <c r="M224">
        <f t="shared" si="153"/>
        <v>0</v>
      </c>
      <c r="N224">
        <f t="shared" si="153"/>
        <v>0</v>
      </c>
      <c r="O224">
        <f t="shared" si="153"/>
        <v>0</v>
      </c>
      <c r="P224">
        <f t="shared" si="153"/>
        <v>0</v>
      </c>
      <c r="Q224">
        <f t="shared" si="153"/>
        <v>0</v>
      </c>
      <c r="R224">
        <f t="shared" si="153"/>
        <v>0</v>
      </c>
      <c r="S224">
        <f t="shared" si="153"/>
        <v>0</v>
      </c>
      <c r="T224">
        <f t="shared" si="153"/>
        <v>0</v>
      </c>
      <c r="U224">
        <f t="shared" si="153"/>
        <v>0</v>
      </c>
      <c r="V224">
        <f t="shared" si="153"/>
        <v>0</v>
      </c>
      <c r="W224">
        <f t="shared" si="153"/>
        <v>0</v>
      </c>
      <c r="X224">
        <f t="shared" si="153"/>
        <v>0</v>
      </c>
      <c r="Y224">
        <f t="shared" si="153"/>
        <v>0</v>
      </c>
      <c r="Z224">
        <f t="shared" si="153"/>
        <v>0</v>
      </c>
      <c r="AA224">
        <f t="shared" si="153"/>
        <v>0</v>
      </c>
      <c r="AB224">
        <f t="shared" si="153"/>
        <v>0</v>
      </c>
      <c r="AC224">
        <f t="shared" si="153"/>
        <v>0</v>
      </c>
      <c r="AD224">
        <f t="shared" si="153"/>
        <v>0</v>
      </c>
      <c r="AE224">
        <f t="shared" si="153"/>
        <v>0</v>
      </c>
      <c r="AF224">
        <f t="shared" si="153"/>
        <v>0</v>
      </c>
      <c r="AG224">
        <f t="shared" si="153"/>
        <v>0</v>
      </c>
      <c r="AH224">
        <f t="shared" si="153"/>
        <v>0</v>
      </c>
      <c r="AI224">
        <f t="shared" si="153"/>
        <v>0</v>
      </c>
      <c r="AJ224">
        <f t="shared" si="153"/>
        <v>0</v>
      </c>
      <c r="AK224">
        <f t="shared" si="153"/>
        <v>0</v>
      </c>
      <c r="AL224">
        <f t="shared" si="153"/>
        <v>0</v>
      </c>
      <c r="AM224">
        <f t="shared" si="153"/>
        <v>0</v>
      </c>
      <c r="AN224">
        <f t="shared" si="153"/>
        <v>0</v>
      </c>
      <c r="AO224">
        <f t="shared" si="153"/>
        <v>0</v>
      </c>
      <c r="AP224">
        <f t="shared" si="153"/>
        <v>0</v>
      </c>
      <c r="AQ224">
        <f t="shared" si="153"/>
        <v>6.2458000000000001E-3</v>
      </c>
      <c r="AR224">
        <f t="shared" si="153"/>
        <v>0</v>
      </c>
      <c r="AS224">
        <f t="shared" si="153"/>
        <v>0</v>
      </c>
      <c r="AT224">
        <f t="shared" si="153"/>
        <v>0</v>
      </c>
      <c r="AU224">
        <f t="shared" si="153"/>
        <v>0</v>
      </c>
      <c r="AV224">
        <f t="shared" si="153"/>
        <v>0</v>
      </c>
      <c r="AW224">
        <f t="shared" si="153"/>
        <v>0</v>
      </c>
      <c r="AX224">
        <f t="shared" si="153"/>
        <v>0</v>
      </c>
      <c r="AY224">
        <f t="shared" si="153"/>
        <v>0</v>
      </c>
      <c r="AZ224">
        <f t="shared" si="153"/>
        <v>0</v>
      </c>
      <c r="BA224">
        <f t="shared" si="153"/>
        <v>0</v>
      </c>
      <c r="BB224">
        <f t="shared" si="153"/>
        <v>0</v>
      </c>
    </row>
    <row r="225" spans="4:54" x14ac:dyDescent="0.2">
      <c r="D225" t="s">
        <v>319</v>
      </c>
      <c r="E225" t="s">
        <v>13</v>
      </c>
      <c r="F225">
        <v>150</v>
      </c>
      <c r="G225">
        <f>$B188*G188</f>
        <v>0</v>
      </c>
      <c r="H225">
        <f t="shared" ref="H225:BB225" si="154">$B188*H188</f>
        <v>0</v>
      </c>
      <c r="I225">
        <f t="shared" si="154"/>
        <v>6.2458000000000001E-3</v>
      </c>
      <c r="J225">
        <f t="shared" si="154"/>
        <v>0</v>
      </c>
      <c r="K225">
        <f t="shared" si="154"/>
        <v>0</v>
      </c>
      <c r="L225">
        <f t="shared" si="154"/>
        <v>0</v>
      </c>
      <c r="M225">
        <f t="shared" si="154"/>
        <v>0</v>
      </c>
      <c r="N225">
        <f t="shared" si="154"/>
        <v>0</v>
      </c>
      <c r="O225">
        <f t="shared" si="154"/>
        <v>6.2458000000000001E-3</v>
      </c>
      <c r="P225">
        <f t="shared" si="154"/>
        <v>0</v>
      </c>
      <c r="Q225">
        <f t="shared" si="154"/>
        <v>0</v>
      </c>
      <c r="R225">
        <f t="shared" si="154"/>
        <v>0</v>
      </c>
      <c r="S225">
        <f t="shared" si="154"/>
        <v>0</v>
      </c>
      <c r="T225">
        <f t="shared" si="154"/>
        <v>6.2458000000000001E-3</v>
      </c>
      <c r="U225">
        <f t="shared" si="154"/>
        <v>0</v>
      </c>
      <c r="V225">
        <f t="shared" si="154"/>
        <v>0</v>
      </c>
      <c r="W225">
        <f t="shared" si="154"/>
        <v>0</v>
      </c>
      <c r="X225">
        <f t="shared" si="154"/>
        <v>0</v>
      </c>
      <c r="Y225">
        <f t="shared" si="154"/>
        <v>0</v>
      </c>
      <c r="Z225">
        <f t="shared" si="154"/>
        <v>0</v>
      </c>
      <c r="AA225">
        <f t="shared" si="154"/>
        <v>6.2458000000000001E-3</v>
      </c>
      <c r="AB225">
        <f t="shared" si="154"/>
        <v>0</v>
      </c>
      <c r="AC225">
        <f t="shared" si="154"/>
        <v>0</v>
      </c>
      <c r="AD225">
        <f t="shared" si="154"/>
        <v>0</v>
      </c>
      <c r="AE225">
        <f t="shared" si="154"/>
        <v>0</v>
      </c>
      <c r="AF225">
        <f t="shared" si="154"/>
        <v>6.2458000000000001E-3</v>
      </c>
      <c r="AG225">
        <f t="shared" si="154"/>
        <v>0</v>
      </c>
      <c r="AH225">
        <f t="shared" si="154"/>
        <v>0</v>
      </c>
      <c r="AI225">
        <f t="shared" si="154"/>
        <v>0</v>
      </c>
      <c r="AJ225">
        <f t="shared" si="154"/>
        <v>0</v>
      </c>
      <c r="AK225">
        <f t="shared" si="154"/>
        <v>0</v>
      </c>
      <c r="AL225">
        <f t="shared" si="154"/>
        <v>0</v>
      </c>
      <c r="AM225">
        <f t="shared" si="154"/>
        <v>6.2458000000000001E-3</v>
      </c>
      <c r="AN225">
        <f t="shared" si="154"/>
        <v>0</v>
      </c>
      <c r="AO225">
        <f t="shared" si="154"/>
        <v>0</v>
      </c>
      <c r="AP225">
        <f t="shared" si="154"/>
        <v>0</v>
      </c>
      <c r="AQ225">
        <f t="shared" si="154"/>
        <v>0</v>
      </c>
      <c r="AR225">
        <f t="shared" si="154"/>
        <v>0</v>
      </c>
      <c r="AS225">
        <f t="shared" si="154"/>
        <v>6.2458000000000001E-3</v>
      </c>
      <c r="AT225">
        <f t="shared" si="154"/>
        <v>0</v>
      </c>
      <c r="AU225">
        <f t="shared" si="154"/>
        <v>0</v>
      </c>
      <c r="AV225">
        <f t="shared" si="154"/>
        <v>0</v>
      </c>
      <c r="AW225">
        <f t="shared" si="154"/>
        <v>0</v>
      </c>
      <c r="AX225">
        <f t="shared" si="154"/>
        <v>0</v>
      </c>
      <c r="AY225">
        <f t="shared" si="154"/>
        <v>0</v>
      </c>
      <c r="AZ225">
        <f t="shared" si="154"/>
        <v>6.2458000000000001E-3</v>
      </c>
      <c r="BA225">
        <f t="shared" si="154"/>
        <v>0</v>
      </c>
      <c r="BB225">
        <f t="shared" si="154"/>
        <v>0</v>
      </c>
    </row>
    <row r="226" spans="4:54" x14ac:dyDescent="0.2">
      <c r="D226" t="s">
        <v>320</v>
      </c>
      <c r="E226" t="s">
        <v>12</v>
      </c>
      <c r="F226">
        <v>6</v>
      </c>
      <c r="G226">
        <f t="shared" ref="G226:BB226" si="155">$B189*G189</f>
        <v>0</v>
      </c>
      <c r="H226">
        <f t="shared" si="155"/>
        <v>0</v>
      </c>
      <c r="I226">
        <f t="shared" si="155"/>
        <v>2.7744000000000001E-2</v>
      </c>
      <c r="J226">
        <f t="shared" si="155"/>
        <v>0</v>
      </c>
      <c r="K226">
        <f t="shared" si="155"/>
        <v>0</v>
      </c>
      <c r="L226">
        <f t="shared" si="155"/>
        <v>2.7744000000000001E-2</v>
      </c>
      <c r="M226">
        <f t="shared" si="155"/>
        <v>2.7744000000000001E-2</v>
      </c>
      <c r="N226">
        <f t="shared" si="155"/>
        <v>0</v>
      </c>
      <c r="O226">
        <f t="shared" si="155"/>
        <v>0</v>
      </c>
      <c r="P226">
        <f t="shared" si="155"/>
        <v>2.7744000000000001E-2</v>
      </c>
      <c r="Q226">
        <f t="shared" si="155"/>
        <v>2.7744000000000001E-2</v>
      </c>
      <c r="R226">
        <f t="shared" si="155"/>
        <v>0</v>
      </c>
      <c r="S226">
        <f t="shared" si="155"/>
        <v>2.7744000000000001E-2</v>
      </c>
      <c r="T226">
        <f t="shared" si="155"/>
        <v>2.7744000000000001E-2</v>
      </c>
      <c r="U226">
        <f t="shared" si="155"/>
        <v>2.7744000000000001E-2</v>
      </c>
      <c r="V226">
        <f t="shared" si="155"/>
        <v>0</v>
      </c>
      <c r="W226">
        <f t="shared" si="155"/>
        <v>0</v>
      </c>
      <c r="X226">
        <f t="shared" si="155"/>
        <v>0</v>
      </c>
      <c r="Y226">
        <f t="shared" si="155"/>
        <v>2.7744000000000001E-2</v>
      </c>
      <c r="Z226">
        <f t="shared" si="155"/>
        <v>2.7744000000000001E-2</v>
      </c>
      <c r="AA226">
        <f t="shared" si="155"/>
        <v>2.7744000000000001E-2</v>
      </c>
      <c r="AB226">
        <f t="shared" si="155"/>
        <v>2.7744000000000001E-2</v>
      </c>
      <c r="AC226">
        <f t="shared" si="155"/>
        <v>2.7744000000000001E-2</v>
      </c>
      <c r="AD226">
        <f t="shared" si="155"/>
        <v>2.7744000000000001E-2</v>
      </c>
      <c r="AE226">
        <f t="shared" si="155"/>
        <v>2.7744000000000001E-2</v>
      </c>
      <c r="AF226">
        <f t="shared" si="155"/>
        <v>2.7744000000000001E-2</v>
      </c>
      <c r="AG226">
        <f t="shared" si="155"/>
        <v>2.7744000000000001E-2</v>
      </c>
      <c r="AH226">
        <f t="shared" si="155"/>
        <v>0</v>
      </c>
      <c r="AI226">
        <f t="shared" si="155"/>
        <v>0</v>
      </c>
      <c r="AJ226">
        <f t="shared" si="155"/>
        <v>2.7744000000000001E-2</v>
      </c>
      <c r="AK226">
        <f t="shared" si="155"/>
        <v>0</v>
      </c>
      <c r="AL226">
        <f t="shared" si="155"/>
        <v>0</v>
      </c>
      <c r="AM226">
        <f t="shared" si="155"/>
        <v>2.7744000000000001E-2</v>
      </c>
      <c r="AN226">
        <f t="shared" si="155"/>
        <v>0</v>
      </c>
      <c r="AO226">
        <f t="shared" si="155"/>
        <v>0</v>
      </c>
      <c r="AP226">
        <f t="shared" si="155"/>
        <v>0</v>
      </c>
      <c r="AQ226">
        <f t="shared" si="155"/>
        <v>2.7744000000000001E-2</v>
      </c>
      <c r="AR226">
        <f t="shared" si="155"/>
        <v>2.7744000000000001E-2</v>
      </c>
      <c r="AS226">
        <f t="shared" si="155"/>
        <v>2.7744000000000001E-2</v>
      </c>
      <c r="AT226">
        <f t="shared" si="155"/>
        <v>2.7744000000000001E-2</v>
      </c>
      <c r="AU226">
        <f t="shared" si="155"/>
        <v>2.7744000000000001E-2</v>
      </c>
      <c r="AV226">
        <f t="shared" si="155"/>
        <v>2.7744000000000001E-2</v>
      </c>
      <c r="AW226">
        <f t="shared" si="155"/>
        <v>2.7744000000000001E-2</v>
      </c>
      <c r="AX226">
        <f t="shared" si="155"/>
        <v>0</v>
      </c>
      <c r="AY226">
        <f t="shared" si="155"/>
        <v>2.7744000000000001E-2</v>
      </c>
      <c r="AZ226">
        <f t="shared" si="155"/>
        <v>2.7744000000000001E-2</v>
      </c>
      <c r="BA226">
        <f t="shared" si="155"/>
        <v>2.7744000000000001E-2</v>
      </c>
      <c r="BB226">
        <f t="shared" si="155"/>
        <v>0</v>
      </c>
    </row>
    <row r="227" spans="4:54" x14ac:dyDescent="0.2">
      <c r="D227" t="s">
        <v>321</v>
      </c>
      <c r="E227" t="s">
        <v>14</v>
      </c>
      <c r="F227">
        <v>2</v>
      </c>
      <c r="G227">
        <f t="shared" ref="G227:BB227" si="156">$B190*G190</f>
        <v>0</v>
      </c>
      <c r="H227">
        <f t="shared" si="156"/>
        <v>0.36992000000000003</v>
      </c>
      <c r="I227">
        <f t="shared" si="156"/>
        <v>0.25431999999999999</v>
      </c>
      <c r="J227">
        <f t="shared" si="156"/>
        <v>0</v>
      </c>
      <c r="K227">
        <f t="shared" si="156"/>
        <v>0.3468</v>
      </c>
      <c r="L227">
        <f t="shared" si="156"/>
        <v>0.3468</v>
      </c>
      <c r="M227">
        <f t="shared" si="156"/>
        <v>0.3468</v>
      </c>
      <c r="N227">
        <f t="shared" si="156"/>
        <v>0.11560000000000001</v>
      </c>
      <c r="O227">
        <f t="shared" si="156"/>
        <v>0.3468</v>
      </c>
      <c r="P227">
        <f t="shared" si="156"/>
        <v>0.3468</v>
      </c>
      <c r="Q227">
        <f t="shared" si="156"/>
        <v>0.3468</v>
      </c>
      <c r="R227">
        <f t="shared" si="156"/>
        <v>0.16184000000000001</v>
      </c>
      <c r="S227">
        <f t="shared" si="156"/>
        <v>0.3468</v>
      </c>
      <c r="T227">
        <f t="shared" si="156"/>
        <v>0.3468</v>
      </c>
      <c r="U227">
        <f t="shared" si="156"/>
        <v>0.32368000000000002</v>
      </c>
      <c r="V227">
        <f t="shared" si="156"/>
        <v>0</v>
      </c>
      <c r="W227">
        <f t="shared" si="156"/>
        <v>0.3468</v>
      </c>
      <c r="X227">
        <f t="shared" si="156"/>
        <v>0.3468</v>
      </c>
      <c r="Y227">
        <f t="shared" si="156"/>
        <v>0.3468</v>
      </c>
      <c r="Z227">
        <f t="shared" si="156"/>
        <v>0.13872000000000001</v>
      </c>
      <c r="AA227">
        <f t="shared" si="156"/>
        <v>0.3468</v>
      </c>
      <c r="AB227">
        <f t="shared" si="156"/>
        <v>0.3468</v>
      </c>
      <c r="AC227">
        <f t="shared" si="156"/>
        <v>0.3468</v>
      </c>
      <c r="AD227">
        <f t="shared" si="156"/>
        <v>0.16184000000000001</v>
      </c>
      <c r="AE227">
        <f t="shared" si="156"/>
        <v>0.3468</v>
      </c>
      <c r="AF227">
        <f t="shared" si="156"/>
        <v>0.3468</v>
      </c>
      <c r="AG227">
        <f t="shared" si="156"/>
        <v>0.3468</v>
      </c>
      <c r="AH227">
        <f t="shared" si="156"/>
        <v>0.11560000000000001</v>
      </c>
      <c r="AI227">
        <f t="shared" si="156"/>
        <v>0.3468</v>
      </c>
      <c r="AJ227">
        <f t="shared" si="156"/>
        <v>0.3468</v>
      </c>
      <c r="AK227">
        <f t="shared" si="156"/>
        <v>0.3468</v>
      </c>
      <c r="AL227">
        <f t="shared" si="156"/>
        <v>6.9360000000000005E-2</v>
      </c>
      <c r="AM227">
        <f t="shared" si="156"/>
        <v>0.3468</v>
      </c>
      <c r="AN227">
        <f t="shared" si="156"/>
        <v>0.3468</v>
      </c>
      <c r="AO227">
        <f t="shared" si="156"/>
        <v>0.30056000000000005</v>
      </c>
      <c r="AP227">
        <f t="shared" si="156"/>
        <v>0</v>
      </c>
      <c r="AQ227">
        <f t="shared" si="156"/>
        <v>0.3468</v>
      </c>
      <c r="AR227">
        <f t="shared" si="156"/>
        <v>0.3468</v>
      </c>
      <c r="AS227">
        <f t="shared" si="156"/>
        <v>0.3468</v>
      </c>
      <c r="AT227">
        <f t="shared" si="156"/>
        <v>0.11560000000000001</v>
      </c>
      <c r="AU227">
        <f t="shared" si="156"/>
        <v>0.3468</v>
      </c>
      <c r="AV227">
        <f t="shared" si="156"/>
        <v>0.3468</v>
      </c>
      <c r="AW227">
        <f t="shared" si="156"/>
        <v>0.3468</v>
      </c>
      <c r="AX227">
        <f t="shared" si="156"/>
        <v>0.13872000000000001</v>
      </c>
      <c r="AY227">
        <f t="shared" si="156"/>
        <v>0.3468</v>
      </c>
      <c r="AZ227">
        <f t="shared" si="156"/>
        <v>0.3468</v>
      </c>
      <c r="BA227">
        <f t="shared" si="156"/>
        <v>0.3468</v>
      </c>
      <c r="BB227">
        <f t="shared" si="156"/>
        <v>0.13872000000000001</v>
      </c>
    </row>
    <row r="228" spans="4:54" x14ac:dyDescent="0.2">
      <c r="D228" t="s">
        <v>322</v>
      </c>
      <c r="E228" t="s">
        <v>63</v>
      </c>
      <c r="F228">
        <v>1</v>
      </c>
      <c r="G228">
        <f t="shared" ref="G228:BB228" si="157">$B191*G191</f>
        <v>0.752468625</v>
      </c>
      <c r="H228">
        <f t="shared" si="157"/>
        <v>0.752468625</v>
      </c>
      <c r="I228">
        <f t="shared" si="157"/>
        <v>0.752468625</v>
      </c>
      <c r="J228">
        <f t="shared" si="157"/>
        <v>0</v>
      </c>
      <c r="K228">
        <f t="shared" si="157"/>
        <v>0.752468625</v>
      </c>
      <c r="L228">
        <f t="shared" si="157"/>
        <v>0.752468625</v>
      </c>
      <c r="M228">
        <f t="shared" si="157"/>
        <v>0.752468625</v>
      </c>
      <c r="N228">
        <f t="shared" si="157"/>
        <v>0</v>
      </c>
      <c r="O228">
        <f t="shared" si="157"/>
        <v>0.752468625</v>
      </c>
      <c r="P228">
        <f t="shared" si="157"/>
        <v>0.752468625</v>
      </c>
      <c r="Q228">
        <f t="shared" si="157"/>
        <v>0.752468625</v>
      </c>
      <c r="R228">
        <f t="shared" si="157"/>
        <v>0</v>
      </c>
      <c r="S228">
        <f t="shared" si="157"/>
        <v>0.752468625</v>
      </c>
      <c r="T228">
        <f t="shared" si="157"/>
        <v>0.752468625</v>
      </c>
      <c r="U228">
        <f t="shared" si="157"/>
        <v>0.752468625</v>
      </c>
      <c r="V228">
        <f t="shared" si="157"/>
        <v>0</v>
      </c>
      <c r="W228">
        <f t="shared" si="157"/>
        <v>0.752468625</v>
      </c>
      <c r="X228">
        <f t="shared" si="157"/>
        <v>0.752468625</v>
      </c>
      <c r="Y228">
        <f t="shared" si="157"/>
        <v>0.752468625</v>
      </c>
      <c r="Z228">
        <f t="shared" si="157"/>
        <v>0</v>
      </c>
      <c r="AA228">
        <f t="shared" si="157"/>
        <v>0.752468625</v>
      </c>
      <c r="AB228">
        <f t="shared" si="157"/>
        <v>0.752468625</v>
      </c>
      <c r="AC228">
        <f t="shared" si="157"/>
        <v>0.752468625</v>
      </c>
      <c r="AD228">
        <f t="shared" si="157"/>
        <v>0</v>
      </c>
      <c r="AE228">
        <f t="shared" si="157"/>
        <v>0.752468625</v>
      </c>
      <c r="AF228">
        <f t="shared" si="157"/>
        <v>0.752468625</v>
      </c>
      <c r="AG228">
        <f t="shared" si="157"/>
        <v>0.752468625</v>
      </c>
      <c r="AH228">
        <f t="shared" si="157"/>
        <v>0</v>
      </c>
      <c r="AI228">
        <f t="shared" si="157"/>
        <v>0.752468625</v>
      </c>
      <c r="AJ228">
        <f t="shared" si="157"/>
        <v>0.752468625</v>
      </c>
      <c r="AK228">
        <f t="shared" si="157"/>
        <v>0.752468625</v>
      </c>
      <c r="AL228">
        <f t="shared" si="157"/>
        <v>0</v>
      </c>
      <c r="AM228">
        <f t="shared" si="157"/>
        <v>0.752468625</v>
      </c>
      <c r="AN228">
        <f t="shared" si="157"/>
        <v>0.752468625</v>
      </c>
      <c r="AO228">
        <f t="shared" si="157"/>
        <v>0.752468625</v>
      </c>
      <c r="AP228">
        <f t="shared" si="157"/>
        <v>0</v>
      </c>
      <c r="AQ228">
        <f t="shared" si="157"/>
        <v>0.752468625</v>
      </c>
      <c r="AR228">
        <f t="shared" si="157"/>
        <v>0.752468625</v>
      </c>
      <c r="AS228">
        <f t="shared" si="157"/>
        <v>0.752468625</v>
      </c>
      <c r="AT228">
        <f t="shared" si="157"/>
        <v>0</v>
      </c>
      <c r="AU228">
        <f t="shared" si="157"/>
        <v>0.752468625</v>
      </c>
      <c r="AV228">
        <f t="shared" si="157"/>
        <v>0.752468625</v>
      </c>
      <c r="AW228">
        <f t="shared" si="157"/>
        <v>0.752468625</v>
      </c>
      <c r="AX228">
        <f t="shared" si="157"/>
        <v>0.752468625</v>
      </c>
      <c r="AY228">
        <f t="shared" si="157"/>
        <v>0.752468625</v>
      </c>
      <c r="AZ228">
        <f t="shared" si="157"/>
        <v>0.752468625</v>
      </c>
      <c r="BA228">
        <f t="shared" si="157"/>
        <v>0.752468625</v>
      </c>
      <c r="BB228">
        <f t="shared" si="157"/>
        <v>0.752468625</v>
      </c>
    </row>
    <row r="229" spans="4:54" x14ac:dyDescent="0.2">
      <c r="D229" t="s">
        <v>325</v>
      </c>
      <c r="E229" t="s">
        <v>12</v>
      </c>
      <c r="F229">
        <v>3</v>
      </c>
      <c r="G229">
        <f t="shared" ref="G229:BB229" si="158">$B192*G192</f>
        <v>5.2019999999999997E-2</v>
      </c>
      <c r="H229">
        <f t="shared" si="158"/>
        <v>0.10403999999999999</v>
      </c>
      <c r="I229">
        <f t="shared" si="158"/>
        <v>0.10403999999999999</v>
      </c>
      <c r="J229">
        <f t="shared" si="158"/>
        <v>5.2019999999999997E-2</v>
      </c>
      <c r="K229">
        <f t="shared" si="158"/>
        <v>5.2019999999999997E-2</v>
      </c>
      <c r="L229">
        <f t="shared" si="158"/>
        <v>5.2019999999999997E-2</v>
      </c>
      <c r="M229">
        <f t="shared" si="158"/>
        <v>5.2019999999999997E-2</v>
      </c>
      <c r="N229">
        <f t="shared" si="158"/>
        <v>0</v>
      </c>
      <c r="O229">
        <f t="shared" si="158"/>
        <v>0</v>
      </c>
      <c r="P229">
        <f t="shared" si="158"/>
        <v>0.10403999999999999</v>
      </c>
      <c r="Q229">
        <f t="shared" si="158"/>
        <v>0</v>
      </c>
      <c r="R229">
        <f t="shared" si="158"/>
        <v>0</v>
      </c>
      <c r="S229">
        <f t="shared" si="158"/>
        <v>5.2019999999999997E-2</v>
      </c>
      <c r="T229">
        <f t="shared" si="158"/>
        <v>0</v>
      </c>
      <c r="U229">
        <f t="shared" si="158"/>
        <v>5.2019999999999997E-2</v>
      </c>
      <c r="V229">
        <f t="shared" si="158"/>
        <v>0</v>
      </c>
      <c r="W229">
        <f t="shared" si="158"/>
        <v>0</v>
      </c>
      <c r="X229">
        <f t="shared" si="158"/>
        <v>5.2019999999999997E-2</v>
      </c>
      <c r="Y229">
        <f t="shared" si="158"/>
        <v>0.10403999999999999</v>
      </c>
      <c r="Z229">
        <f t="shared" si="158"/>
        <v>0</v>
      </c>
      <c r="AA229">
        <f t="shared" si="158"/>
        <v>5.2019999999999997E-2</v>
      </c>
      <c r="AB229">
        <f t="shared" si="158"/>
        <v>0.10403999999999999</v>
      </c>
      <c r="AC229">
        <f t="shared" si="158"/>
        <v>5.2019999999999997E-2</v>
      </c>
      <c r="AD229">
        <f t="shared" si="158"/>
        <v>0</v>
      </c>
      <c r="AE229">
        <f t="shared" si="158"/>
        <v>5.2019999999999997E-2</v>
      </c>
      <c r="AF229">
        <f t="shared" si="158"/>
        <v>5.2019999999999997E-2</v>
      </c>
      <c r="AG229">
        <f t="shared" si="158"/>
        <v>0.10403999999999999</v>
      </c>
      <c r="AH229">
        <f t="shared" si="158"/>
        <v>0</v>
      </c>
      <c r="AI229">
        <f t="shared" si="158"/>
        <v>5.2019999999999997E-2</v>
      </c>
      <c r="AJ229">
        <f t="shared" si="158"/>
        <v>0.10403999999999999</v>
      </c>
      <c r="AK229">
        <f t="shared" si="158"/>
        <v>0.10403999999999999</v>
      </c>
      <c r="AL229">
        <f t="shared" si="158"/>
        <v>0</v>
      </c>
      <c r="AM229">
        <f t="shared" si="158"/>
        <v>5.2019999999999997E-2</v>
      </c>
      <c r="AN229">
        <f t="shared" si="158"/>
        <v>5.2019999999999997E-2</v>
      </c>
      <c r="AO229">
        <f t="shared" si="158"/>
        <v>0.10403999999999999</v>
      </c>
      <c r="AP229">
        <f t="shared" si="158"/>
        <v>0</v>
      </c>
      <c r="AQ229">
        <f t="shared" si="158"/>
        <v>0</v>
      </c>
      <c r="AR229">
        <f t="shared" si="158"/>
        <v>5.2019999999999997E-2</v>
      </c>
      <c r="AS229">
        <f t="shared" si="158"/>
        <v>0</v>
      </c>
      <c r="AT229">
        <f t="shared" si="158"/>
        <v>0</v>
      </c>
      <c r="AU229">
        <f t="shared" si="158"/>
        <v>5.2019999999999997E-2</v>
      </c>
      <c r="AV229">
        <f t="shared" si="158"/>
        <v>0.10403999999999999</v>
      </c>
      <c r="AW229">
        <f t="shared" si="158"/>
        <v>5.2019999999999997E-2</v>
      </c>
      <c r="AX229">
        <f t="shared" si="158"/>
        <v>0</v>
      </c>
      <c r="AY229">
        <f t="shared" si="158"/>
        <v>5.2019999999999997E-2</v>
      </c>
      <c r="AZ229">
        <f t="shared" si="158"/>
        <v>0.10403999999999999</v>
      </c>
      <c r="BA229">
        <f t="shared" si="158"/>
        <v>5.2019999999999997E-2</v>
      </c>
      <c r="BB229">
        <f t="shared" si="158"/>
        <v>0</v>
      </c>
    </row>
    <row r="230" spans="4:54" x14ac:dyDescent="0.2">
      <c r="D230" t="s">
        <v>326</v>
      </c>
      <c r="E230" t="s">
        <v>12</v>
      </c>
      <c r="F230">
        <v>3</v>
      </c>
      <c r="G230">
        <f t="shared" ref="G230:BB230" si="159">$B193*G193</f>
        <v>0</v>
      </c>
      <c r="H230">
        <f t="shared" si="159"/>
        <v>4.9950000000000001E-2</v>
      </c>
      <c r="I230">
        <f t="shared" si="159"/>
        <v>0</v>
      </c>
      <c r="J230">
        <f t="shared" si="159"/>
        <v>0</v>
      </c>
      <c r="K230">
        <f t="shared" si="159"/>
        <v>0</v>
      </c>
      <c r="L230">
        <f t="shared" si="159"/>
        <v>0</v>
      </c>
      <c r="M230">
        <f t="shared" si="159"/>
        <v>0</v>
      </c>
      <c r="N230">
        <f t="shared" si="159"/>
        <v>0</v>
      </c>
      <c r="O230">
        <f t="shared" si="159"/>
        <v>0</v>
      </c>
      <c r="P230">
        <f t="shared" si="159"/>
        <v>0</v>
      </c>
      <c r="Q230">
        <f t="shared" si="159"/>
        <v>4.9950000000000001E-2</v>
      </c>
      <c r="R230">
        <f t="shared" si="159"/>
        <v>0</v>
      </c>
      <c r="S230">
        <f t="shared" si="159"/>
        <v>0</v>
      </c>
      <c r="T230">
        <f t="shared" si="159"/>
        <v>0</v>
      </c>
      <c r="U230">
        <f t="shared" si="159"/>
        <v>0</v>
      </c>
      <c r="V230">
        <f t="shared" si="159"/>
        <v>0</v>
      </c>
      <c r="W230">
        <f t="shared" si="159"/>
        <v>0</v>
      </c>
      <c r="X230">
        <f t="shared" si="159"/>
        <v>0</v>
      </c>
      <c r="Y230">
        <f t="shared" si="159"/>
        <v>0</v>
      </c>
      <c r="Z230">
        <f t="shared" si="159"/>
        <v>0</v>
      </c>
      <c r="AA230">
        <f t="shared" si="159"/>
        <v>0</v>
      </c>
      <c r="AB230">
        <f t="shared" si="159"/>
        <v>0</v>
      </c>
      <c r="AC230">
        <f t="shared" si="159"/>
        <v>0</v>
      </c>
      <c r="AD230">
        <f t="shared" si="159"/>
        <v>0</v>
      </c>
      <c r="AE230">
        <f t="shared" si="159"/>
        <v>0</v>
      </c>
      <c r="AF230">
        <f t="shared" si="159"/>
        <v>0</v>
      </c>
      <c r="AG230">
        <f t="shared" si="159"/>
        <v>0</v>
      </c>
      <c r="AH230">
        <f t="shared" si="159"/>
        <v>0</v>
      </c>
      <c r="AI230">
        <f t="shared" si="159"/>
        <v>0</v>
      </c>
      <c r="AJ230">
        <f t="shared" si="159"/>
        <v>0</v>
      </c>
      <c r="AK230">
        <f t="shared" si="159"/>
        <v>0</v>
      </c>
      <c r="AL230">
        <f t="shared" si="159"/>
        <v>0</v>
      </c>
      <c r="AM230">
        <f t="shared" si="159"/>
        <v>0</v>
      </c>
      <c r="AN230">
        <f t="shared" si="159"/>
        <v>0</v>
      </c>
      <c r="AO230">
        <f t="shared" si="159"/>
        <v>0</v>
      </c>
      <c r="AP230">
        <f t="shared" si="159"/>
        <v>0</v>
      </c>
      <c r="AQ230">
        <f t="shared" si="159"/>
        <v>0</v>
      </c>
      <c r="AR230">
        <f t="shared" si="159"/>
        <v>0</v>
      </c>
      <c r="AS230">
        <f t="shared" si="159"/>
        <v>4.9950000000000001E-2</v>
      </c>
      <c r="AT230">
        <f t="shared" si="159"/>
        <v>0</v>
      </c>
      <c r="AU230">
        <f t="shared" si="159"/>
        <v>0</v>
      </c>
      <c r="AV230">
        <f t="shared" si="159"/>
        <v>0</v>
      </c>
      <c r="AW230">
        <f t="shared" si="159"/>
        <v>0</v>
      </c>
      <c r="AX230">
        <f t="shared" si="159"/>
        <v>0</v>
      </c>
      <c r="AY230">
        <f t="shared" si="159"/>
        <v>0</v>
      </c>
      <c r="AZ230">
        <f t="shared" si="159"/>
        <v>0</v>
      </c>
      <c r="BA230">
        <f t="shared" si="159"/>
        <v>0</v>
      </c>
      <c r="BB230">
        <f t="shared" si="159"/>
        <v>0</v>
      </c>
    </row>
    <row r="231" spans="4:54" x14ac:dyDescent="0.2">
      <c r="D231" t="s">
        <v>327</v>
      </c>
      <c r="E231" t="s">
        <v>12</v>
      </c>
      <c r="F231">
        <v>3</v>
      </c>
      <c r="G231">
        <f t="shared" ref="G231:BB231" si="160">$B194*G194</f>
        <v>5.2019999999999997E-2</v>
      </c>
      <c r="H231">
        <f t="shared" si="160"/>
        <v>5.2019999999999997E-2</v>
      </c>
      <c r="I231">
        <f t="shared" si="160"/>
        <v>0.15605999999999998</v>
      </c>
      <c r="J231">
        <f t="shared" si="160"/>
        <v>5.2019999999999997E-2</v>
      </c>
      <c r="K231">
        <f t="shared" si="160"/>
        <v>5.2019999999999997E-2</v>
      </c>
      <c r="L231">
        <f t="shared" si="160"/>
        <v>0.15605999999999998</v>
      </c>
      <c r="M231">
        <f t="shared" si="160"/>
        <v>0.15605999999999998</v>
      </c>
      <c r="N231">
        <f t="shared" si="160"/>
        <v>0</v>
      </c>
      <c r="O231">
        <f t="shared" si="160"/>
        <v>0.15605999999999998</v>
      </c>
      <c r="P231">
        <f t="shared" si="160"/>
        <v>0.15605999999999998</v>
      </c>
      <c r="Q231">
        <f t="shared" si="160"/>
        <v>0.10403999999999999</v>
      </c>
      <c r="R231">
        <f t="shared" si="160"/>
        <v>0</v>
      </c>
      <c r="S231">
        <f t="shared" si="160"/>
        <v>0.15605999999999998</v>
      </c>
      <c r="T231">
        <f t="shared" si="160"/>
        <v>0.15605999999999998</v>
      </c>
      <c r="U231">
        <f t="shared" si="160"/>
        <v>0.15605999999999998</v>
      </c>
      <c r="V231">
        <f t="shared" si="160"/>
        <v>0</v>
      </c>
      <c r="W231">
        <f t="shared" si="160"/>
        <v>0.15605999999999998</v>
      </c>
      <c r="X231">
        <f t="shared" si="160"/>
        <v>0.15605999999999998</v>
      </c>
      <c r="Y231">
        <f t="shared" si="160"/>
        <v>0.15605999999999998</v>
      </c>
      <c r="Z231">
        <f t="shared" si="160"/>
        <v>5.2019999999999997E-2</v>
      </c>
      <c r="AA231">
        <f t="shared" si="160"/>
        <v>0.10403999999999999</v>
      </c>
      <c r="AB231">
        <f t="shared" si="160"/>
        <v>0.15605999999999998</v>
      </c>
      <c r="AC231">
        <f t="shared" si="160"/>
        <v>0.15605999999999998</v>
      </c>
      <c r="AD231">
        <f t="shared" si="160"/>
        <v>0</v>
      </c>
      <c r="AE231">
        <f t="shared" si="160"/>
        <v>0.15605999999999998</v>
      </c>
      <c r="AF231">
        <f t="shared" si="160"/>
        <v>0.15605999999999998</v>
      </c>
      <c r="AG231">
        <f t="shared" si="160"/>
        <v>0.10403999999999999</v>
      </c>
      <c r="AH231">
        <f t="shared" si="160"/>
        <v>0</v>
      </c>
      <c r="AI231">
        <f t="shared" si="160"/>
        <v>0.15605999999999998</v>
      </c>
      <c r="AJ231">
        <f t="shared" si="160"/>
        <v>0.10403999999999999</v>
      </c>
      <c r="AK231">
        <f t="shared" si="160"/>
        <v>0.10403999999999999</v>
      </c>
      <c r="AL231">
        <f t="shared" si="160"/>
        <v>0</v>
      </c>
      <c r="AM231">
        <f t="shared" si="160"/>
        <v>0.10403999999999999</v>
      </c>
      <c r="AN231">
        <f t="shared" si="160"/>
        <v>0.15605999999999998</v>
      </c>
      <c r="AO231">
        <f t="shared" si="160"/>
        <v>5.2019999999999997E-2</v>
      </c>
      <c r="AP231">
        <f t="shared" si="160"/>
        <v>0</v>
      </c>
      <c r="AQ231">
        <f t="shared" si="160"/>
        <v>0.15605999999999998</v>
      </c>
      <c r="AR231">
        <f t="shared" si="160"/>
        <v>0.15605999999999998</v>
      </c>
      <c r="AS231">
        <f t="shared" si="160"/>
        <v>0.15605999999999998</v>
      </c>
      <c r="AT231">
        <f t="shared" si="160"/>
        <v>5.2019999999999997E-2</v>
      </c>
      <c r="AU231">
        <f t="shared" si="160"/>
        <v>0.15605999999999998</v>
      </c>
      <c r="AV231">
        <f t="shared" si="160"/>
        <v>0.10403999999999999</v>
      </c>
      <c r="AW231">
        <f t="shared" si="160"/>
        <v>0.15605999999999998</v>
      </c>
      <c r="AX231">
        <f t="shared" si="160"/>
        <v>0</v>
      </c>
      <c r="AY231">
        <f t="shared" si="160"/>
        <v>5.2019999999999997E-2</v>
      </c>
      <c r="AZ231">
        <f t="shared" si="160"/>
        <v>0.15605999999999998</v>
      </c>
      <c r="BA231">
        <f t="shared" si="160"/>
        <v>0.15605999999999998</v>
      </c>
      <c r="BB231">
        <f t="shared" si="160"/>
        <v>5.2019999999999997E-2</v>
      </c>
    </row>
    <row r="232" spans="4:54" x14ac:dyDescent="0.2">
      <c r="D232" t="s">
        <v>328</v>
      </c>
      <c r="E232" t="s">
        <v>16</v>
      </c>
      <c r="F232">
        <v>2</v>
      </c>
      <c r="G232">
        <f t="shared" ref="G232:BB232" si="161">$B195*G195</f>
        <v>6.2424000000000008</v>
      </c>
      <c r="H232">
        <f t="shared" si="161"/>
        <v>6.2424000000000008</v>
      </c>
      <c r="I232">
        <f t="shared" si="161"/>
        <v>6.2424000000000008</v>
      </c>
      <c r="J232">
        <f t="shared" si="161"/>
        <v>6.2424000000000008</v>
      </c>
      <c r="K232">
        <f t="shared" si="161"/>
        <v>4.9939200000000001</v>
      </c>
      <c r="L232">
        <f t="shared" si="161"/>
        <v>7.4908800000000006</v>
      </c>
      <c r="M232">
        <f t="shared" si="161"/>
        <v>6.2424000000000008</v>
      </c>
      <c r="N232">
        <f t="shared" si="161"/>
        <v>6.2424000000000008</v>
      </c>
      <c r="O232">
        <f t="shared" si="161"/>
        <v>6.2424000000000008</v>
      </c>
      <c r="P232">
        <f t="shared" si="161"/>
        <v>6.2424000000000008</v>
      </c>
      <c r="Q232">
        <f t="shared" si="161"/>
        <v>6.2424000000000008</v>
      </c>
      <c r="R232">
        <f t="shared" si="161"/>
        <v>6.2424000000000008</v>
      </c>
      <c r="S232">
        <f t="shared" si="161"/>
        <v>6.2424000000000008</v>
      </c>
      <c r="T232">
        <f t="shared" si="161"/>
        <v>6.2424000000000008</v>
      </c>
      <c r="U232">
        <f t="shared" si="161"/>
        <v>6.2424000000000008</v>
      </c>
      <c r="V232">
        <f t="shared" si="161"/>
        <v>4.9939200000000001</v>
      </c>
      <c r="W232">
        <f t="shared" si="161"/>
        <v>6.2424000000000008</v>
      </c>
      <c r="X232">
        <f t="shared" si="161"/>
        <v>6.2424000000000008</v>
      </c>
      <c r="Y232">
        <f t="shared" si="161"/>
        <v>7.4908800000000006</v>
      </c>
      <c r="Z232">
        <f t="shared" si="161"/>
        <v>6.2424000000000008</v>
      </c>
      <c r="AA232">
        <f t="shared" si="161"/>
        <v>6.2424000000000008</v>
      </c>
      <c r="AB232">
        <f t="shared" si="161"/>
        <v>7.4908800000000006</v>
      </c>
      <c r="AC232">
        <f t="shared" si="161"/>
        <v>7.4908800000000006</v>
      </c>
      <c r="AD232">
        <f t="shared" si="161"/>
        <v>6.2424000000000008</v>
      </c>
      <c r="AE232">
        <f t="shared" si="161"/>
        <v>3.7454400000000003</v>
      </c>
      <c r="AF232">
        <f t="shared" si="161"/>
        <v>6.2424000000000008</v>
      </c>
      <c r="AG232">
        <f t="shared" si="161"/>
        <v>6.2424000000000008</v>
      </c>
      <c r="AH232">
        <f t="shared" si="161"/>
        <v>6.2424000000000008</v>
      </c>
      <c r="AI232">
        <f t="shared" si="161"/>
        <v>6.2424000000000008</v>
      </c>
      <c r="AJ232">
        <f t="shared" si="161"/>
        <v>4.9939200000000001</v>
      </c>
      <c r="AK232">
        <f t="shared" si="161"/>
        <v>6.2424000000000008</v>
      </c>
      <c r="AL232">
        <f t="shared" si="161"/>
        <v>6.2424000000000008</v>
      </c>
      <c r="AM232">
        <f t="shared" si="161"/>
        <v>6.2424000000000008</v>
      </c>
      <c r="AN232">
        <f t="shared" si="161"/>
        <v>7.4908800000000006</v>
      </c>
      <c r="AO232">
        <f t="shared" si="161"/>
        <v>6.2424000000000008</v>
      </c>
      <c r="AP232">
        <f t="shared" si="161"/>
        <v>6.2424000000000008</v>
      </c>
      <c r="AQ232">
        <f t="shared" si="161"/>
        <v>7.4908800000000006</v>
      </c>
      <c r="AR232">
        <f t="shared" si="161"/>
        <v>4.9939200000000001</v>
      </c>
      <c r="AS232">
        <f t="shared" si="161"/>
        <v>6.2424000000000008</v>
      </c>
      <c r="AT232">
        <f t="shared" si="161"/>
        <v>6.2424000000000008</v>
      </c>
      <c r="AU232">
        <f t="shared" si="161"/>
        <v>6.2424000000000008</v>
      </c>
      <c r="AV232">
        <f t="shared" si="161"/>
        <v>6.2424000000000008</v>
      </c>
      <c r="AW232">
        <f t="shared" si="161"/>
        <v>6.2424000000000008</v>
      </c>
      <c r="AX232">
        <f t="shared" si="161"/>
        <v>6.2424000000000008</v>
      </c>
      <c r="AY232">
        <f t="shared" si="161"/>
        <v>6.2424000000000008</v>
      </c>
      <c r="AZ232">
        <f t="shared" si="161"/>
        <v>6.2424000000000008</v>
      </c>
      <c r="BA232">
        <f t="shared" si="161"/>
        <v>7.4908800000000006</v>
      </c>
      <c r="BB232">
        <f t="shared" si="161"/>
        <v>6.2424000000000008</v>
      </c>
    </row>
    <row r="233" spans="4:54" x14ac:dyDescent="0.2">
      <c r="D233" t="s">
        <v>329</v>
      </c>
      <c r="E233" t="s">
        <v>16</v>
      </c>
      <c r="F233">
        <v>2</v>
      </c>
      <c r="G233">
        <f t="shared" ref="G233:BB233" si="162">$B196*G196</f>
        <v>0</v>
      </c>
      <c r="H233">
        <f t="shared" si="162"/>
        <v>0</v>
      </c>
      <c r="I233">
        <f t="shared" si="162"/>
        <v>1.24848</v>
      </c>
      <c r="J233">
        <f t="shared" si="162"/>
        <v>0</v>
      </c>
      <c r="K233">
        <f t="shared" si="162"/>
        <v>0</v>
      </c>
      <c r="L233">
        <f t="shared" si="162"/>
        <v>0</v>
      </c>
      <c r="M233">
        <f t="shared" si="162"/>
        <v>0</v>
      </c>
      <c r="N233">
        <f t="shared" si="162"/>
        <v>1.24848</v>
      </c>
      <c r="O233">
        <f t="shared" si="162"/>
        <v>0</v>
      </c>
      <c r="P233">
        <f t="shared" si="162"/>
        <v>1.24848</v>
      </c>
      <c r="Q233">
        <f t="shared" si="162"/>
        <v>0</v>
      </c>
      <c r="R233">
        <f t="shared" si="162"/>
        <v>1.24848</v>
      </c>
      <c r="S233">
        <f t="shared" si="162"/>
        <v>0</v>
      </c>
      <c r="T233">
        <f t="shared" si="162"/>
        <v>1.24848</v>
      </c>
      <c r="U233">
        <f t="shared" si="162"/>
        <v>0</v>
      </c>
      <c r="V233">
        <f t="shared" si="162"/>
        <v>0</v>
      </c>
      <c r="W233">
        <f t="shared" si="162"/>
        <v>1.24848</v>
      </c>
      <c r="X233">
        <f t="shared" si="162"/>
        <v>0</v>
      </c>
      <c r="Y233">
        <f t="shared" si="162"/>
        <v>1.24848</v>
      </c>
      <c r="Z233">
        <f t="shared" si="162"/>
        <v>0</v>
      </c>
      <c r="AA233">
        <f t="shared" si="162"/>
        <v>1.24848</v>
      </c>
      <c r="AB233">
        <f t="shared" si="162"/>
        <v>0</v>
      </c>
      <c r="AC233">
        <f t="shared" si="162"/>
        <v>1.24848</v>
      </c>
      <c r="AD233">
        <f t="shared" si="162"/>
        <v>1.24848</v>
      </c>
      <c r="AE233">
        <f t="shared" si="162"/>
        <v>0</v>
      </c>
      <c r="AF233">
        <f t="shared" si="162"/>
        <v>0</v>
      </c>
      <c r="AG233">
        <f t="shared" si="162"/>
        <v>1.24848</v>
      </c>
      <c r="AH233">
        <f t="shared" si="162"/>
        <v>0</v>
      </c>
      <c r="AI233">
        <f t="shared" si="162"/>
        <v>1.24848</v>
      </c>
      <c r="AJ233">
        <f t="shared" si="162"/>
        <v>0</v>
      </c>
      <c r="AK233">
        <f t="shared" si="162"/>
        <v>1.24848</v>
      </c>
      <c r="AL233">
        <f t="shared" si="162"/>
        <v>0</v>
      </c>
      <c r="AM233">
        <f t="shared" si="162"/>
        <v>1.24848</v>
      </c>
      <c r="AN233">
        <f t="shared" si="162"/>
        <v>0</v>
      </c>
      <c r="AO233">
        <f t="shared" si="162"/>
        <v>1.24848</v>
      </c>
      <c r="AP233">
        <f t="shared" si="162"/>
        <v>0</v>
      </c>
      <c r="AQ233">
        <f t="shared" si="162"/>
        <v>1.24848</v>
      </c>
      <c r="AR233">
        <f t="shared" si="162"/>
        <v>0</v>
      </c>
      <c r="AS233">
        <f t="shared" si="162"/>
        <v>1.24848</v>
      </c>
      <c r="AT233">
        <f t="shared" si="162"/>
        <v>0</v>
      </c>
      <c r="AU233">
        <f t="shared" si="162"/>
        <v>1.24848</v>
      </c>
      <c r="AV233">
        <f t="shared" si="162"/>
        <v>1.24848</v>
      </c>
      <c r="AW233">
        <f t="shared" si="162"/>
        <v>0</v>
      </c>
      <c r="AX233">
        <f t="shared" si="162"/>
        <v>1.24848</v>
      </c>
      <c r="AY233">
        <f t="shared" si="162"/>
        <v>0</v>
      </c>
      <c r="AZ233">
        <f t="shared" si="162"/>
        <v>1.24848</v>
      </c>
      <c r="BA233">
        <f t="shared" si="162"/>
        <v>0</v>
      </c>
      <c r="BB233">
        <f t="shared" si="162"/>
        <v>1.24848</v>
      </c>
    </row>
    <row r="234" spans="4:54" x14ac:dyDescent="0.2">
      <c r="D234" t="s">
        <v>330</v>
      </c>
      <c r="E234" t="s">
        <v>63</v>
      </c>
      <c r="F234">
        <v>1</v>
      </c>
      <c r="G234">
        <f t="shared" ref="G234:BB234" si="163">$B197*G197</f>
        <v>0</v>
      </c>
      <c r="H234">
        <f t="shared" si="163"/>
        <v>1.0404</v>
      </c>
      <c r="I234">
        <f t="shared" si="163"/>
        <v>1.0404</v>
      </c>
      <c r="J234">
        <f t="shared" si="163"/>
        <v>1.0404</v>
      </c>
      <c r="K234">
        <f t="shared" si="163"/>
        <v>1.0404</v>
      </c>
      <c r="L234">
        <f t="shared" si="163"/>
        <v>0</v>
      </c>
      <c r="M234">
        <f t="shared" si="163"/>
        <v>1.0404</v>
      </c>
      <c r="N234">
        <f t="shared" si="163"/>
        <v>1.0404</v>
      </c>
      <c r="O234">
        <f t="shared" si="163"/>
        <v>1.0404</v>
      </c>
      <c r="P234">
        <f t="shared" si="163"/>
        <v>1.0404</v>
      </c>
      <c r="Q234">
        <f t="shared" si="163"/>
        <v>1.0404</v>
      </c>
      <c r="R234">
        <f t="shared" si="163"/>
        <v>0</v>
      </c>
      <c r="S234">
        <f t="shared" si="163"/>
        <v>1.0404</v>
      </c>
      <c r="T234">
        <f t="shared" si="163"/>
        <v>1.0404</v>
      </c>
      <c r="U234">
        <f t="shared" si="163"/>
        <v>0</v>
      </c>
      <c r="V234">
        <f t="shared" si="163"/>
        <v>1.0404</v>
      </c>
      <c r="W234">
        <f t="shared" si="163"/>
        <v>1.0404</v>
      </c>
      <c r="X234">
        <f t="shared" si="163"/>
        <v>1.0404</v>
      </c>
      <c r="Y234">
        <f t="shared" si="163"/>
        <v>1.0404</v>
      </c>
      <c r="Z234">
        <f t="shared" si="163"/>
        <v>1.0404</v>
      </c>
      <c r="AA234">
        <f t="shared" si="163"/>
        <v>0</v>
      </c>
      <c r="AB234">
        <f t="shared" si="163"/>
        <v>1.0404</v>
      </c>
      <c r="AC234">
        <f t="shared" si="163"/>
        <v>1.0404</v>
      </c>
      <c r="AD234">
        <f t="shared" si="163"/>
        <v>1.0404</v>
      </c>
      <c r="AE234">
        <f t="shared" si="163"/>
        <v>0</v>
      </c>
      <c r="AF234">
        <f t="shared" si="163"/>
        <v>1.0404</v>
      </c>
      <c r="AG234">
        <f t="shared" si="163"/>
        <v>1.0404</v>
      </c>
      <c r="AH234">
        <f t="shared" si="163"/>
        <v>1.0404</v>
      </c>
      <c r="AI234">
        <f t="shared" si="163"/>
        <v>1.0404</v>
      </c>
      <c r="AJ234">
        <f t="shared" si="163"/>
        <v>1.0404</v>
      </c>
      <c r="AK234">
        <f t="shared" si="163"/>
        <v>0</v>
      </c>
      <c r="AL234">
        <f t="shared" si="163"/>
        <v>1.0404</v>
      </c>
      <c r="AM234">
        <f t="shared" si="163"/>
        <v>1.0404</v>
      </c>
      <c r="AN234">
        <f t="shared" si="163"/>
        <v>1.0404</v>
      </c>
      <c r="AO234">
        <f t="shared" si="163"/>
        <v>0</v>
      </c>
      <c r="AP234">
        <f t="shared" si="163"/>
        <v>1.0404</v>
      </c>
      <c r="AQ234">
        <f t="shared" si="163"/>
        <v>1.0404</v>
      </c>
      <c r="AR234">
        <f t="shared" si="163"/>
        <v>1.0404</v>
      </c>
      <c r="AS234">
        <f t="shared" si="163"/>
        <v>0</v>
      </c>
      <c r="AT234">
        <f t="shared" si="163"/>
        <v>2.0808</v>
      </c>
      <c r="AU234">
        <f t="shared" si="163"/>
        <v>0</v>
      </c>
      <c r="AV234">
        <f t="shared" si="163"/>
        <v>1.0404</v>
      </c>
      <c r="AW234">
        <f t="shared" si="163"/>
        <v>1.0404</v>
      </c>
      <c r="AX234">
        <f t="shared" si="163"/>
        <v>1.0404</v>
      </c>
      <c r="AY234">
        <f t="shared" si="163"/>
        <v>1.0404</v>
      </c>
      <c r="AZ234">
        <f t="shared" si="163"/>
        <v>0</v>
      </c>
      <c r="BA234">
        <f t="shared" si="163"/>
        <v>1.0404</v>
      </c>
      <c r="BB234">
        <f t="shared" si="163"/>
        <v>1.0404</v>
      </c>
    </row>
    <row r="235" spans="4:54" x14ac:dyDescent="0.2">
      <c r="D235" t="s">
        <v>331</v>
      </c>
      <c r="E235" t="s">
        <v>16</v>
      </c>
      <c r="F235">
        <v>30</v>
      </c>
      <c r="G235">
        <f t="shared" ref="G235:BB235" si="164">$B198*G198</f>
        <v>0</v>
      </c>
      <c r="H235">
        <f t="shared" si="164"/>
        <v>0.38556000000000001</v>
      </c>
      <c r="I235">
        <f t="shared" si="164"/>
        <v>0</v>
      </c>
      <c r="J235">
        <f t="shared" si="164"/>
        <v>0</v>
      </c>
      <c r="K235">
        <f t="shared" si="164"/>
        <v>0</v>
      </c>
      <c r="L235">
        <f t="shared" si="164"/>
        <v>0</v>
      </c>
      <c r="M235">
        <f t="shared" si="164"/>
        <v>0</v>
      </c>
      <c r="N235">
        <f t="shared" si="164"/>
        <v>0.38556000000000001</v>
      </c>
      <c r="O235">
        <f t="shared" si="164"/>
        <v>0</v>
      </c>
      <c r="P235">
        <f t="shared" si="164"/>
        <v>0</v>
      </c>
      <c r="Q235">
        <f t="shared" si="164"/>
        <v>0.38556000000000001</v>
      </c>
      <c r="R235">
        <f t="shared" si="164"/>
        <v>0</v>
      </c>
      <c r="S235">
        <f t="shared" si="164"/>
        <v>0</v>
      </c>
      <c r="T235">
        <f t="shared" si="164"/>
        <v>0.38556000000000001</v>
      </c>
      <c r="U235">
        <f t="shared" si="164"/>
        <v>0</v>
      </c>
      <c r="V235">
        <f t="shared" si="164"/>
        <v>0</v>
      </c>
      <c r="W235">
        <f t="shared" si="164"/>
        <v>0.38556000000000001</v>
      </c>
      <c r="X235">
        <f t="shared" si="164"/>
        <v>0</v>
      </c>
      <c r="Y235">
        <f t="shared" si="164"/>
        <v>0</v>
      </c>
      <c r="Z235">
        <f t="shared" si="164"/>
        <v>0.38556000000000001</v>
      </c>
      <c r="AA235">
        <f t="shared" si="164"/>
        <v>0</v>
      </c>
      <c r="AB235">
        <f t="shared" si="164"/>
        <v>0</v>
      </c>
      <c r="AC235">
        <f t="shared" si="164"/>
        <v>0.38556000000000001</v>
      </c>
      <c r="AD235">
        <f t="shared" si="164"/>
        <v>0</v>
      </c>
      <c r="AE235">
        <f t="shared" si="164"/>
        <v>0</v>
      </c>
      <c r="AF235">
        <f t="shared" si="164"/>
        <v>0.38556000000000001</v>
      </c>
      <c r="AG235">
        <f t="shared" si="164"/>
        <v>0</v>
      </c>
      <c r="AH235">
        <f t="shared" si="164"/>
        <v>0</v>
      </c>
      <c r="AI235">
        <f t="shared" si="164"/>
        <v>0.38556000000000001</v>
      </c>
      <c r="AJ235">
        <f t="shared" si="164"/>
        <v>0</v>
      </c>
      <c r="AK235">
        <f t="shared" si="164"/>
        <v>0</v>
      </c>
      <c r="AL235">
        <f t="shared" si="164"/>
        <v>0.38556000000000001</v>
      </c>
      <c r="AM235">
        <f t="shared" si="164"/>
        <v>0</v>
      </c>
      <c r="AN235">
        <f t="shared" si="164"/>
        <v>0</v>
      </c>
      <c r="AO235">
        <f t="shared" si="164"/>
        <v>0.38556000000000001</v>
      </c>
      <c r="AP235">
        <f t="shared" si="164"/>
        <v>0</v>
      </c>
      <c r="AQ235">
        <f t="shared" si="164"/>
        <v>0.38556000000000001</v>
      </c>
      <c r="AR235">
        <f t="shared" si="164"/>
        <v>0</v>
      </c>
      <c r="AS235">
        <f t="shared" si="164"/>
        <v>0</v>
      </c>
      <c r="AT235">
        <f t="shared" si="164"/>
        <v>0</v>
      </c>
      <c r="AU235">
        <f t="shared" si="164"/>
        <v>0.38556000000000001</v>
      </c>
      <c r="AV235">
        <f t="shared" si="164"/>
        <v>0</v>
      </c>
      <c r="AW235">
        <f t="shared" si="164"/>
        <v>0</v>
      </c>
      <c r="AX235">
        <f t="shared" si="164"/>
        <v>0.38556000000000001</v>
      </c>
      <c r="AY235">
        <f t="shared" si="164"/>
        <v>0</v>
      </c>
      <c r="AZ235">
        <f t="shared" si="164"/>
        <v>0</v>
      </c>
      <c r="BA235">
        <f t="shared" si="164"/>
        <v>0.38556000000000001</v>
      </c>
      <c r="BB235">
        <f t="shared" si="164"/>
        <v>0</v>
      </c>
    </row>
    <row r="236" spans="4:54" x14ac:dyDescent="0.2">
      <c r="D236" t="s">
        <v>332</v>
      </c>
      <c r="E236" t="s">
        <v>16</v>
      </c>
      <c r="F236">
        <v>30</v>
      </c>
      <c r="G236">
        <f t="shared" ref="G236:BB236" si="165">$B199*G199</f>
        <v>5.0122800000000005</v>
      </c>
      <c r="H236">
        <f t="shared" si="165"/>
        <v>5.0122800000000005</v>
      </c>
      <c r="I236">
        <f t="shared" si="165"/>
        <v>5.0122800000000005</v>
      </c>
      <c r="J236">
        <f t="shared" si="165"/>
        <v>4.6267200000000006</v>
      </c>
      <c r="K236">
        <f t="shared" si="165"/>
        <v>4.6267200000000006</v>
      </c>
      <c r="L236">
        <f t="shared" si="165"/>
        <v>4.6267200000000006</v>
      </c>
      <c r="M236">
        <f t="shared" si="165"/>
        <v>5.0122800000000005</v>
      </c>
      <c r="N236">
        <f t="shared" si="165"/>
        <v>4.6267200000000006</v>
      </c>
      <c r="O236">
        <f t="shared" si="165"/>
        <v>4.6267200000000006</v>
      </c>
      <c r="P236">
        <f t="shared" si="165"/>
        <v>5.0122800000000005</v>
      </c>
      <c r="Q236">
        <f t="shared" si="165"/>
        <v>4.6267200000000006</v>
      </c>
      <c r="R236">
        <f t="shared" si="165"/>
        <v>4.6267200000000006</v>
      </c>
      <c r="S236">
        <f t="shared" si="165"/>
        <v>4.2411599999999998</v>
      </c>
      <c r="T236">
        <f t="shared" si="165"/>
        <v>4.6267200000000006</v>
      </c>
      <c r="U236">
        <f t="shared" si="165"/>
        <v>4.2411599999999998</v>
      </c>
      <c r="V236">
        <f t="shared" si="165"/>
        <v>3.8555999999999999</v>
      </c>
      <c r="W236">
        <f t="shared" si="165"/>
        <v>4.6267200000000006</v>
      </c>
      <c r="X236">
        <f t="shared" si="165"/>
        <v>4.2411599999999998</v>
      </c>
      <c r="Y236">
        <f t="shared" si="165"/>
        <v>5.0122800000000005</v>
      </c>
      <c r="Z236">
        <f t="shared" si="165"/>
        <v>4.6267200000000006</v>
      </c>
      <c r="AA236">
        <f t="shared" si="165"/>
        <v>5.0122800000000005</v>
      </c>
      <c r="AB236">
        <f t="shared" si="165"/>
        <v>5.0122800000000005</v>
      </c>
      <c r="AC236">
        <f t="shared" si="165"/>
        <v>5.0122800000000005</v>
      </c>
      <c r="AD236">
        <f t="shared" si="165"/>
        <v>4.6267200000000006</v>
      </c>
      <c r="AE236">
        <f t="shared" si="165"/>
        <v>3.47004</v>
      </c>
      <c r="AF236">
        <f t="shared" si="165"/>
        <v>4.6267200000000006</v>
      </c>
      <c r="AG236">
        <f t="shared" si="165"/>
        <v>4.6267200000000006</v>
      </c>
      <c r="AH236">
        <f t="shared" si="165"/>
        <v>5.0122800000000005</v>
      </c>
      <c r="AI236">
        <f t="shared" si="165"/>
        <v>3.8555999999999999</v>
      </c>
      <c r="AJ236">
        <f t="shared" si="165"/>
        <v>3.47004</v>
      </c>
      <c r="AK236">
        <f t="shared" si="165"/>
        <v>5.0122800000000005</v>
      </c>
      <c r="AL236">
        <f t="shared" si="165"/>
        <v>4.6267200000000006</v>
      </c>
      <c r="AM236">
        <f t="shared" si="165"/>
        <v>4.6267200000000006</v>
      </c>
      <c r="AN236">
        <f t="shared" si="165"/>
        <v>5.0122800000000005</v>
      </c>
      <c r="AO236">
        <f t="shared" si="165"/>
        <v>5.0122800000000005</v>
      </c>
      <c r="AP236">
        <f t="shared" si="165"/>
        <v>4.6267200000000006</v>
      </c>
      <c r="AQ236">
        <f t="shared" si="165"/>
        <v>5.0122800000000005</v>
      </c>
      <c r="AR236">
        <f t="shared" si="165"/>
        <v>3.8555999999999999</v>
      </c>
      <c r="AS236">
        <f t="shared" si="165"/>
        <v>4.6267200000000006</v>
      </c>
      <c r="AT236">
        <f t="shared" si="165"/>
        <v>4.6267200000000006</v>
      </c>
      <c r="AU236">
        <f t="shared" si="165"/>
        <v>5.0122800000000005</v>
      </c>
      <c r="AV236">
        <f t="shared" si="165"/>
        <v>4.6267200000000006</v>
      </c>
      <c r="AW236">
        <f t="shared" si="165"/>
        <v>4.6267200000000006</v>
      </c>
      <c r="AX236">
        <f t="shared" si="165"/>
        <v>4.6267200000000006</v>
      </c>
      <c r="AY236">
        <f t="shared" si="165"/>
        <v>4.6267200000000006</v>
      </c>
      <c r="AZ236">
        <f t="shared" si="165"/>
        <v>4.2411599999999998</v>
      </c>
      <c r="BA236">
        <f t="shared" si="165"/>
        <v>5.3978400000000004</v>
      </c>
      <c r="BB236">
        <f t="shared" si="165"/>
        <v>5.3978400000000004</v>
      </c>
    </row>
    <row r="237" spans="4:54" x14ac:dyDescent="0.2">
      <c r="D237" t="s">
        <v>333</v>
      </c>
      <c r="E237" t="s">
        <v>14</v>
      </c>
      <c r="F237">
        <v>7</v>
      </c>
      <c r="G237">
        <f t="shared" ref="G237:BB237" si="166">$B200*G200</f>
        <v>0</v>
      </c>
      <c r="H237">
        <f t="shared" si="166"/>
        <v>0</v>
      </c>
      <c r="I237">
        <f t="shared" si="166"/>
        <v>0</v>
      </c>
      <c r="J237">
        <f t="shared" si="166"/>
        <v>0</v>
      </c>
      <c r="K237">
        <f t="shared" si="166"/>
        <v>0</v>
      </c>
      <c r="L237">
        <f t="shared" si="166"/>
        <v>5.7800000000000004E-2</v>
      </c>
      <c r="M237">
        <f t="shared" si="166"/>
        <v>0</v>
      </c>
      <c r="N237">
        <f t="shared" si="166"/>
        <v>0</v>
      </c>
      <c r="O237">
        <f t="shared" si="166"/>
        <v>0.14450000000000002</v>
      </c>
      <c r="P237">
        <f t="shared" si="166"/>
        <v>0</v>
      </c>
      <c r="Q237">
        <f t="shared" si="166"/>
        <v>0</v>
      </c>
      <c r="R237">
        <f t="shared" si="166"/>
        <v>0</v>
      </c>
      <c r="S237">
        <f t="shared" si="166"/>
        <v>0.1734</v>
      </c>
      <c r="T237">
        <f t="shared" si="166"/>
        <v>0</v>
      </c>
      <c r="U237">
        <f t="shared" si="166"/>
        <v>0</v>
      </c>
      <c r="V237">
        <f t="shared" si="166"/>
        <v>0</v>
      </c>
      <c r="W237">
        <f t="shared" si="166"/>
        <v>0</v>
      </c>
      <c r="X237">
        <f t="shared" si="166"/>
        <v>0.1734</v>
      </c>
      <c r="Y237">
        <f t="shared" si="166"/>
        <v>0</v>
      </c>
      <c r="Z237">
        <f t="shared" si="166"/>
        <v>0</v>
      </c>
      <c r="AA237">
        <f t="shared" si="166"/>
        <v>0</v>
      </c>
      <c r="AB237">
        <f t="shared" si="166"/>
        <v>0.11560000000000001</v>
      </c>
      <c r="AC237">
        <f t="shared" si="166"/>
        <v>0</v>
      </c>
      <c r="AD237">
        <f t="shared" si="166"/>
        <v>0</v>
      </c>
      <c r="AE237">
        <f t="shared" si="166"/>
        <v>0.14450000000000002</v>
      </c>
      <c r="AF237">
        <f t="shared" si="166"/>
        <v>0</v>
      </c>
      <c r="AG237">
        <f t="shared" si="166"/>
        <v>0</v>
      </c>
      <c r="AH237">
        <f t="shared" si="166"/>
        <v>0</v>
      </c>
      <c r="AI237">
        <f t="shared" si="166"/>
        <v>8.6699999999999999E-2</v>
      </c>
      <c r="AJ237">
        <f t="shared" si="166"/>
        <v>2.8900000000000002E-2</v>
      </c>
      <c r="AK237">
        <f t="shared" si="166"/>
        <v>0</v>
      </c>
      <c r="AL237">
        <f t="shared" si="166"/>
        <v>0</v>
      </c>
      <c r="AM237">
        <f t="shared" si="166"/>
        <v>0.14450000000000002</v>
      </c>
      <c r="AN237">
        <f t="shared" si="166"/>
        <v>0</v>
      </c>
      <c r="AO237">
        <f t="shared" si="166"/>
        <v>0</v>
      </c>
      <c r="AP237">
        <f t="shared" si="166"/>
        <v>0</v>
      </c>
      <c r="AQ237">
        <f t="shared" si="166"/>
        <v>0</v>
      </c>
      <c r="AR237">
        <f t="shared" si="166"/>
        <v>0.11560000000000001</v>
      </c>
      <c r="AS237">
        <f t="shared" si="166"/>
        <v>0</v>
      </c>
      <c r="AT237">
        <f t="shared" si="166"/>
        <v>0</v>
      </c>
      <c r="AU237">
        <f t="shared" si="166"/>
        <v>0</v>
      </c>
      <c r="AV237">
        <f t="shared" si="166"/>
        <v>0</v>
      </c>
      <c r="AW237">
        <f t="shared" si="166"/>
        <v>0</v>
      </c>
      <c r="AX237">
        <f t="shared" si="166"/>
        <v>0</v>
      </c>
      <c r="AY237">
        <f t="shared" si="166"/>
        <v>0</v>
      </c>
      <c r="AZ237">
        <f t="shared" si="166"/>
        <v>0.14450000000000002</v>
      </c>
      <c r="BA237">
        <f t="shared" si="166"/>
        <v>0</v>
      </c>
      <c r="BB237">
        <f t="shared" si="166"/>
        <v>0</v>
      </c>
    </row>
    <row r="238" spans="4:54" x14ac:dyDescent="0.2">
      <c r="D238" t="s">
        <v>334</v>
      </c>
      <c r="E238" t="s">
        <v>13</v>
      </c>
      <c r="F238">
        <v>2</v>
      </c>
      <c r="G238">
        <f t="shared" ref="G238:BB238" si="167">$B201*G201</f>
        <v>2.8900000000000002E-2</v>
      </c>
      <c r="H238">
        <f t="shared" si="167"/>
        <v>0.14450000000000002</v>
      </c>
      <c r="I238">
        <f t="shared" si="167"/>
        <v>0.14450000000000002</v>
      </c>
      <c r="J238">
        <f t="shared" si="167"/>
        <v>0.14450000000000002</v>
      </c>
      <c r="K238">
        <f t="shared" si="167"/>
        <v>0.14450000000000002</v>
      </c>
      <c r="L238">
        <f t="shared" si="167"/>
        <v>0.14450000000000002</v>
      </c>
      <c r="M238">
        <f t="shared" si="167"/>
        <v>0.14450000000000002</v>
      </c>
      <c r="N238">
        <f t="shared" si="167"/>
        <v>5.7800000000000004E-2</v>
      </c>
      <c r="O238">
        <f t="shared" si="167"/>
        <v>0.14450000000000002</v>
      </c>
      <c r="P238">
        <f t="shared" si="167"/>
        <v>0.14450000000000002</v>
      </c>
      <c r="Q238">
        <f t="shared" si="167"/>
        <v>0.14450000000000002</v>
      </c>
      <c r="R238">
        <f t="shared" si="167"/>
        <v>5.7800000000000004E-2</v>
      </c>
      <c r="S238">
        <f t="shared" si="167"/>
        <v>8.6699999999999999E-2</v>
      </c>
      <c r="T238">
        <f t="shared" si="167"/>
        <v>0.14450000000000002</v>
      </c>
      <c r="U238">
        <f t="shared" si="167"/>
        <v>0.14450000000000002</v>
      </c>
      <c r="V238">
        <f t="shared" si="167"/>
        <v>0</v>
      </c>
      <c r="W238">
        <f t="shared" si="167"/>
        <v>0.14450000000000002</v>
      </c>
      <c r="X238">
        <f t="shared" si="167"/>
        <v>0.14450000000000002</v>
      </c>
      <c r="Y238">
        <f t="shared" si="167"/>
        <v>0.14450000000000002</v>
      </c>
      <c r="Z238">
        <f t="shared" si="167"/>
        <v>5.7800000000000004E-2</v>
      </c>
      <c r="AA238">
        <f t="shared" si="167"/>
        <v>0.11560000000000001</v>
      </c>
      <c r="AB238">
        <f t="shared" si="167"/>
        <v>0.14450000000000002</v>
      </c>
      <c r="AC238">
        <f t="shared" si="167"/>
        <v>0.14450000000000002</v>
      </c>
      <c r="AD238">
        <f t="shared" si="167"/>
        <v>8.6699999999999999E-2</v>
      </c>
      <c r="AE238">
        <f t="shared" si="167"/>
        <v>0.14450000000000002</v>
      </c>
      <c r="AF238">
        <f t="shared" si="167"/>
        <v>0.14450000000000002</v>
      </c>
      <c r="AG238">
        <f t="shared" si="167"/>
        <v>0.14450000000000002</v>
      </c>
      <c r="AH238">
        <f t="shared" si="167"/>
        <v>2.8900000000000002E-2</v>
      </c>
      <c r="AI238">
        <f t="shared" si="167"/>
        <v>0.14450000000000002</v>
      </c>
      <c r="AJ238">
        <f t="shared" si="167"/>
        <v>0.14450000000000002</v>
      </c>
      <c r="AK238">
        <f t="shared" si="167"/>
        <v>0.14450000000000002</v>
      </c>
      <c r="AL238">
        <f t="shared" si="167"/>
        <v>2.8900000000000002E-2</v>
      </c>
      <c r="AM238">
        <f t="shared" si="167"/>
        <v>0.11560000000000001</v>
      </c>
      <c r="AN238">
        <f t="shared" si="167"/>
        <v>0.14450000000000002</v>
      </c>
      <c r="AO238">
        <f t="shared" si="167"/>
        <v>0.11560000000000001</v>
      </c>
      <c r="AP238">
        <f t="shared" si="167"/>
        <v>0</v>
      </c>
      <c r="AQ238">
        <f t="shared" si="167"/>
        <v>0.14450000000000002</v>
      </c>
      <c r="AR238">
        <f t="shared" si="167"/>
        <v>0.14450000000000002</v>
      </c>
      <c r="AS238">
        <f t="shared" si="167"/>
        <v>0.14450000000000002</v>
      </c>
      <c r="AT238">
        <f t="shared" si="167"/>
        <v>5.7800000000000004E-2</v>
      </c>
      <c r="AU238">
        <f t="shared" si="167"/>
        <v>0.14450000000000002</v>
      </c>
      <c r="AV238">
        <f t="shared" si="167"/>
        <v>0.14450000000000002</v>
      </c>
      <c r="AW238">
        <f t="shared" si="167"/>
        <v>0.14450000000000002</v>
      </c>
      <c r="AX238">
        <f t="shared" si="167"/>
        <v>2.8900000000000002E-2</v>
      </c>
      <c r="AY238">
        <f t="shared" si="167"/>
        <v>0.11560000000000001</v>
      </c>
      <c r="AZ238">
        <f t="shared" si="167"/>
        <v>0.14450000000000002</v>
      </c>
      <c r="BA238">
        <f t="shared" si="167"/>
        <v>0.14450000000000002</v>
      </c>
      <c r="BB238">
        <f t="shared" si="167"/>
        <v>5.7800000000000004E-2</v>
      </c>
    </row>
    <row r="239" spans="4:54" x14ac:dyDescent="0.2">
      <c r="D239" t="s">
        <v>337</v>
      </c>
      <c r="E239" t="s">
        <v>17</v>
      </c>
      <c r="F239">
        <v>4</v>
      </c>
      <c r="G239">
        <f t="shared" ref="G239:BB239" si="168">$B202*G202</f>
        <v>0</v>
      </c>
      <c r="H239">
        <f t="shared" si="168"/>
        <v>0</v>
      </c>
      <c r="I239">
        <f t="shared" si="168"/>
        <v>0</v>
      </c>
      <c r="J239">
        <f t="shared" si="168"/>
        <v>0</v>
      </c>
      <c r="K239">
        <f t="shared" si="168"/>
        <v>0</v>
      </c>
      <c r="L239">
        <f t="shared" si="168"/>
        <v>0</v>
      </c>
      <c r="M239">
        <f t="shared" si="168"/>
        <v>0</v>
      </c>
      <c r="N239">
        <f t="shared" si="168"/>
        <v>0</v>
      </c>
      <c r="O239">
        <f t="shared" si="168"/>
        <v>0.30300750000000004</v>
      </c>
      <c r="P239">
        <f t="shared" si="168"/>
        <v>0.30300750000000004</v>
      </c>
      <c r="Q239">
        <f t="shared" si="168"/>
        <v>0</v>
      </c>
      <c r="R239">
        <f t="shared" si="168"/>
        <v>0</v>
      </c>
      <c r="S239">
        <f t="shared" si="168"/>
        <v>0</v>
      </c>
      <c r="T239">
        <f t="shared" si="168"/>
        <v>0</v>
      </c>
      <c r="U239">
        <f t="shared" si="168"/>
        <v>0</v>
      </c>
      <c r="V239">
        <f t="shared" si="168"/>
        <v>0</v>
      </c>
      <c r="W239">
        <f t="shared" si="168"/>
        <v>0</v>
      </c>
      <c r="X239">
        <f t="shared" si="168"/>
        <v>0</v>
      </c>
      <c r="Y239">
        <f t="shared" si="168"/>
        <v>0</v>
      </c>
      <c r="Z239">
        <f t="shared" si="168"/>
        <v>0</v>
      </c>
      <c r="AA239">
        <f t="shared" si="168"/>
        <v>0</v>
      </c>
      <c r="AB239">
        <f t="shared" si="168"/>
        <v>0</v>
      </c>
      <c r="AC239">
        <f t="shared" si="168"/>
        <v>0</v>
      </c>
      <c r="AD239">
        <f t="shared" si="168"/>
        <v>0</v>
      </c>
      <c r="AE239">
        <f t="shared" si="168"/>
        <v>0.40401000000000004</v>
      </c>
      <c r="AF239">
        <f t="shared" si="168"/>
        <v>0.38717625000000006</v>
      </c>
      <c r="AG239">
        <f t="shared" si="168"/>
        <v>0</v>
      </c>
      <c r="AH239">
        <f t="shared" si="168"/>
        <v>0</v>
      </c>
      <c r="AI239">
        <f t="shared" si="168"/>
        <v>0</v>
      </c>
      <c r="AJ239">
        <f t="shared" si="168"/>
        <v>0</v>
      </c>
      <c r="AK239">
        <f t="shared" si="168"/>
        <v>0</v>
      </c>
      <c r="AL239">
        <f t="shared" si="168"/>
        <v>0</v>
      </c>
      <c r="AM239">
        <f t="shared" si="168"/>
        <v>0</v>
      </c>
      <c r="AN239">
        <f t="shared" si="168"/>
        <v>0</v>
      </c>
      <c r="AO239">
        <f t="shared" si="168"/>
        <v>0</v>
      </c>
      <c r="AP239">
        <f t="shared" si="168"/>
        <v>0</v>
      </c>
      <c r="AQ239">
        <f t="shared" si="168"/>
        <v>0</v>
      </c>
      <c r="AR239">
        <f t="shared" si="168"/>
        <v>0</v>
      </c>
      <c r="AS239">
        <f t="shared" si="168"/>
        <v>0</v>
      </c>
      <c r="AT239">
        <f t="shared" si="168"/>
        <v>0</v>
      </c>
      <c r="AU239">
        <f t="shared" si="168"/>
        <v>0</v>
      </c>
      <c r="AV239">
        <f t="shared" si="168"/>
        <v>0</v>
      </c>
      <c r="AW239">
        <f t="shared" si="168"/>
        <v>0</v>
      </c>
      <c r="AX239">
        <f t="shared" si="168"/>
        <v>0</v>
      </c>
      <c r="AY239">
        <f t="shared" si="168"/>
        <v>0</v>
      </c>
      <c r="AZ239">
        <f t="shared" si="168"/>
        <v>0</v>
      </c>
      <c r="BA239">
        <f t="shared" si="168"/>
        <v>0</v>
      </c>
      <c r="BB239">
        <f t="shared" si="168"/>
        <v>0</v>
      </c>
    </row>
    <row r="240" spans="4:54" x14ac:dyDescent="0.2">
      <c r="D240" t="s">
        <v>338</v>
      </c>
      <c r="E240" t="s">
        <v>17</v>
      </c>
      <c r="F240">
        <v>8</v>
      </c>
      <c r="G240">
        <f t="shared" ref="G240:BB240" si="169">$B203*G203</f>
        <v>0</v>
      </c>
      <c r="H240">
        <f t="shared" si="169"/>
        <v>0</v>
      </c>
      <c r="I240">
        <f t="shared" si="169"/>
        <v>0</v>
      </c>
      <c r="J240">
        <f t="shared" si="169"/>
        <v>0</v>
      </c>
      <c r="K240">
        <f t="shared" si="169"/>
        <v>0</v>
      </c>
      <c r="L240">
        <f t="shared" si="169"/>
        <v>0</v>
      </c>
      <c r="M240">
        <f t="shared" si="169"/>
        <v>0</v>
      </c>
      <c r="N240">
        <f t="shared" si="169"/>
        <v>0</v>
      </c>
      <c r="O240">
        <f t="shared" si="169"/>
        <v>0</v>
      </c>
      <c r="P240">
        <f t="shared" si="169"/>
        <v>0</v>
      </c>
      <c r="Q240">
        <f t="shared" si="169"/>
        <v>0</v>
      </c>
      <c r="R240">
        <f t="shared" si="169"/>
        <v>0</v>
      </c>
      <c r="S240">
        <f t="shared" si="169"/>
        <v>0</v>
      </c>
      <c r="T240">
        <f t="shared" si="169"/>
        <v>0</v>
      </c>
      <c r="U240">
        <f t="shared" si="169"/>
        <v>0</v>
      </c>
      <c r="V240">
        <f t="shared" si="169"/>
        <v>0</v>
      </c>
      <c r="W240">
        <f t="shared" si="169"/>
        <v>0</v>
      </c>
      <c r="X240">
        <f t="shared" si="169"/>
        <v>0</v>
      </c>
      <c r="Y240">
        <f t="shared" si="169"/>
        <v>0</v>
      </c>
      <c r="Z240">
        <f t="shared" si="169"/>
        <v>0</v>
      </c>
      <c r="AA240">
        <f t="shared" si="169"/>
        <v>0</v>
      </c>
      <c r="AB240">
        <f t="shared" si="169"/>
        <v>0</v>
      </c>
      <c r="AC240">
        <f t="shared" si="169"/>
        <v>0</v>
      </c>
      <c r="AD240">
        <f t="shared" si="169"/>
        <v>0</v>
      </c>
      <c r="AE240">
        <f t="shared" si="169"/>
        <v>0</v>
      </c>
      <c r="AF240">
        <f t="shared" si="169"/>
        <v>0</v>
      </c>
      <c r="AG240">
        <f t="shared" si="169"/>
        <v>0</v>
      </c>
      <c r="AH240">
        <f t="shared" si="169"/>
        <v>0</v>
      </c>
      <c r="AI240">
        <f t="shared" si="169"/>
        <v>0</v>
      </c>
      <c r="AJ240">
        <f t="shared" si="169"/>
        <v>0</v>
      </c>
      <c r="AK240">
        <f t="shared" si="169"/>
        <v>0</v>
      </c>
      <c r="AL240">
        <f t="shared" si="169"/>
        <v>0</v>
      </c>
      <c r="AM240">
        <f t="shared" si="169"/>
        <v>0</v>
      </c>
      <c r="AN240">
        <f t="shared" si="169"/>
        <v>0</v>
      </c>
      <c r="AO240">
        <f t="shared" si="169"/>
        <v>0</v>
      </c>
      <c r="AP240">
        <f t="shared" si="169"/>
        <v>0</v>
      </c>
      <c r="AQ240">
        <f t="shared" si="169"/>
        <v>0</v>
      </c>
      <c r="AR240">
        <f t="shared" si="169"/>
        <v>0</v>
      </c>
      <c r="AS240">
        <f t="shared" si="169"/>
        <v>0</v>
      </c>
      <c r="AT240">
        <f t="shared" si="169"/>
        <v>0</v>
      </c>
      <c r="AU240">
        <f t="shared" si="169"/>
        <v>0</v>
      </c>
      <c r="AV240">
        <f t="shared" si="169"/>
        <v>0</v>
      </c>
      <c r="AW240">
        <f t="shared" si="169"/>
        <v>0</v>
      </c>
      <c r="AX240">
        <f t="shared" si="169"/>
        <v>0</v>
      </c>
      <c r="AY240">
        <f t="shared" si="169"/>
        <v>0.15026927500000001</v>
      </c>
      <c r="AZ240">
        <f t="shared" si="169"/>
        <v>0.1387101</v>
      </c>
      <c r="BA240">
        <f t="shared" si="169"/>
        <v>0</v>
      </c>
      <c r="BB240">
        <f t="shared" si="169"/>
        <v>0</v>
      </c>
    </row>
    <row r="241" spans="4:54" x14ac:dyDescent="0.2">
      <c r="D241" t="s">
        <v>339</v>
      </c>
      <c r="E241" t="s">
        <v>17</v>
      </c>
      <c r="F241">
        <v>10</v>
      </c>
      <c r="G241">
        <f t="shared" ref="G241:BB241" si="170">$B204*G204</f>
        <v>0</v>
      </c>
      <c r="H241">
        <f t="shared" si="170"/>
        <v>0</v>
      </c>
      <c r="I241">
        <f t="shared" si="170"/>
        <v>0</v>
      </c>
      <c r="J241">
        <f t="shared" si="170"/>
        <v>0</v>
      </c>
      <c r="K241">
        <f t="shared" si="170"/>
        <v>0</v>
      </c>
      <c r="L241">
        <f t="shared" si="170"/>
        <v>0</v>
      </c>
      <c r="M241">
        <f t="shared" si="170"/>
        <v>0</v>
      </c>
      <c r="N241">
        <f t="shared" si="170"/>
        <v>0</v>
      </c>
      <c r="O241">
        <f t="shared" si="170"/>
        <v>0</v>
      </c>
      <c r="P241">
        <f t="shared" si="170"/>
        <v>0</v>
      </c>
      <c r="Q241">
        <f t="shared" si="170"/>
        <v>0</v>
      </c>
      <c r="R241">
        <f t="shared" si="170"/>
        <v>0</v>
      </c>
      <c r="S241">
        <f t="shared" si="170"/>
        <v>0</v>
      </c>
      <c r="T241">
        <f t="shared" si="170"/>
        <v>0</v>
      </c>
      <c r="U241">
        <f t="shared" si="170"/>
        <v>0</v>
      </c>
      <c r="V241">
        <f t="shared" si="170"/>
        <v>0</v>
      </c>
      <c r="W241">
        <f t="shared" si="170"/>
        <v>0</v>
      </c>
      <c r="X241">
        <f t="shared" si="170"/>
        <v>0</v>
      </c>
      <c r="Y241">
        <f t="shared" si="170"/>
        <v>0</v>
      </c>
      <c r="Z241">
        <f t="shared" si="170"/>
        <v>0</v>
      </c>
      <c r="AA241">
        <f t="shared" si="170"/>
        <v>0.11222499999999999</v>
      </c>
      <c r="AB241">
        <f t="shared" si="170"/>
        <v>0.11222499999999999</v>
      </c>
      <c r="AC241">
        <f t="shared" si="170"/>
        <v>0</v>
      </c>
      <c r="AD241">
        <f t="shared" si="170"/>
        <v>0</v>
      </c>
      <c r="AE241">
        <f t="shared" si="170"/>
        <v>0</v>
      </c>
      <c r="AF241">
        <f t="shared" si="170"/>
        <v>0</v>
      </c>
      <c r="AG241">
        <f t="shared" si="170"/>
        <v>0</v>
      </c>
      <c r="AH241">
        <f t="shared" si="170"/>
        <v>0</v>
      </c>
      <c r="AI241">
        <f t="shared" si="170"/>
        <v>0</v>
      </c>
      <c r="AJ241">
        <f t="shared" si="170"/>
        <v>0</v>
      </c>
      <c r="AK241">
        <f t="shared" si="170"/>
        <v>0</v>
      </c>
      <c r="AL241">
        <f t="shared" si="170"/>
        <v>0</v>
      </c>
      <c r="AM241">
        <f t="shared" si="170"/>
        <v>0</v>
      </c>
      <c r="AN241">
        <f t="shared" si="170"/>
        <v>0</v>
      </c>
      <c r="AO241">
        <f t="shared" si="170"/>
        <v>0</v>
      </c>
      <c r="AP241">
        <f t="shared" si="170"/>
        <v>0</v>
      </c>
      <c r="AQ241">
        <f t="shared" si="170"/>
        <v>0</v>
      </c>
      <c r="AR241">
        <f t="shared" si="170"/>
        <v>0</v>
      </c>
      <c r="AS241">
        <f t="shared" si="170"/>
        <v>0</v>
      </c>
      <c r="AT241">
        <f t="shared" si="170"/>
        <v>0</v>
      </c>
      <c r="AU241">
        <f t="shared" si="170"/>
        <v>0</v>
      </c>
      <c r="AV241">
        <f t="shared" si="170"/>
        <v>0</v>
      </c>
      <c r="AW241">
        <f t="shared" si="170"/>
        <v>0</v>
      </c>
      <c r="AX241">
        <f t="shared" si="170"/>
        <v>0</v>
      </c>
      <c r="AY241">
        <f t="shared" si="170"/>
        <v>0</v>
      </c>
      <c r="AZ241">
        <f t="shared" si="170"/>
        <v>0</v>
      </c>
      <c r="BA241">
        <f t="shared" si="170"/>
        <v>0</v>
      </c>
      <c r="BB241">
        <f t="shared" si="170"/>
        <v>0</v>
      </c>
    </row>
    <row r="242" spans="4:54" x14ac:dyDescent="0.2">
      <c r="D242" t="s">
        <v>340</v>
      </c>
      <c r="E242" t="s">
        <v>17</v>
      </c>
      <c r="F242">
        <v>5</v>
      </c>
      <c r="G242">
        <f t="shared" ref="G242:BB242" si="171">$B205*G205</f>
        <v>0</v>
      </c>
      <c r="H242">
        <f t="shared" si="171"/>
        <v>0</v>
      </c>
      <c r="I242">
        <f t="shared" si="171"/>
        <v>0</v>
      </c>
      <c r="J242">
        <f t="shared" si="171"/>
        <v>0</v>
      </c>
      <c r="K242">
        <f t="shared" si="171"/>
        <v>0</v>
      </c>
      <c r="L242">
        <f t="shared" si="171"/>
        <v>0</v>
      </c>
      <c r="M242">
        <f t="shared" si="171"/>
        <v>0</v>
      </c>
      <c r="N242">
        <f t="shared" si="171"/>
        <v>0</v>
      </c>
      <c r="O242">
        <f t="shared" si="171"/>
        <v>0</v>
      </c>
      <c r="P242">
        <f t="shared" si="171"/>
        <v>0</v>
      </c>
      <c r="Q242">
        <f t="shared" si="171"/>
        <v>0</v>
      </c>
      <c r="R242">
        <f t="shared" si="171"/>
        <v>0</v>
      </c>
      <c r="S242">
        <f t="shared" si="171"/>
        <v>0</v>
      </c>
      <c r="T242">
        <f t="shared" si="171"/>
        <v>0</v>
      </c>
      <c r="U242">
        <f t="shared" si="171"/>
        <v>0</v>
      </c>
      <c r="V242">
        <f t="shared" si="171"/>
        <v>0</v>
      </c>
      <c r="W242">
        <f t="shared" si="171"/>
        <v>0</v>
      </c>
      <c r="X242">
        <f t="shared" si="171"/>
        <v>0</v>
      </c>
      <c r="Y242">
        <f t="shared" si="171"/>
        <v>0</v>
      </c>
      <c r="Z242">
        <f t="shared" si="171"/>
        <v>0</v>
      </c>
      <c r="AA242">
        <f t="shared" si="171"/>
        <v>0</v>
      </c>
      <c r="AB242">
        <f t="shared" si="171"/>
        <v>0</v>
      </c>
      <c r="AC242">
        <f t="shared" si="171"/>
        <v>0</v>
      </c>
      <c r="AD242">
        <f t="shared" si="171"/>
        <v>0</v>
      </c>
      <c r="AE242">
        <f t="shared" si="171"/>
        <v>0</v>
      </c>
      <c r="AF242">
        <f t="shared" si="171"/>
        <v>0</v>
      </c>
      <c r="AG242">
        <f t="shared" si="171"/>
        <v>0</v>
      </c>
      <c r="AH242">
        <f t="shared" si="171"/>
        <v>0</v>
      </c>
      <c r="AI242">
        <f t="shared" si="171"/>
        <v>0</v>
      </c>
      <c r="AJ242">
        <f t="shared" si="171"/>
        <v>0</v>
      </c>
      <c r="AK242">
        <f t="shared" si="171"/>
        <v>0</v>
      </c>
      <c r="AL242">
        <f t="shared" si="171"/>
        <v>0</v>
      </c>
      <c r="AM242">
        <f t="shared" si="171"/>
        <v>0.21617200000000003</v>
      </c>
      <c r="AN242">
        <f t="shared" si="171"/>
        <v>0.21617200000000003</v>
      </c>
      <c r="AO242">
        <f t="shared" si="171"/>
        <v>0</v>
      </c>
      <c r="AP242">
        <f t="shared" si="171"/>
        <v>0</v>
      </c>
      <c r="AQ242">
        <f t="shared" si="171"/>
        <v>0</v>
      </c>
      <c r="AR242">
        <f t="shared" si="171"/>
        <v>0</v>
      </c>
      <c r="AS242">
        <f t="shared" si="171"/>
        <v>0</v>
      </c>
      <c r="AT242">
        <f t="shared" si="171"/>
        <v>0</v>
      </c>
      <c r="AU242">
        <f t="shared" si="171"/>
        <v>0</v>
      </c>
      <c r="AV242">
        <f t="shared" si="171"/>
        <v>0</v>
      </c>
      <c r="AW242">
        <f t="shared" si="171"/>
        <v>0</v>
      </c>
      <c r="AX242">
        <f t="shared" si="171"/>
        <v>0</v>
      </c>
      <c r="AY242">
        <f t="shared" si="171"/>
        <v>0</v>
      </c>
      <c r="AZ242">
        <f t="shared" si="171"/>
        <v>0</v>
      </c>
      <c r="BA242">
        <f t="shared" si="171"/>
        <v>0</v>
      </c>
      <c r="BB242">
        <f t="shared" si="171"/>
        <v>0</v>
      </c>
    </row>
    <row r="243" spans="4:54" x14ac:dyDescent="0.2">
      <c r="D243" t="s">
        <v>341</v>
      </c>
      <c r="E243" t="s">
        <v>17</v>
      </c>
      <c r="F243">
        <v>5</v>
      </c>
      <c r="G243">
        <f t="shared" ref="G243:BB243" si="172">$B206*G206</f>
        <v>0</v>
      </c>
      <c r="H243">
        <f t="shared" si="172"/>
        <v>0</v>
      </c>
      <c r="I243">
        <f t="shared" si="172"/>
        <v>0</v>
      </c>
      <c r="J243">
        <f t="shared" si="172"/>
        <v>0</v>
      </c>
      <c r="K243">
        <f t="shared" si="172"/>
        <v>0</v>
      </c>
      <c r="L243">
        <f t="shared" si="172"/>
        <v>0</v>
      </c>
      <c r="M243">
        <f t="shared" si="172"/>
        <v>0</v>
      </c>
      <c r="N243">
        <f t="shared" si="172"/>
        <v>0</v>
      </c>
      <c r="O243">
        <f t="shared" si="172"/>
        <v>0</v>
      </c>
      <c r="P243">
        <f t="shared" si="172"/>
        <v>0</v>
      </c>
      <c r="Q243">
        <f t="shared" si="172"/>
        <v>0</v>
      </c>
      <c r="R243">
        <f t="shared" si="172"/>
        <v>0</v>
      </c>
      <c r="S243">
        <f t="shared" si="172"/>
        <v>0</v>
      </c>
      <c r="T243">
        <f t="shared" si="172"/>
        <v>0</v>
      </c>
      <c r="U243">
        <f t="shared" si="172"/>
        <v>0</v>
      </c>
      <c r="V243">
        <f t="shared" si="172"/>
        <v>0</v>
      </c>
      <c r="W243">
        <f t="shared" si="172"/>
        <v>0</v>
      </c>
      <c r="X243">
        <f t="shared" si="172"/>
        <v>0</v>
      </c>
      <c r="Y243">
        <f t="shared" si="172"/>
        <v>0</v>
      </c>
      <c r="Z243">
        <f t="shared" si="172"/>
        <v>0</v>
      </c>
      <c r="AA243">
        <f t="shared" si="172"/>
        <v>0</v>
      </c>
      <c r="AB243">
        <f t="shared" si="172"/>
        <v>0</v>
      </c>
      <c r="AC243">
        <f t="shared" si="172"/>
        <v>0</v>
      </c>
      <c r="AD243">
        <f t="shared" si="172"/>
        <v>0</v>
      </c>
      <c r="AE243">
        <f t="shared" si="172"/>
        <v>0</v>
      </c>
      <c r="AF243">
        <f t="shared" si="172"/>
        <v>0</v>
      </c>
      <c r="AG243">
        <f t="shared" si="172"/>
        <v>0</v>
      </c>
      <c r="AH243">
        <f t="shared" si="172"/>
        <v>0</v>
      </c>
      <c r="AI243">
        <f t="shared" si="172"/>
        <v>0</v>
      </c>
      <c r="AJ243">
        <f t="shared" si="172"/>
        <v>0</v>
      </c>
      <c r="AK243">
        <f t="shared" si="172"/>
        <v>0</v>
      </c>
      <c r="AL243">
        <f t="shared" si="172"/>
        <v>0</v>
      </c>
      <c r="AM243">
        <f t="shared" si="172"/>
        <v>0</v>
      </c>
      <c r="AN243">
        <f t="shared" si="172"/>
        <v>0</v>
      </c>
      <c r="AO243">
        <f t="shared" si="172"/>
        <v>0</v>
      </c>
      <c r="AP243">
        <f t="shared" si="172"/>
        <v>0</v>
      </c>
      <c r="AQ243">
        <f t="shared" si="172"/>
        <v>0</v>
      </c>
      <c r="AR243">
        <f t="shared" si="172"/>
        <v>0</v>
      </c>
      <c r="AS243">
        <f t="shared" si="172"/>
        <v>0</v>
      </c>
      <c r="AT243">
        <f t="shared" si="172"/>
        <v>0</v>
      </c>
      <c r="AU243">
        <f t="shared" si="172"/>
        <v>0</v>
      </c>
      <c r="AV243">
        <f t="shared" si="172"/>
        <v>0</v>
      </c>
      <c r="AW243">
        <f t="shared" si="172"/>
        <v>0</v>
      </c>
      <c r="AX243">
        <f t="shared" si="172"/>
        <v>0</v>
      </c>
      <c r="AY243">
        <f t="shared" si="172"/>
        <v>0</v>
      </c>
      <c r="AZ243">
        <f t="shared" si="172"/>
        <v>0</v>
      </c>
      <c r="BA243">
        <f t="shared" si="172"/>
        <v>0</v>
      </c>
      <c r="BB243">
        <f t="shared" si="172"/>
        <v>0</v>
      </c>
    </row>
    <row r="244" spans="4:54" x14ac:dyDescent="0.2">
      <c r="D244" t="s">
        <v>345</v>
      </c>
      <c r="E244" t="s">
        <v>62</v>
      </c>
      <c r="F244">
        <v>8</v>
      </c>
      <c r="G244">
        <f t="shared" ref="G244:BB244" si="173">$B207*G207</f>
        <v>0</v>
      </c>
      <c r="H244">
        <f t="shared" si="173"/>
        <v>0</v>
      </c>
      <c r="I244">
        <f t="shared" si="173"/>
        <v>0</v>
      </c>
      <c r="J244">
        <f t="shared" si="173"/>
        <v>0</v>
      </c>
      <c r="K244">
        <f t="shared" si="173"/>
        <v>0.730248075</v>
      </c>
      <c r="L244">
        <f t="shared" si="173"/>
        <v>0</v>
      </c>
      <c r="M244">
        <f t="shared" si="173"/>
        <v>0</v>
      </c>
      <c r="N244">
        <f t="shared" si="173"/>
        <v>0</v>
      </c>
      <c r="O244">
        <f t="shared" si="173"/>
        <v>0</v>
      </c>
      <c r="P244">
        <f t="shared" si="173"/>
        <v>0</v>
      </c>
      <c r="Q244">
        <f t="shared" si="173"/>
        <v>0</v>
      </c>
      <c r="R244">
        <f t="shared" si="173"/>
        <v>0</v>
      </c>
      <c r="S244">
        <f t="shared" si="173"/>
        <v>0</v>
      </c>
      <c r="T244">
        <f t="shared" si="173"/>
        <v>0</v>
      </c>
      <c r="U244">
        <f t="shared" si="173"/>
        <v>0</v>
      </c>
      <c r="V244">
        <f t="shared" si="173"/>
        <v>0</v>
      </c>
      <c r="W244">
        <f t="shared" si="173"/>
        <v>0</v>
      </c>
      <c r="X244">
        <f t="shared" si="173"/>
        <v>0</v>
      </c>
      <c r="Y244">
        <f t="shared" si="173"/>
        <v>0</v>
      </c>
      <c r="Z244">
        <f t="shared" si="173"/>
        <v>0</v>
      </c>
      <c r="AA244">
        <f t="shared" si="173"/>
        <v>0.730248075</v>
      </c>
      <c r="AB244">
        <f t="shared" si="173"/>
        <v>0</v>
      </c>
      <c r="AC244">
        <f t="shared" si="173"/>
        <v>0</v>
      </c>
      <c r="AD244">
        <f t="shared" si="173"/>
        <v>0</v>
      </c>
      <c r="AE244">
        <f t="shared" si="173"/>
        <v>0</v>
      </c>
      <c r="AF244">
        <f t="shared" si="173"/>
        <v>0</v>
      </c>
      <c r="AG244">
        <f t="shared" si="173"/>
        <v>0</v>
      </c>
      <c r="AH244">
        <f t="shared" si="173"/>
        <v>0</v>
      </c>
      <c r="AI244">
        <f t="shared" si="173"/>
        <v>0</v>
      </c>
      <c r="AJ244">
        <f t="shared" si="173"/>
        <v>0</v>
      </c>
      <c r="AK244">
        <f t="shared" si="173"/>
        <v>0</v>
      </c>
      <c r="AL244">
        <f t="shared" si="173"/>
        <v>0</v>
      </c>
      <c r="AM244">
        <f t="shared" si="173"/>
        <v>0</v>
      </c>
      <c r="AN244">
        <f t="shared" si="173"/>
        <v>0</v>
      </c>
      <c r="AO244">
        <f t="shared" si="173"/>
        <v>0</v>
      </c>
      <c r="AP244">
        <f t="shared" si="173"/>
        <v>0</v>
      </c>
      <c r="AQ244">
        <f t="shared" si="173"/>
        <v>0</v>
      </c>
      <c r="AR244">
        <f t="shared" si="173"/>
        <v>0</v>
      </c>
      <c r="AS244">
        <f t="shared" si="173"/>
        <v>0</v>
      </c>
      <c r="AT244">
        <f t="shared" si="173"/>
        <v>0</v>
      </c>
      <c r="AU244">
        <f t="shared" si="173"/>
        <v>0.730248075</v>
      </c>
      <c r="AV244">
        <f t="shared" si="173"/>
        <v>0</v>
      </c>
      <c r="AW244">
        <f t="shared" si="173"/>
        <v>0</v>
      </c>
      <c r="AX244">
        <f t="shared" si="173"/>
        <v>0</v>
      </c>
      <c r="AY244">
        <f t="shared" si="173"/>
        <v>0</v>
      </c>
      <c r="AZ244">
        <f t="shared" si="173"/>
        <v>0</v>
      </c>
      <c r="BA244">
        <f t="shared" si="173"/>
        <v>0</v>
      </c>
      <c r="BB244">
        <f t="shared" si="173"/>
        <v>0</v>
      </c>
    </row>
    <row r="245" spans="4:54" x14ac:dyDescent="0.2">
      <c r="D245" t="s">
        <v>346</v>
      </c>
      <c r="E245" t="s">
        <v>62</v>
      </c>
      <c r="F245">
        <v>8</v>
      </c>
      <c r="G245">
        <f t="shared" ref="G245:BB245" si="174">$B208*G208</f>
        <v>0.730248075</v>
      </c>
      <c r="H245">
        <f t="shared" si="174"/>
        <v>0.730248075</v>
      </c>
      <c r="I245">
        <f t="shared" si="174"/>
        <v>0</v>
      </c>
      <c r="J245">
        <f t="shared" si="174"/>
        <v>0</v>
      </c>
      <c r="K245">
        <f t="shared" si="174"/>
        <v>0.730248075</v>
      </c>
      <c r="L245">
        <f t="shared" si="174"/>
        <v>0</v>
      </c>
      <c r="M245">
        <f t="shared" si="174"/>
        <v>0</v>
      </c>
      <c r="N245">
        <f t="shared" si="174"/>
        <v>0</v>
      </c>
      <c r="O245">
        <f t="shared" si="174"/>
        <v>0.730248075</v>
      </c>
      <c r="P245">
        <f t="shared" si="174"/>
        <v>0.730248075</v>
      </c>
      <c r="Q245">
        <f t="shared" si="174"/>
        <v>0</v>
      </c>
      <c r="R245">
        <f t="shared" si="174"/>
        <v>0</v>
      </c>
      <c r="S245">
        <f t="shared" si="174"/>
        <v>0.730248075</v>
      </c>
      <c r="T245">
        <f t="shared" si="174"/>
        <v>0</v>
      </c>
      <c r="U245">
        <f t="shared" si="174"/>
        <v>0</v>
      </c>
      <c r="V245">
        <f t="shared" si="174"/>
        <v>0</v>
      </c>
      <c r="W245">
        <f t="shared" si="174"/>
        <v>0.730248075</v>
      </c>
      <c r="X245">
        <f t="shared" si="174"/>
        <v>0</v>
      </c>
      <c r="Y245">
        <f t="shared" si="174"/>
        <v>0</v>
      </c>
      <c r="Z245">
        <f t="shared" si="174"/>
        <v>0</v>
      </c>
      <c r="AA245">
        <f t="shared" si="174"/>
        <v>0.730248075</v>
      </c>
      <c r="AB245">
        <f t="shared" si="174"/>
        <v>0.730248075</v>
      </c>
      <c r="AC245">
        <f t="shared" si="174"/>
        <v>0</v>
      </c>
      <c r="AD245">
        <f t="shared" si="174"/>
        <v>0</v>
      </c>
      <c r="AE245">
        <f t="shared" si="174"/>
        <v>0.730248075</v>
      </c>
      <c r="AF245">
        <f t="shared" si="174"/>
        <v>0</v>
      </c>
      <c r="AG245">
        <f t="shared" si="174"/>
        <v>0</v>
      </c>
      <c r="AH245">
        <f t="shared" si="174"/>
        <v>0</v>
      </c>
      <c r="AI245">
        <f t="shared" si="174"/>
        <v>0.730248075</v>
      </c>
      <c r="AJ245">
        <f t="shared" si="174"/>
        <v>0.730248075</v>
      </c>
      <c r="AK245">
        <f t="shared" si="174"/>
        <v>0</v>
      </c>
      <c r="AL245">
        <f t="shared" si="174"/>
        <v>0</v>
      </c>
      <c r="AM245">
        <f t="shared" si="174"/>
        <v>0.730248075</v>
      </c>
      <c r="AN245">
        <f t="shared" si="174"/>
        <v>0.730248075</v>
      </c>
      <c r="AO245">
        <f t="shared" si="174"/>
        <v>0</v>
      </c>
      <c r="AP245">
        <f t="shared" si="174"/>
        <v>0</v>
      </c>
      <c r="AQ245">
        <f t="shared" si="174"/>
        <v>0.730248075</v>
      </c>
      <c r="AR245">
        <f t="shared" si="174"/>
        <v>0.730248075</v>
      </c>
      <c r="AS245">
        <f t="shared" si="174"/>
        <v>0</v>
      </c>
      <c r="AT245">
        <f t="shared" si="174"/>
        <v>0</v>
      </c>
      <c r="AU245">
        <f t="shared" si="174"/>
        <v>0.730248075</v>
      </c>
      <c r="AV245">
        <f t="shared" si="174"/>
        <v>0.730248075</v>
      </c>
      <c r="AW245">
        <f t="shared" si="174"/>
        <v>0.730248075</v>
      </c>
      <c r="AX245">
        <f t="shared" si="174"/>
        <v>0</v>
      </c>
      <c r="AY245">
        <f t="shared" si="174"/>
        <v>0.730248075</v>
      </c>
      <c r="AZ245">
        <f t="shared" si="174"/>
        <v>0.730248075</v>
      </c>
      <c r="BA245">
        <f t="shared" si="174"/>
        <v>0.730248075</v>
      </c>
      <c r="BB245">
        <f t="shared" si="174"/>
        <v>0</v>
      </c>
    </row>
    <row r="246" spans="4:54" x14ac:dyDescent="0.2">
      <c r="D246" t="s">
        <v>348</v>
      </c>
      <c r="E246" t="s">
        <v>62</v>
      </c>
      <c r="F246">
        <v>6</v>
      </c>
      <c r="G246">
        <f t="shared" ref="G246:BB246" si="175">$B209*G209</f>
        <v>0</v>
      </c>
      <c r="H246">
        <f t="shared" si="175"/>
        <v>0.730248075</v>
      </c>
      <c r="I246">
        <f t="shared" si="175"/>
        <v>0</v>
      </c>
      <c r="J246">
        <f t="shared" si="175"/>
        <v>0</v>
      </c>
      <c r="K246">
        <f t="shared" si="175"/>
        <v>0</v>
      </c>
      <c r="L246">
        <f t="shared" si="175"/>
        <v>0.730248075</v>
      </c>
      <c r="M246">
        <f t="shared" si="175"/>
        <v>0</v>
      </c>
      <c r="N246">
        <f t="shared" si="175"/>
        <v>0</v>
      </c>
      <c r="O246">
        <f t="shared" si="175"/>
        <v>0</v>
      </c>
      <c r="P246">
        <f t="shared" si="175"/>
        <v>0.730248075</v>
      </c>
      <c r="Q246">
        <f t="shared" si="175"/>
        <v>0</v>
      </c>
      <c r="R246">
        <f t="shared" si="175"/>
        <v>0</v>
      </c>
      <c r="S246">
        <f t="shared" si="175"/>
        <v>0</v>
      </c>
      <c r="T246">
        <f t="shared" si="175"/>
        <v>0.730248075</v>
      </c>
      <c r="U246">
        <f t="shared" si="175"/>
        <v>0</v>
      </c>
      <c r="V246">
        <f t="shared" si="175"/>
        <v>0</v>
      </c>
      <c r="W246">
        <f t="shared" si="175"/>
        <v>0</v>
      </c>
      <c r="X246">
        <f t="shared" si="175"/>
        <v>0</v>
      </c>
      <c r="Y246">
        <f t="shared" si="175"/>
        <v>0</v>
      </c>
      <c r="Z246">
        <f t="shared" si="175"/>
        <v>0</v>
      </c>
      <c r="AA246">
        <f t="shared" si="175"/>
        <v>0</v>
      </c>
      <c r="AB246">
        <f t="shared" si="175"/>
        <v>0.730248075</v>
      </c>
      <c r="AC246">
        <f t="shared" si="175"/>
        <v>0</v>
      </c>
      <c r="AD246">
        <f t="shared" si="175"/>
        <v>0</v>
      </c>
      <c r="AE246">
        <f t="shared" si="175"/>
        <v>0</v>
      </c>
      <c r="AF246">
        <f t="shared" si="175"/>
        <v>0.730248075</v>
      </c>
      <c r="AG246">
        <f t="shared" si="175"/>
        <v>0</v>
      </c>
      <c r="AH246">
        <f t="shared" si="175"/>
        <v>0</v>
      </c>
      <c r="AI246">
        <f t="shared" si="175"/>
        <v>0</v>
      </c>
      <c r="AJ246">
        <f t="shared" si="175"/>
        <v>0.730248075</v>
      </c>
      <c r="AK246">
        <f t="shared" si="175"/>
        <v>0</v>
      </c>
      <c r="AL246">
        <f t="shared" si="175"/>
        <v>0</v>
      </c>
      <c r="AM246">
        <f t="shared" si="175"/>
        <v>0</v>
      </c>
      <c r="AN246">
        <f t="shared" si="175"/>
        <v>0.730248075</v>
      </c>
      <c r="AO246">
        <f t="shared" si="175"/>
        <v>0</v>
      </c>
      <c r="AP246">
        <f t="shared" si="175"/>
        <v>0</v>
      </c>
      <c r="AQ246">
        <f t="shared" si="175"/>
        <v>0</v>
      </c>
      <c r="AR246">
        <f t="shared" si="175"/>
        <v>0.730248075</v>
      </c>
      <c r="AS246">
        <f t="shared" si="175"/>
        <v>0</v>
      </c>
      <c r="AT246">
        <f t="shared" si="175"/>
        <v>0</v>
      </c>
      <c r="AU246">
        <f t="shared" si="175"/>
        <v>0</v>
      </c>
      <c r="AV246">
        <f t="shared" si="175"/>
        <v>0.730248075</v>
      </c>
      <c r="AW246">
        <f t="shared" si="175"/>
        <v>0</v>
      </c>
      <c r="AX246">
        <f t="shared" si="175"/>
        <v>0.730248075</v>
      </c>
      <c r="AY246">
        <f t="shared" si="175"/>
        <v>0</v>
      </c>
      <c r="AZ246">
        <f t="shared" si="175"/>
        <v>0.730248075</v>
      </c>
      <c r="BA246">
        <f t="shared" si="175"/>
        <v>0</v>
      </c>
      <c r="BB246">
        <f t="shared" si="175"/>
        <v>0</v>
      </c>
    </row>
    <row r="247" spans="4:54" x14ac:dyDescent="0.2">
      <c r="D247" t="s">
        <v>349</v>
      </c>
      <c r="E247" t="s">
        <v>18</v>
      </c>
      <c r="F247">
        <v>8</v>
      </c>
      <c r="G247">
        <f t="shared" ref="G247:BB247" si="176">$B210*G210</f>
        <v>0.28900000000000003</v>
      </c>
      <c r="H247">
        <f t="shared" si="176"/>
        <v>0.27744000000000002</v>
      </c>
      <c r="I247">
        <f t="shared" si="176"/>
        <v>0.30056000000000005</v>
      </c>
      <c r="J247">
        <f t="shared" si="176"/>
        <v>0.20808000000000001</v>
      </c>
      <c r="K247">
        <f t="shared" si="176"/>
        <v>0.19652000000000003</v>
      </c>
      <c r="L247">
        <f t="shared" si="176"/>
        <v>0.28900000000000003</v>
      </c>
      <c r="M247">
        <f t="shared" si="176"/>
        <v>0.28900000000000003</v>
      </c>
      <c r="N247">
        <f t="shared" si="176"/>
        <v>0.28900000000000003</v>
      </c>
      <c r="O247">
        <f t="shared" si="176"/>
        <v>0.28900000000000003</v>
      </c>
      <c r="P247">
        <f t="shared" si="176"/>
        <v>0.26588000000000001</v>
      </c>
      <c r="Q247">
        <f t="shared" si="176"/>
        <v>0.28900000000000003</v>
      </c>
      <c r="R247">
        <f t="shared" si="176"/>
        <v>0.28900000000000003</v>
      </c>
      <c r="S247">
        <f t="shared" si="176"/>
        <v>0.28900000000000003</v>
      </c>
      <c r="T247">
        <f t="shared" si="176"/>
        <v>0.28900000000000003</v>
      </c>
      <c r="U247">
        <f t="shared" si="176"/>
        <v>0.28900000000000003</v>
      </c>
      <c r="V247">
        <f t="shared" si="176"/>
        <v>0.28900000000000003</v>
      </c>
      <c r="W247">
        <f t="shared" si="176"/>
        <v>0.28900000000000003</v>
      </c>
      <c r="X247">
        <f t="shared" si="176"/>
        <v>0.28900000000000003</v>
      </c>
      <c r="Y247">
        <f t="shared" si="176"/>
        <v>0.28900000000000003</v>
      </c>
      <c r="Z247">
        <f t="shared" si="176"/>
        <v>0.28900000000000003</v>
      </c>
      <c r="AA247">
        <f t="shared" si="176"/>
        <v>0.28900000000000003</v>
      </c>
      <c r="AB247">
        <f t="shared" si="176"/>
        <v>0.27744000000000002</v>
      </c>
      <c r="AC247">
        <f t="shared" si="176"/>
        <v>0.28900000000000003</v>
      </c>
      <c r="AD247">
        <f t="shared" si="176"/>
        <v>0.28900000000000003</v>
      </c>
      <c r="AE247">
        <f t="shared" si="176"/>
        <v>0.28900000000000003</v>
      </c>
      <c r="AF247">
        <f t="shared" si="176"/>
        <v>0.27744000000000002</v>
      </c>
      <c r="AG247">
        <f t="shared" si="176"/>
        <v>0.28900000000000003</v>
      </c>
      <c r="AH247">
        <f t="shared" si="176"/>
        <v>0.28900000000000003</v>
      </c>
      <c r="AI247">
        <f t="shared" si="176"/>
        <v>0.28900000000000003</v>
      </c>
      <c r="AJ247">
        <f t="shared" si="176"/>
        <v>0.27744000000000002</v>
      </c>
      <c r="AK247">
        <f t="shared" si="176"/>
        <v>0.28900000000000003</v>
      </c>
      <c r="AL247">
        <f t="shared" si="176"/>
        <v>0.28900000000000003</v>
      </c>
      <c r="AM247">
        <f t="shared" si="176"/>
        <v>0.28900000000000003</v>
      </c>
      <c r="AN247">
        <f t="shared" si="176"/>
        <v>0.27744000000000002</v>
      </c>
      <c r="AO247">
        <f t="shared" si="176"/>
        <v>0.27744000000000002</v>
      </c>
      <c r="AP247">
        <f t="shared" si="176"/>
        <v>0.28900000000000003</v>
      </c>
      <c r="AQ247">
        <f t="shared" si="176"/>
        <v>0.28900000000000003</v>
      </c>
      <c r="AR247">
        <f t="shared" si="176"/>
        <v>0.31212000000000001</v>
      </c>
      <c r="AS247">
        <f t="shared" si="176"/>
        <v>0.28900000000000003</v>
      </c>
      <c r="AT247">
        <f t="shared" si="176"/>
        <v>0.28900000000000003</v>
      </c>
      <c r="AU247">
        <f t="shared" si="176"/>
        <v>0.28900000000000003</v>
      </c>
      <c r="AV247">
        <f t="shared" si="176"/>
        <v>0.28900000000000003</v>
      </c>
      <c r="AW247">
        <f t="shared" si="176"/>
        <v>0.32368000000000002</v>
      </c>
      <c r="AX247">
        <f t="shared" si="176"/>
        <v>0.31212000000000001</v>
      </c>
      <c r="AY247">
        <f t="shared" si="176"/>
        <v>0.30056000000000005</v>
      </c>
      <c r="AZ247">
        <f t="shared" si="176"/>
        <v>0.28900000000000003</v>
      </c>
      <c r="BA247">
        <f t="shared" si="176"/>
        <v>0.28900000000000003</v>
      </c>
      <c r="BB247">
        <f t="shared" si="176"/>
        <v>0.28900000000000003</v>
      </c>
    </row>
    <row r="248" spans="4:54" x14ac:dyDescent="0.2">
      <c r="F248" s="62" t="s">
        <v>240</v>
      </c>
      <c r="G248" s="62">
        <f>SUBTOTAL(109,G215:G247)</f>
        <v>22.019581700000003</v>
      </c>
      <c r="H248" s="62">
        <f t="shared" ref="H248:BB248" si="177">SUBTOTAL(109,H215:H247)</f>
        <v>24.588497275000002</v>
      </c>
      <c r="I248" s="62">
        <f t="shared" si="177"/>
        <v>23.618613425000007</v>
      </c>
      <c r="J248" s="62">
        <f t="shared" si="177"/>
        <v>19.163542500000002</v>
      </c>
      <c r="K248" s="62">
        <f t="shared" si="177"/>
        <v>21.565702275000003</v>
      </c>
      <c r="L248" s="62">
        <f t="shared" si="177"/>
        <v>20.940023200000006</v>
      </c>
      <c r="M248" s="62">
        <f t="shared" si="177"/>
        <v>21.764610125000008</v>
      </c>
      <c r="N248" s="62">
        <f t="shared" si="177"/>
        <v>21.673565000000011</v>
      </c>
      <c r="O248" s="62">
        <f t="shared" si="177"/>
        <v>21.053222500000004</v>
      </c>
      <c r="P248" s="62">
        <f t="shared" si="177"/>
        <v>24.467851275000001</v>
      </c>
      <c r="Q248" s="62">
        <f t="shared" si="177"/>
        <v>21.677522625000009</v>
      </c>
      <c r="R248" s="62">
        <f t="shared" si="177"/>
        <v>19.111357500000004</v>
      </c>
      <c r="S248" s="62">
        <f t="shared" si="177"/>
        <v>21.66491820000001</v>
      </c>
      <c r="T248" s="62">
        <f t="shared" si="177"/>
        <v>22.363721500000004</v>
      </c>
      <c r="U248" s="62">
        <f t="shared" si="177"/>
        <v>18.828372625000004</v>
      </c>
      <c r="V248" s="62">
        <f t="shared" si="177"/>
        <v>15.622637500000002</v>
      </c>
      <c r="W248" s="62">
        <f t="shared" si="177"/>
        <v>23.753354200000011</v>
      </c>
      <c r="X248" s="62">
        <f t="shared" si="177"/>
        <v>19.849858625000003</v>
      </c>
      <c r="Y248" s="62">
        <f t="shared" si="177"/>
        <v>24.279947625000009</v>
      </c>
      <c r="Z248" s="62">
        <f t="shared" si="177"/>
        <v>19.435236500000002</v>
      </c>
      <c r="AA248" s="62">
        <f t="shared" si="177"/>
        <v>23.296317075000005</v>
      </c>
      <c r="AB248" s="62">
        <f t="shared" si="177"/>
        <v>24.842873775000001</v>
      </c>
      <c r="AC248" s="62">
        <f t="shared" si="177"/>
        <v>23.427510125000005</v>
      </c>
      <c r="AD248" s="62">
        <f t="shared" si="177"/>
        <v>21.666001500000007</v>
      </c>
      <c r="AE248" s="62">
        <f>SUBTOTAL(109,AE215:AE247)</f>
        <v>15.308348200000005</v>
      </c>
      <c r="AF248" s="62">
        <f t="shared" si="177"/>
        <v>21.773100250000002</v>
      </c>
      <c r="AG248" s="62">
        <f t="shared" si="177"/>
        <v>22.734665125000006</v>
      </c>
      <c r="AH248" s="62">
        <f t="shared" si="177"/>
        <v>20.671297500000009</v>
      </c>
      <c r="AI248" s="62">
        <f t="shared" si="177"/>
        <v>20.734154200000003</v>
      </c>
      <c r="AJ248" s="62">
        <f t="shared" si="177"/>
        <v>19.235906274999998</v>
      </c>
      <c r="AK248" s="62">
        <f t="shared" si="177"/>
        <v>21.788526125000004</v>
      </c>
      <c r="AL248" s="62">
        <f t="shared" si="177"/>
        <v>20.050880000000006</v>
      </c>
      <c r="AM248" s="62">
        <f t="shared" si="177"/>
        <v>23.599556000000007</v>
      </c>
      <c r="AN248" s="62">
        <f t="shared" si="177"/>
        <v>23.334611774999999</v>
      </c>
      <c r="AO248" s="62">
        <f t="shared" si="177"/>
        <v>22.169366125000007</v>
      </c>
      <c r="AP248" s="62">
        <f t="shared" si="177"/>
        <v>20.141237500000006</v>
      </c>
      <c r="AQ248" s="62">
        <f t="shared" si="177"/>
        <v>24.008984000000005</v>
      </c>
      <c r="AR248" s="62">
        <f t="shared" si="177"/>
        <v>19.693846274999999</v>
      </c>
      <c r="AS248" s="62">
        <f t="shared" si="177"/>
        <v>21.580108425000006</v>
      </c>
      <c r="AT248" s="62">
        <f t="shared" si="177"/>
        <v>20.252624000000004</v>
      </c>
      <c r="AU248" s="62">
        <f t="shared" si="177"/>
        <v>23.740548775000008</v>
      </c>
      <c r="AV248" s="62">
        <f t="shared" si="177"/>
        <v>24.166583774999999</v>
      </c>
      <c r="AW248" s="62">
        <f t="shared" si="177"/>
        <v>21.086935700000002</v>
      </c>
      <c r="AX248" s="62">
        <f t="shared" si="177"/>
        <v>23.285511700000008</v>
      </c>
      <c r="AY248" s="62">
        <f t="shared" si="177"/>
        <v>20.765922475000004</v>
      </c>
      <c r="AZ248" s="62">
        <f t="shared" si="177"/>
        <v>21.676477175000006</v>
      </c>
      <c r="BA248" s="62">
        <f t="shared" si="177"/>
        <v>25.9782157</v>
      </c>
      <c r="BB248" s="62">
        <f t="shared" si="177"/>
        <v>23.150623625000009</v>
      </c>
    </row>
  </sheetData>
  <autoFilter ref="A96:BR131" xr:uid="{C27F5909-16D4-4EF4-819A-A06D46994BDE}"/>
  <phoneticPr fontId="6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D8757-6197-4D30-8733-8F26DE6DCEF2}">
  <sheetPr>
    <tabColor theme="0" tint="-0.499984740745262"/>
  </sheetPr>
  <dimension ref="A1"/>
  <sheetViews>
    <sheetView workbookViewId="0">
      <selection activeCell="T653" sqref="T653"/>
    </sheetView>
  </sheetViews>
  <sheetFormatPr defaultColWidth="9" defaultRowHeight="13" x14ac:dyDescent="0.2"/>
  <cols>
    <col min="1" max="16384" width="9" style="43"/>
  </cols>
  <sheetData/>
  <phoneticPr fontId="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D0594-0DA8-4EA6-A553-1BAC3C2AF82F}">
  <sheetPr filterMode="1"/>
  <dimension ref="A1:AX251"/>
  <sheetViews>
    <sheetView view="pageBreakPreview" zoomScale="85" zoomScaleNormal="85" zoomScaleSheetLayoutView="85" workbookViewId="0">
      <pane xSplit="3" ySplit="4" topLeftCell="AI7" activePane="bottomRight" state="frozen"/>
      <selection activeCell="T653" sqref="T653"/>
      <selection pane="topRight" activeCell="T653" sqref="T653"/>
      <selection pane="bottomLeft" activeCell="T653" sqref="T653"/>
      <selection pane="bottomRight" activeCell="AZ25" sqref="AZ25"/>
    </sheetView>
  </sheetViews>
  <sheetFormatPr defaultColWidth="9" defaultRowHeight="17.5" x14ac:dyDescent="0.2"/>
  <cols>
    <col min="1" max="1" width="8.453125" style="10" customWidth="1"/>
    <col min="2" max="2" width="8.08984375" style="10" customWidth="1"/>
    <col min="3" max="3" width="18.36328125" style="10" customWidth="1"/>
    <col min="4" max="4" width="18.36328125" style="10" hidden="1" customWidth="1"/>
    <col min="5" max="5" width="40.453125" style="10" hidden="1" customWidth="1"/>
    <col min="6" max="6" width="2.90625" style="10" hidden="1" customWidth="1"/>
    <col min="7" max="9" width="9" style="10" hidden="1" customWidth="1"/>
    <col min="10" max="10" width="20.36328125" style="10" hidden="1" customWidth="1"/>
    <col min="11" max="11" width="23.453125" style="10" hidden="1" customWidth="1"/>
    <col min="12" max="13" width="9" style="10" hidden="1" customWidth="1"/>
    <col min="14" max="14" width="16.7265625" style="10" hidden="1" customWidth="1"/>
    <col min="15" max="15" width="31.6328125" style="10" hidden="1" customWidth="1"/>
    <col min="16" max="16" width="9" style="10" customWidth="1"/>
    <col min="17" max="17" width="9" style="10" hidden="1" customWidth="1"/>
    <col min="18" max="18" width="13.08984375" style="10" customWidth="1"/>
    <col min="19" max="19" width="19.7265625" style="10" customWidth="1"/>
    <col min="20" max="22" width="9" style="10" customWidth="1"/>
    <col min="23" max="23" width="20.08984375" style="10" bestFit="1" customWidth="1"/>
    <col min="24" max="24" width="20.08984375" style="10" customWidth="1"/>
    <col min="25" max="26" width="9" style="10" customWidth="1"/>
    <col min="27" max="27" width="13.08984375" style="10" customWidth="1"/>
    <col min="28" max="30" width="9" style="10" customWidth="1"/>
    <col min="31" max="31" width="13.26953125" style="10" customWidth="1"/>
    <col min="32" max="32" width="13.08984375" style="10" customWidth="1"/>
    <col min="33" max="33" width="7.6328125" style="10" customWidth="1"/>
    <col min="34" max="34" width="8.08984375" style="10" customWidth="1"/>
    <col min="35" max="35" width="13.90625" style="10" customWidth="1"/>
    <col min="36" max="38" width="9" style="10" customWidth="1"/>
    <col min="39" max="39" width="15.36328125" style="10" customWidth="1"/>
    <col min="40" max="40" width="37.6328125" style="10" customWidth="1"/>
    <col min="41" max="41" width="30" style="10" customWidth="1"/>
    <col min="42" max="42" width="40.26953125" style="10" customWidth="1"/>
    <col min="43" max="43" width="10.7265625" style="10" hidden="1" customWidth="1"/>
    <col min="44" max="45" width="10.453125" style="10" hidden="1" customWidth="1"/>
    <col min="46" max="46" width="11.36328125" style="10" customWidth="1"/>
    <col min="47" max="48" width="19.6328125" style="10" customWidth="1"/>
    <col min="49" max="49" width="24.26953125" style="10" customWidth="1"/>
    <col min="50" max="16384" width="9" style="10"/>
  </cols>
  <sheetData>
    <row r="1" spans="1:50" ht="24.5" x14ac:dyDescent="0.2">
      <c r="A1" s="5" t="s">
        <v>90</v>
      </c>
      <c r="B1" s="6"/>
      <c r="C1" s="7"/>
      <c r="D1" s="7"/>
      <c r="E1" s="8"/>
      <c r="F1" s="9"/>
      <c r="I1" s="7"/>
      <c r="J1" s="9"/>
      <c r="K1" s="7"/>
      <c r="L1" s="7"/>
      <c r="M1" s="7"/>
      <c r="N1" s="7"/>
      <c r="O1" s="7"/>
      <c r="P1" s="11"/>
      <c r="Q1" s="11"/>
      <c r="R1" s="6"/>
      <c r="S1" s="11"/>
      <c r="T1" s="12"/>
      <c r="U1" s="12"/>
      <c r="V1" s="12"/>
      <c r="W1" s="6"/>
      <c r="X1" s="6"/>
      <c r="Y1" s="12" t="s">
        <v>91</v>
      </c>
      <c r="Z1" s="12" t="s">
        <v>91</v>
      </c>
      <c r="AB1" s="12"/>
      <c r="AC1" s="12"/>
      <c r="AD1" s="12"/>
      <c r="AE1" s="6"/>
      <c r="AJ1" s="12"/>
      <c r="AK1" s="12"/>
      <c r="AL1" s="12"/>
      <c r="AM1" s="6"/>
    </row>
    <row r="2" spans="1:50" ht="18" thickBot="1" x14ac:dyDescent="0.25">
      <c r="A2" s="6"/>
      <c r="B2" s="6"/>
      <c r="C2" s="7"/>
      <c r="D2" s="7"/>
      <c r="E2" s="13"/>
      <c r="F2" s="7"/>
      <c r="G2" s="7"/>
      <c r="H2" s="7"/>
      <c r="I2" s="7"/>
      <c r="J2" s="7"/>
      <c r="K2" s="7"/>
      <c r="L2" s="7"/>
      <c r="M2" s="7"/>
      <c r="N2" s="7"/>
      <c r="O2" s="7"/>
      <c r="P2" s="11"/>
      <c r="Q2" s="11"/>
      <c r="R2" s="6"/>
      <c r="S2" s="46"/>
      <c r="T2" s="44"/>
      <c r="U2" s="44"/>
      <c r="V2" s="44"/>
      <c r="W2" s="45"/>
      <c r="X2" s="45"/>
      <c r="Y2" s="45"/>
      <c r="Z2" s="45"/>
      <c r="AB2" s="12"/>
      <c r="AC2" s="12"/>
      <c r="AD2" s="12"/>
      <c r="AE2" s="6"/>
      <c r="AJ2" s="12"/>
      <c r="AK2" s="12"/>
      <c r="AL2" s="12"/>
      <c r="AM2" s="6"/>
      <c r="AX2" s="10" t="s">
        <v>92</v>
      </c>
    </row>
    <row r="3" spans="1:50" ht="18.75" customHeight="1" thickBot="1" x14ac:dyDescent="0.25">
      <c r="A3" s="14"/>
      <c r="B3" s="15" t="s">
        <v>93</v>
      </c>
      <c r="C3" s="16"/>
      <c r="D3" s="16"/>
      <c r="E3" s="17"/>
      <c r="F3" s="16"/>
      <c r="G3" s="71" t="s">
        <v>94</v>
      </c>
      <c r="H3" s="72"/>
      <c r="I3" s="73"/>
      <c r="J3" s="74" t="s">
        <v>95</v>
      </c>
      <c r="K3" s="73"/>
      <c r="L3" s="71" t="s">
        <v>96</v>
      </c>
      <c r="M3" s="73"/>
      <c r="N3" s="74" t="s">
        <v>97</v>
      </c>
      <c r="O3" s="72"/>
      <c r="P3" s="18"/>
      <c r="Q3" s="11"/>
      <c r="R3" s="6"/>
      <c r="S3" s="11"/>
      <c r="T3" s="68" t="s">
        <v>98</v>
      </c>
      <c r="U3" s="69"/>
      <c r="V3" s="69"/>
      <c r="W3" s="70"/>
      <c r="X3" s="51"/>
      <c r="Y3" s="11"/>
      <c r="Z3" s="11"/>
      <c r="AA3" s="19"/>
      <c r="AB3" s="68" t="s">
        <v>99</v>
      </c>
      <c r="AC3" s="69"/>
      <c r="AD3" s="69"/>
      <c r="AE3" s="70"/>
      <c r="AF3" s="19"/>
      <c r="AG3" s="19"/>
      <c r="AH3" s="19"/>
      <c r="AI3" s="19"/>
      <c r="AJ3" s="68" t="s">
        <v>100</v>
      </c>
      <c r="AK3" s="69"/>
      <c r="AL3" s="69"/>
      <c r="AM3" s="70"/>
      <c r="AN3" s="19"/>
      <c r="AO3" s="19"/>
    </row>
    <row r="4" spans="1:50" ht="122.5" x14ac:dyDescent="0.2">
      <c r="A4" s="20" t="s">
        <v>101</v>
      </c>
      <c r="B4" s="21" t="s">
        <v>102</v>
      </c>
      <c r="C4" s="22" t="s">
        <v>103</v>
      </c>
      <c r="D4" s="23" t="s">
        <v>104</v>
      </c>
      <c r="E4" s="24" t="s">
        <v>105</v>
      </c>
      <c r="F4" s="22" t="s">
        <v>106</v>
      </c>
      <c r="G4" s="25" t="s">
        <v>107</v>
      </c>
      <c r="H4" s="25" t="s">
        <v>108</v>
      </c>
      <c r="I4" s="25" t="s">
        <v>109</v>
      </c>
      <c r="J4" s="25" t="s">
        <v>110</v>
      </c>
      <c r="K4" s="25" t="s">
        <v>111</v>
      </c>
      <c r="L4" s="25" t="s">
        <v>112</v>
      </c>
      <c r="M4" s="25" t="s">
        <v>0</v>
      </c>
      <c r="N4" s="25" t="s">
        <v>113</v>
      </c>
      <c r="O4" s="25" t="s">
        <v>114</v>
      </c>
      <c r="P4" s="20" t="s">
        <v>115</v>
      </c>
      <c r="Q4" s="26" t="s">
        <v>116</v>
      </c>
      <c r="R4" s="20" t="s">
        <v>117</v>
      </c>
      <c r="S4" s="20" t="s">
        <v>118</v>
      </c>
      <c r="T4" s="27" t="s">
        <v>119</v>
      </c>
      <c r="U4" s="27" t="s">
        <v>120</v>
      </c>
      <c r="V4" s="27" t="s">
        <v>55</v>
      </c>
      <c r="W4" s="28" t="s">
        <v>227</v>
      </c>
      <c r="X4" s="31"/>
      <c r="Y4" s="29" t="s">
        <v>121</v>
      </c>
      <c r="Z4" s="29" t="s">
        <v>122</v>
      </c>
      <c r="AA4" s="29" t="s">
        <v>123</v>
      </c>
      <c r="AB4" s="30" t="s">
        <v>119</v>
      </c>
      <c r="AC4" s="30" t="s">
        <v>120</v>
      </c>
      <c r="AD4" s="30" t="s">
        <v>55</v>
      </c>
      <c r="AE4" s="31" t="s">
        <v>124</v>
      </c>
      <c r="AF4" s="32" t="s">
        <v>125</v>
      </c>
      <c r="AG4" s="33" t="s">
        <v>126</v>
      </c>
      <c r="AH4" s="34" t="s">
        <v>127</v>
      </c>
      <c r="AI4" s="34" t="s">
        <v>128</v>
      </c>
      <c r="AJ4" s="30" t="s">
        <v>119</v>
      </c>
      <c r="AK4" s="30" t="s">
        <v>120</v>
      </c>
      <c r="AL4" s="30" t="s">
        <v>55</v>
      </c>
      <c r="AM4" s="31" t="s">
        <v>129</v>
      </c>
      <c r="AN4" s="34" t="s">
        <v>130</v>
      </c>
      <c r="AO4" s="34" t="s">
        <v>131</v>
      </c>
      <c r="AP4" s="21" t="s">
        <v>132</v>
      </c>
      <c r="AQ4" s="21" t="s">
        <v>133</v>
      </c>
      <c r="AR4" s="21" t="s">
        <v>134</v>
      </c>
      <c r="AS4" s="21" t="s">
        <v>135</v>
      </c>
      <c r="AT4" s="35" t="s">
        <v>136</v>
      </c>
      <c r="AU4" s="35" t="s">
        <v>137</v>
      </c>
      <c r="AV4" s="35" t="s">
        <v>138</v>
      </c>
      <c r="AW4" s="36" t="s">
        <v>139</v>
      </c>
    </row>
    <row r="5" spans="1:50" hidden="1" x14ac:dyDescent="0.2">
      <c r="A5" s="35" t="s">
        <v>140</v>
      </c>
      <c r="B5" s="35" t="s">
        <v>141</v>
      </c>
      <c r="C5" s="37" t="s">
        <v>319</v>
      </c>
      <c r="D5" s="37"/>
      <c r="E5" s="35"/>
      <c r="F5" s="37"/>
      <c r="G5" s="35" t="s">
        <v>142</v>
      </c>
      <c r="H5" s="37" t="s">
        <v>143</v>
      </c>
      <c r="I5" s="35"/>
      <c r="J5" s="37" t="s">
        <v>54</v>
      </c>
      <c r="K5" s="35" t="s">
        <v>144</v>
      </c>
      <c r="L5" s="37" t="s">
        <v>145</v>
      </c>
      <c r="M5" s="37" t="s">
        <v>146</v>
      </c>
      <c r="N5" s="35" t="s">
        <v>147</v>
      </c>
      <c r="O5" s="35" t="s">
        <v>148</v>
      </c>
      <c r="P5" s="37">
        <v>150</v>
      </c>
      <c r="Q5" s="37" t="e">
        <f>VLOOKUP(D5,#REF!,9,FALSE)</f>
        <v>#REF!</v>
      </c>
      <c r="R5" s="37" t="s">
        <v>149</v>
      </c>
      <c r="S5" s="35" t="s">
        <v>150</v>
      </c>
      <c r="T5" s="37">
        <v>340</v>
      </c>
      <c r="U5" s="37">
        <v>167</v>
      </c>
      <c r="V5" s="37">
        <v>110</v>
      </c>
      <c r="W5" s="38">
        <f>T5*U5*V5</f>
        <v>6245800</v>
      </c>
      <c r="X5" s="38"/>
      <c r="Y5" s="36">
        <v>7.7000000000000002E-3</v>
      </c>
      <c r="Z5" s="36">
        <v>0.98</v>
      </c>
      <c r="AA5" s="39">
        <v>2.1349999999999998</v>
      </c>
      <c r="AB5" s="37">
        <v>1000</v>
      </c>
      <c r="AC5" s="35">
        <v>1000</v>
      </c>
      <c r="AD5" s="37">
        <v>130</v>
      </c>
      <c r="AE5" s="35">
        <f>AB5*AC5*AD5</f>
        <v>130000000</v>
      </c>
      <c r="AF5" s="37">
        <v>13</v>
      </c>
      <c r="AG5" s="37">
        <v>18</v>
      </c>
      <c r="AH5" s="37">
        <v>6</v>
      </c>
      <c r="AI5" s="37" t="s">
        <v>151</v>
      </c>
      <c r="AJ5" s="40">
        <f>AB5</f>
        <v>1000</v>
      </c>
      <c r="AK5" s="40">
        <f>AC5</f>
        <v>1000</v>
      </c>
      <c r="AL5" s="40">
        <f>(V5*AH5)+AD5</f>
        <v>790</v>
      </c>
      <c r="AM5" s="26">
        <f>AJ5*AK5*AL5</f>
        <v>790000000</v>
      </c>
      <c r="AN5" s="37" t="s">
        <v>152</v>
      </c>
      <c r="AO5" s="37" t="s">
        <v>153</v>
      </c>
      <c r="AP5" s="35"/>
      <c r="AQ5" s="35"/>
      <c r="AR5" s="37"/>
      <c r="AS5" s="35"/>
      <c r="AT5" s="37">
        <v>4</v>
      </c>
      <c r="AU5" s="41">
        <f t="shared" ref="AU5:AU68" si="0">W5*AT5</f>
        <v>24983200</v>
      </c>
      <c r="AV5" s="42">
        <f t="shared" ref="AV5:AV68" si="1">AA5*AT5</f>
        <v>8.5399999999999991</v>
      </c>
      <c r="AW5" s="36" t="s">
        <v>154</v>
      </c>
    </row>
    <row r="6" spans="1:50" hidden="1" x14ac:dyDescent="0.2">
      <c r="A6" s="35" t="s">
        <v>140</v>
      </c>
      <c r="B6" s="35" t="s">
        <v>141</v>
      </c>
      <c r="C6" s="37" t="s">
        <v>319</v>
      </c>
      <c r="D6" s="37"/>
      <c r="E6" s="35"/>
      <c r="F6" s="37"/>
      <c r="G6" s="35" t="s">
        <v>142</v>
      </c>
      <c r="H6" s="37" t="s">
        <v>143</v>
      </c>
      <c r="I6" s="35"/>
      <c r="J6" s="37" t="s">
        <v>54</v>
      </c>
      <c r="K6" s="35" t="s">
        <v>144</v>
      </c>
      <c r="L6" s="37" t="s">
        <v>145</v>
      </c>
      <c r="M6" s="37" t="s">
        <v>72</v>
      </c>
      <c r="N6" s="35" t="s">
        <v>147</v>
      </c>
      <c r="O6" s="35" t="s">
        <v>148</v>
      </c>
      <c r="P6" s="37">
        <v>150</v>
      </c>
      <c r="Q6" s="37" t="e">
        <f>VLOOKUP(D6,#REF!,9,FALSE)</f>
        <v>#REF!</v>
      </c>
      <c r="R6" s="37" t="s">
        <v>149</v>
      </c>
      <c r="S6" s="35" t="s">
        <v>155</v>
      </c>
      <c r="T6" s="37">
        <v>340</v>
      </c>
      <c r="U6" s="37">
        <v>167</v>
      </c>
      <c r="V6" s="37">
        <v>110</v>
      </c>
      <c r="W6" s="38">
        <f>T6*U6*V6</f>
        <v>6245800</v>
      </c>
      <c r="X6" s="38"/>
      <c r="Y6" s="36">
        <v>7.7000000000000002E-3</v>
      </c>
      <c r="Z6" s="36">
        <v>0.98</v>
      </c>
      <c r="AA6" s="39">
        <v>2.1349999999999998</v>
      </c>
      <c r="AB6" s="37">
        <v>1000</v>
      </c>
      <c r="AC6" s="35">
        <v>1000</v>
      </c>
      <c r="AD6" s="37">
        <v>130</v>
      </c>
      <c r="AE6" s="35">
        <f t="shared" ref="AE6:AE26" si="2">AB6*AC6*AD6</f>
        <v>130000000</v>
      </c>
      <c r="AF6" s="37">
        <v>13</v>
      </c>
      <c r="AG6" s="37">
        <v>18</v>
      </c>
      <c r="AH6" s="37">
        <v>6</v>
      </c>
      <c r="AI6" s="37" t="s">
        <v>151</v>
      </c>
      <c r="AJ6" s="40">
        <f t="shared" ref="AJ6:AK69" si="3">AB6</f>
        <v>1000</v>
      </c>
      <c r="AK6" s="40">
        <f t="shared" si="3"/>
        <v>1000</v>
      </c>
      <c r="AL6" s="40">
        <f t="shared" ref="AL6:AL69" si="4">(V6*AH6)+AD6</f>
        <v>790</v>
      </c>
      <c r="AM6" s="26">
        <f t="shared" ref="AM6:AM69" si="5">AJ6*AK6*AL6</f>
        <v>790000000</v>
      </c>
      <c r="AN6" s="37" t="s">
        <v>152</v>
      </c>
      <c r="AO6" s="37" t="s">
        <v>153</v>
      </c>
      <c r="AP6" s="35"/>
      <c r="AQ6" s="35"/>
      <c r="AR6" s="37"/>
      <c r="AS6" s="35"/>
      <c r="AT6" s="37">
        <v>9</v>
      </c>
      <c r="AU6" s="41">
        <f t="shared" si="0"/>
        <v>56212200</v>
      </c>
      <c r="AV6" s="42">
        <f t="shared" si="1"/>
        <v>19.214999999999996</v>
      </c>
      <c r="AW6" s="36" t="s">
        <v>154</v>
      </c>
    </row>
    <row r="7" spans="1:50" x14ac:dyDescent="0.2">
      <c r="A7" s="35" t="s">
        <v>140</v>
      </c>
      <c r="B7" s="35" t="s">
        <v>141</v>
      </c>
      <c r="C7" s="37" t="s">
        <v>319</v>
      </c>
      <c r="D7" s="37"/>
      <c r="E7" s="35"/>
      <c r="F7" s="37"/>
      <c r="G7" s="35" t="s">
        <v>142</v>
      </c>
      <c r="H7" s="37" t="s">
        <v>143</v>
      </c>
      <c r="I7" s="35"/>
      <c r="J7" s="37" t="s">
        <v>54</v>
      </c>
      <c r="K7" s="35" t="s">
        <v>144</v>
      </c>
      <c r="L7" s="37" t="s">
        <v>145</v>
      </c>
      <c r="M7" s="37" t="s">
        <v>67</v>
      </c>
      <c r="N7" s="35" t="s">
        <v>156</v>
      </c>
      <c r="O7" s="35" t="s">
        <v>157</v>
      </c>
      <c r="P7" s="37">
        <v>150</v>
      </c>
      <c r="Q7" s="37" t="e">
        <f>VLOOKUP(D7,#REF!,9,FALSE)</f>
        <v>#REF!</v>
      </c>
      <c r="R7" s="37" t="s">
        <v>149</v>
      </c>
      <c r="S7" s="35" t="s">
        <v>155</v>
      </c>
      <c r="T7" s="37">
        <v>340</v>
      </c>
      <c r="U7" s="37">
        <v>167</v>
      </c>
      <c r="V7" s="37">
        <v>110</v>
      </c>
      <c r="W7" s="38">
        <f>T7/1000*U7/1000*V7/1000</f>
        <v>6.2458000000000001E-3</v>
      </c>
      <c r="X7" s="38"/>
      <c r="Y7" s="36">
        <v>7.7000000000000002E-3</v>
      </c>
      <c r="Z7" s="36">
        <v>0.98</v>
      </c>
      <c r="AA7" s="39">
        <v>2.1349999999999998</v>
      </c>
      <c r="AB7" s="37">
        <v>1000</v>
      </c>
      <c r="AC7" s="35">
        <v>1000</v>
      </c>
      <c r="AD7" s="37">
        <v>130</v>
      </c>
      <c r="AE7" s="35">
        <f t="shared" si="2"/>
        <v>130000000</v>
      </c>
      <c r="AF7" s="37">
        <v>13</v>
      </c>
      <c r="AG7" s="37">
        <v>18</v>
      </c>
      <c r="AH7" s="37">
        <v>6</v>
      </c>
      <c r="AI7" s="37" t="s">
        <v>151</v>
      </c>
      <c r="AJ7" s="40">
        <f t="shared" si="3"/>
        <v>1000</v>
      </c>
      <c r="AK7" s="40">
        <f t="shared" si="3"/>
        <v>1000</v>
      </c>
      <c r="AL7" s="40">
        <f t="shared" si="4"/>
        <v>790</v>
      </c>
      <c r="AM7" s="26">
        <f t="shared" si="5"/>
        <v>790000000</v>
      </c>
      <c r="AN7" s="37" t="s">
        <v>152</v>
      </c>
      <c r="AO7" s="37" t="s">
        <v>153</v>
      </c>
      <c r="AP7" s="35"/>
      <c r="AQ7" s="35"/>
      <c r="AR7" s="37"/>
      <c r="AS7" s="35"/>
      <c r="AT7" s="37">
        <v>28</v>
      </c>
      <c r="AU7" s="41">
        <f t="shared" si="0"/>
        <v>0.17488239999999999</v>
      </c>
      <c r="AV7" s="42">
        <f t="shared" si="1"/>
        <v>59.779999999999994</v>
      </c>
      <c r="AW7" s="36" t="s">
        <v>158</v>
      </c>
    </row>
    <row r="8" spans="1:50" x14ac:dyDescent="0.2">
      <c r="A8" s="35" t="s">
        <v>140</v>
      </c>
      <c r="B8" s="35" t="s">
        <v>141</v>
      </c>
      <c r="C8" s="37" t="s">
        <v>319</v>
      </c>
      <c r="D8" s="37"/>
      <c r="E8" s="35"/>
      <c r="F8" s="37"/>
      <c r="G8" s="35" t="s">
        <v>142</v>
      </c>
      <c r="H8" s="37" t="s">
        <v>143</v>
      </c>
      <c r="I8" s="35"/>
      <c r="J8" s="37" t="s">
        <v>54</v>
      </c>
      <c r="K8" s="35" t="s">
        <v>144</v>
      </c>
      <c r="L8" s="37" t="s">
        <v>145</v>
      </c>
      <c r="M8" s="37" t="s">
        <v>13</v>
      </c>
      <c r="N8" s="35" t="s">
        <v>156</v>
      </c>
      <c r="O8" s="35" t="s">
        <v>156</v>
      </c>
      <c r="P8" s="37">
        <v>150</v>
      </c>
      <c r="Q8" s="37" t="e">
        <f>VLOOKUP(D8,#REF!,9,FALSE)</f>
        <v>#REF!</v>
      </c>
      <c r="R8" s="37" t="s">
        <v>149</v>
      </c>
      <c r="S8" s="35" t="s">
        <v>155</v>
      </c>
      <c r="T8" s="37">
        <v>340</v>
      </c>
      <c r="U8" s="37">
        <v>167</v>
      </c>
      <c r="V8" s="37">
        <v>110</v>
      </c>
      <c r="W8" s="38">
        <f t="shared" ref="W8:W11" si="6">T8/1000*U8/1000*V8/1000</f>
        <v>6.2458000000000001E-3</v>
      </c>
      <c r="X8" s="38"/>
      <c r="Y8" s="36">
        <v>7.7000000000000002E-3</v>
      </c>
      <c r="Z8" s="36">
        <v>0.98</v>
      </c>
      <c r="AA8" s="39">
        <v>2.1349999999999998</v>
      </c>
      <c r="AB8" s="37">
        <v>1000</v>
      </c>
      <c r="AC8" s="35">
        <v>1000</v>
      </c>
      <c r="AD8" s="37">
        <v>130</v>
      </c>
      <c r="AE8" s="35">
        <f t="shared" si="2"/>
        <v>130000000</v>
      </c>
      <c r="AF8" s="37">
        <v>13</v>
      </c>
      <c r="AG8" s="37">
        <v>18</v>
      </c>
      <c r="AH8" s="37">
        <v>6</v>
      </c>
      <c r="AI8" s="37" t="s">
        <v>151</v>
      </c>
      <c r="AJ8" s="40">
        <f t="shared" si="3"/>
        <v>1000</v>
      </c>
      <c r="AK8" s="40">
        <f t="shared" si="3"/>
        <v>1000</v>
      </c>
      <c r="AL8" s="40">
        <f t="shared" si="4"/>
        <v>790</v>
      </c>
      <c r="AM8" s="26">
        <f t="shared" si="5"/>
        <v>790000000</v>
      </c>
      <c r="AN8" s="37" t="s">
        <v>152</v>
      </c>
      <c r="AO8" s="37" t="s">
        <v>153</v>
      </c>
      <c r="AP8" s="35"/>
      <c r="AQ8" s="35"/>
      <c r="AR8" s="37"/>
      <c r="AS8" s="35"/>
      <c r="AT8" s="37">
        <v>3</v>
      </c>
      <c r="AU8" s="41">
        <f t="shared" si="0"/>
        <v>1.8737400000000001E-2</v>
      </c>
      <c r="AV8" s="42">
        <f t="shared" si="1"/>
        <v>6.4049999999999994</v>
      </c>
      <c r="AW8" s="36" t="s">
        <v>158</v>
      </c>
    </row>
    <row r="9" spans="1:50" x14ac:dyDescent="0.2">
      <c r="A9" s="35" t="s">
        <v>140</v>
      </c>
      <c r="B9" s="35" t="s">
        <v>141</v>
      </c>
      <c r="C9" s="37" t="s">
        <v>319</v>
      </c>
      <c r="D9" s="37"/>
      <c r="E9" s="35"/>
      <c r="F9" s="37"/>
      <c r="G9" s="35" t="s">
        <v>142</v>
      </c>
      <c r="H9" s="37" t="s">
        <v>143</v>
      </c>
      <c r="I9" s="35"/>
      <c r="J9" s="37" t="s">
        <v>54</v>
      </c>
      <c r="K9" s="35" t="s">
        <v>144</v>
      </c>
      <c r="L9" s="37" t="s">
        <v>145</v>
      </c>
      <c r="M9" s="37" t="s">
        <v>57</v>
      </c>
      <c r="N9" s="35" t="s">
        <v>156</v>
      </c>
      <c r="O9" s="35" t="s">
        <v>157</v>
      </c>
      <c r="P9" s="37">
        <v>150</v>
      </c>
      <c r="Q9" s="37" t="e">
        <f>VLOOKUP(D9,#REF!,9,FALSE)</f>
        <v>#REF!</v>
      </c>
      <c r="R9" s="37" t="s">
        <v>149</v>
      </c>
      <c r="S9" s="35" t="s">
        <v>155</v>
      </c>
      <c r="T9" s="37">
        <v>340</v>
      </c>
      <c r="U9" s="37">
        <v>167</v>
      </c>
      <c r="V9" s="37">
        <v>110</v>
      </c>
      <c r="W9" s="38">
        <f t="shared" si="6"/>
        <v>6.2458000000000001E-3</v>
      </c>
      <c r="X9" s="38"/>
      <c r="Y9" s="36">
        <v>7.7000000000000002E-3</v>
      </c>
      <c r="Z9" s="36">
        <v>0.98</v>
      </c>
      <c r="AA9" s="39">
        <v>2.1349999999999998</v>
      </c>
      <c r="AB9" s="37">
        <v>1000</v>
      </c>
      <c r="AC9" s="35">
        <v>1000</v>
      </c>
      <c r="AD9" s="37">
        <v>130</v>
      </c>
      <c r="AE9" s="35">
        <f t="shared" si="2"/>
        <v>130000000</v>
      </c>
      <c r="AF9" s="37">
        <v>13</v>
      </c>
      <c r="AG9" s="37">
        <v>18</v>
      </c>
      <c r="AH9" s="37">
        <v>6</v>
      </c>
      <c r="AI9" s="37" t="s">
        <v>151</v>
      </c>
      <c r="AJ9" s="40">
        <f t="shared" si="3"/>
        <v>1000</v>
      </c>
      <c r="AK9" s="40">
        <f t="shared" si="3"/>
        <v>1000</v>
      </c>
      <c r="AL9" s="40">
        <f t="shared" si="4"/>
        <v>790</v>
      </c>
      <c r="AM9" s="26">
        <f t="shared" si="5"/>
        <v>790000000</v>
      </c>
      <c r="AN9" s="37" t="s">
        <v>152</v>
      </c>
      <c r="AO9" s="37" t="s">
        <v>153</v>
      </c>
      <c r="AP9" s="35"/>
      <c r="AQ9" s="35"/>
      <c r="AR9" s="37"/>
      <c r="AS9" s="35"/>
      <c r="AT9" s="37">
        <v>25</v>
      </c>
      <c r="AU9" s="41">
        <f t="shared" si="0"/>
        <v>0.15614500000000001</v>
      </c>
      <c r="AV9" s="42">
        <f t="shared" si="1"/>
        <v>53.374999999999993</v>
      </c>
      <c r="AW9" s="36" t="s">
        <v>158</v>
      </c>
    </row>
    <row r="10" spans="1:50" x14ac:dyDescent="0.2">
      <c r="A10" s="35" t="s">
        <v>140</v>
      </c>
      <c r="B10" s="35" t="s">
        <v>141</v>
      </c>
      <c r="C10" s="37" t="s">
        <v>319</v>
      </c>
      <c r="D10" s="37"/>
      <c r="E10" s="35"/>
      <c r="F10" s="37"/>
      <c r="G10" s="35" t="s">
        <v>142</v>
      </c>
      <c r="H10" s="37" t="s">
        <v>143</v>
      </c>
      <c r="I10" s="35"/>
      <c r="J10" s="37" t="s">
        <v>54</v>
      </c>
      <c r="K10" s="35" t="s">
        <v>144</v>
      </c>
      <c r="L10" s="37" t="s">
        <v>145</v>
      </c>
      <c r="M10" s="37" t="s">
        <v>60</v>
      </c>
      <c r="N10" s="35" t="s">
        <v>156</v>
      </c>
      <c r="O10" s="35" t="s">
        <v>157</v>
      </c>
      <c r="P10" s="37">
        <v>150</v>
      </c>
      <c r="Q10" s="37" t="e">
        <f>VLOOKUP(D10,#REF!,9,FALSE)</f>
        <v>#REF!</v>
      </c>
      <c r="R10" s="37" t="s">
        <v>149</v>
      </c>
      <c r="S10" s="35" t="s">
        <v>155</v>
      </c>
      <c r="T10" s="37">
        <v>340</v>
      </c>
      <c r="U10" s="37">
        <v>167</v>
      </c>
      <c r="V10" s="37">
        <v>110</v>
      </c>
      <c r="W10" s="38">
        <f t="shared" si="6"/>
        <v>6.2458000000000001E-3</v>
      </c>
      <c r="X10" s="38"/>
      <c r="Y10" s="36">
        <v>7.7000000000000002E-3</v>
      </c>
      <c r="Z10" s="36">
        <v>0.98</v>
      </c>
      <c r="AA10" s="39">
        <v>2.1349999999999998</v>
      </c>
      <c r="AB10" s="37">
        <v>1000</v>
      </c>
      <c r="AC10" s="35">
        <v>1000</v>
      </c>
      <c r="AD10" s="37">
        <v>130</v>
      </c>
      <c r="AE10" s="35">
        <f t="shared" si="2"/>
        <v>130000000</v>
      </c>
      <c r="AF10" s="37">
        <v>13</v>
      </c>
      <c r="AG10" s="37">
        <v>18</v>
      </c>
      <c r="AH10" s="37">
        <v>6</v>
      </c>
      <c r="AI10" s="37" t="s">
        <v>151</v>
      </c>
      <c r="AJ10" s="40">
        <f t="shared" si="3"/>
        <v>1000</v>
      </c>
      <c r="AK10" s="40">
        <f t="shared" si="3"/>
        <v>1000</v>
      </c>
      <c r="AL10" s="40">
        <f t="shared" si="4"/>
        <v>790</v>
      </c>
      <c r="AM10" s="26">
        <f t="shared" si="5"/>
        <v>790000000</v>
      </c>
      <c r="AN10" s="37" t="s">
        <v>152</v>
      </c>
      <c r="AO10" s="37" t="s">
        <v>153</v>
      </c>
      <c r="AP10" s="35"/>
      <c r="AQ10" s="35"/>
      <c r="AR10" s="37"/>
      <c r="AS10" s="35"/>
      <c r="AT10" s="37">
        <v>1</v>
      </c>
      <c r="AU10" s="41">
        <f t="shared" si="0"/>
        <v>6.2458000000000001E-3</v>
      </c>
      <c r="AV10" s="42">
        <f t="shared" si="1"/>
        <v>2.1349999999999998</v>
      </c>
      <c r="AW10" s="36" t="s">
        <v>158</v>
      </c>
    </row>
    <row r="11" spans="1:50" x14ac:dyDescent="0.2">
      <c r="A11" s="35" t="s">
        <v>140</v>
      </c>
      <c r="B11" s="35" t="s">
        <v>141</v>
      </c>
      <c r="C11" s="37" t="s">
        <v>319</v>
      </c>
      <c r="D11" s="37"/>
      <c r="E11" s="35"/>
      <c r="F11" s="37"/>
      <c r="G11" s="35" t="s">
        <v>142</v>
      </c>
      <c r="H11" s="37" t="s">
        <v>143</v>
      </c>
      <c r="I11" s="35"/>
      <c r="J11" s="37" t="s">
        <v>54</v>
      </c>
      <c r="K11" s="35" t="s">
        <v>144</v>
      </c>
      <c r="L11" s="37" t="s">
        <v>145</v>
      </c>
      <c r="M11" s="37" t="s">
        <v>159</v>
      </c>
      <c r="N11" s="35" t="s">
        <v>156</v>
      </c>
      <c r="O11" s="35" t="s">
        <v>157</v>
      </c>
      <c r="P11" s="37">
        <v>150</v>
      </c>
      <c r="Q11" s="37" t="e">
        <f>VLOOKUP(D11,#REF!,9,FALSE)</f>
        <v>#REF!</v>
      </c>
      <c r="R11" s="37" t="s">
        <v>149</v>
      </c>
      <c r="S11" s="35" t="s">
        <v>155</v>
      </c>
      <c r="T11" s="37">
        <v>340</v>
      </c>
      <c r="U11" s="37">
        <v>167</v>
      </c>
      <c r="V11" s="37">
        <v>110</v>
      </c>
      <c r="W11" s="38">
        <f t="shared" si="6"/>
        <v>6.2458000000000001E-3</v>
      </c>
      <c r="X11" s="38"/>
      <c r="Y11" s="36">
        <v>7.7000000000000002E-3</v>
      </c>
      <c r="Z11" s="36">
        <v>0.98</v>
      </c>
      <c r="AA11" s="39">
        <v>2.1349999999999998</v>
      </c>
      <c r="AB11" s="37">
        <v>1000</v>
      </c>
      <c r="AC11" s="35">
        <v>1000</v>
      </c>
      <c r="AD11" s="37">
        <v>130</v>
      </c>
      <c r="AE11" s="35">
        <f t="shared" si="2"/>
        <v>130000000</v>
      </c>
      <c r="AF11" s="37">
        <v>13</v>
      </c>
      <c r="AG11" s="37">
        <v>18</v>
      </c>
      <c r="AH11" s="37">
        <v>6</v>
      </c>
      <c r="AI11" s="37" t="s">
        <v>151</v>
      </c>
      <c r="AJ11" s="40">
        <f t="shared" si="3"/>
        <v>1000</v>
      </c>
      <c r="AK11" s="40">
        <f t="shared" si="3"/>
        <v>1000</v>
      </c>
      <c r="AL11" s="40">
        <f t="shared" si="4"/>
        <v>790</v>
      </c>
      <c r="AM11" s="26">
        <f t="shared" si="5"/>
        <v>790000000</v>
      </c>
      <c r="AN11" s="37" t="s">
        <v>152</v>
      </c>
      <c r="AO11" s="37" t="s">
        <v>153</v>
      </c>
      <c r="AP11" s="35"/>
      <c r="AQ11" s="35"/>
      <c r="AR11" s="37"/>
      <c r="AS11" s="35"/>
      <c r="AT11" s="37">
        <v>26</v>
      </c>
      <c r="AU11" s="41">
        <f t="shared" si="0"/>
        <v>0.1623908</v>
      </c>
      <c r="AV11" s="42">
        <f t="shared" si="1"/>
        <v>55.509999999999991</v>
      </c>
      <c r="AW11" s="36" t="s">
        <v>158</v>
      </c>
    </row>
    <row r="12" spans="1:50" hidden="1" x14ac:dyDescent="0.2">
      <c r="A12" s="35" t="s">
        <v>140</v>
      </c>
      <c r="B12" s="35" t="s">
        <v>141</v>
      </c>
      <c r="C12" s="37" t="s">
        <v>319</v>
      </c>
      <c r="D12" s="37"/>
      <c r="E12" s="35"/>
      <c r="F12" s="37"/>
      <c r="G12" s="35" t="s">
        <v>142</v>
      </c>
      <c r="H12" s="37" t="s">
        <v>143</v>
      </c>
      <c r="I12" s="35"/>
      <c r="J12" s="37" t="s">
        <v>54</v>
      </c>
      <c r="K12" s="35" t="s">
        <v>144</v>
      </c>
      <c r="L12" s="37" t="s">
        <v>145</v>
      </c>
      <c r="M12" s="37" t="s">
        <v>74</v>
      </c>
      <c r="N12" s="35" t="s">
        <v>144</v>
      </c>
      <c r="O12" s="35" t="s">
        <v>160</v>
      </c>
      <c r="P12" s="37">
        <v>150</v>
      </c>
      <c r="Q12" s="37" t="e">
        <f>VLOOKUP(D12,#REF!,9,FALSE)</f>
        <v>#REF!</v>
      </c>
      <c r="R12" s="37" t="s">
        <v>149</v>
      </c>
      <c r="S12" s="35" t="s">
        <v>155</v>
      </c>
      <c r="T12" s="37">
        <v>340</v>
      </c>
      <c r="U12" s="37">
        <v>167</v>
      </c>
      <c r="V12" s="37">
        <v>110</v>
      </c>
      <c r="W12" s="38">
        <f t="shared" ref="W12:W67" si="7">T12*U12*V12</f>
        <v>6245800</v>
      </c>
      <c r="X12" s="38"/>
      <c r="Y12" s="36">
        <v>7.7000000000000002E-3</v>
      </c>
      <c r="Z12" s="36">
        <v>0.98</v>
      </c>
      <c r="AA12" s="39">
        <v>2.1349999999999998</v>
      </c>
      <c r="AB12" s="37">
        <v>1000</v>
      </c>
      <c r="AC12" s="35">
        <v>1000</v>
      </c>
      <c r="AD12" s="37">
        <v>130</v>
      </c>
      <c r="AE12" s="35">
        <f t="shared" si="2"/>
        <v>130000000</v>
      </c>
      <c r="AF12" s="37">
        <v>13</v>
      </c>
      <c r="AG12" s="37">
        <v>18</v>
      </c>
      <c r="AH12" s="37">
        <v>6</v>
      </c>
      <c r="AI12" s="37" t="s">
        <v>151</v>
      </c>
      <c r="AJ12" s="40">
        <f t="shared" si="3"/>
        <v>1000</v>
      </c>
      <c r="AK12" s="40">
        <f t="shared" si="3"/>
        <v>1000</v>
      </c>
      <c r="AL12" s="40">
        <f t="shared" si="4"/>
        <v>790</v>
      </c>
      <c r="AM12" s="26">
        <f t="shared" si="5"/>
        <v>790000000</v>
      </c>
      <c r="AN12" s="37" t="s">
        <v>152</v>
      </c>
      <c r="AO12" s="37" t="s">
        <v>153</v>
      </c>
      <c r="AP12" s="35"/>
      <c r="AQ12" s="35"/>
      <c r="AR12" s="37"/>
      <c r="AS12" s="35"/>
      <c r="AT12" s="37">
        <v>26</v>
      </c>
      <c r="AU12" s="41">
        <f t="shared" si="0"/>
        <v>162390800</v>
      </c>
      <c r="AV12" s="42">
        <f t="shared" si="1"/>
        <v>55.509999999999991</v>
      </c>
      <c r="AW12" s="36" t="s">
        <v>161</v>
      </c>
    </row>
    <row r="13" spans="1:50" hidden="1" x14ac:dyDescent="0.2">
      <c r="A13" s="35" t="s">
        <v>140</v>
      </c>
      <c r="B13" s="35" t="s">
        <v>141</v>
      </c>
      <c r="C13" s="37" t="s">
        <v>319</v>
      </c>
      <c r="D13" s="37"/>
      <c r="E13" s="35"/>
      <c r="F13" s="37"/>
      <c r="G13" s="35" t="s">
        <v>142</v>
      </c>
      <c r="H13" s="37" t="s">
        <v>143</v>
      </c>
      <c r="I13" s="35"/>
      <c r="J13" s="37" t="s">
        <v>54</v>
      </c>
      <c r="K13" s="35" t="s">
        <v>144</v>
      </c>
      <c r="L13" s="37" t="s">
        <v>145</v>
      </c>
      <c r="M13" s="37" t="s">
        <v>69</v>
      </c>
      <c r="N13" s="35" t="s">
        <v>162</v>
      </c>
      <c r="O13" s="35" t="s">
        <v>163</v>
      </c>
      <c r="P13" s="37">
        <v>150</v>
      </c>
      <c r="Q13" s="37" t="e">
        <f>VLOOKUP(D13,#REF!,9,FALSE)</f>
        <v>#REF!</v>
      </c>
      <c r="R13" s="37" t="s">
        <v>149</v>
      </c>
      <c r="S13" s="35" t="s">
        <v>155</v>
      </c>
      <c r="T13" s="37">
        <v>340</v>
      </c>
      <c r="U13" s="37">
        <v>167</v>
      </c>
      <c r="V13" s="37">
        <v>110</v>
      </c>
      <c r="W13" s="38">
        <f t="shared" si="7"/>
        <v>6245800</v>
      </c>
      <c r="X13" s="38"/>
      <c r="Y13" s="36">
        <v>7.7000000000000002E-3</v>
      </c>
      <c r="Z13" s="36">
        <v>0.98</v>
      </c>
      <c r="AA13" s="39">
        <v>2.1349999999999998</v>
      </c>
      <c r="AB13" s="37">
        <v>1000</v>
      </c>
      <c r="AC13" s="35">
        <v>1000</v>
      </c>
      <c r="AD13" s="37">
        <v>130</v>
      </c>
      <c r="AE13" s="35">
        <f t="shared" si="2"/>
        <v>130000000</v>
      </c>
      <c r="AF13" s="37">
        <v>13</v>
      </c>
      <c r="AG13" s="37">
        <v>18</v>
      </c>
      <c r="AH13" s="37">
        <v>6</v>
      </c>
      <c r="AI13" s="37" t="s">
        <v>151</v>
      </c>
      <c r="AJ13" s="40">
        <f t="shared" si="3"/>
        <v>1000</v>
      </c>
      <c r="AK13" s="40">
        <f t="shared" si="3"/>
        <v>1000</v>
      </c>
      <c r="AL13" s="40">
        <f t="shared" si="4"/>
        <v>790</v>
      </c>
      <c r="AM13" s="26">
        <f t="shared" si="5"/>
        <v>790000000</v>
      </c>
      <c r="AN13" s="37" t="s">
        <v>152</v>
      </c>
      <c r="AO13" s="37" t="s">
        <v>153</v>
      </c>
      <c r="AP13" s="35"/>
      <c r="AQ13" s="35"/>
      <c r="AR13" s="37"/>
      <c r="AS13" s="35"/>
      <c r="AT13" s="37">
        <v>19</v>
      </c>
      <c r="AU13" s="41">
        <f t="shared" si="0"/>
        <v>118670200</v>
      </c>
      <c r="AV13" s="42">
        <f t="shared" si="1"/>
        <v>40.564999999999998</v>
      </c>
      <c r="AW13" s="36" t="s">
        <v>164</v>
      </c>
    </row>
    <row r="14" spans="1:50" hidden="1" x14ac:dyDescent="0.2">
      <c r="A14" s="35" t="s">
        <v>140</v>
      </c>
      <c r="B14" s="35" t="s">
        <v>141</v>
      </c>
      <c r="C14" s="37" t="s">
        <v>319</v>
      </c>
      <c r="D14" s="37"/>
      <c r="E14" s="35"/>
      <c r="F14" s="37"/>
      <c r="G14" s="35" t="s">
        <v>142</v>
      </c>
      <c r="H14" s="37" t="s">
        <v>143</v>
      </c>
      <c r="I14" s="35"/>
      <c r="J14" s="37" t="s">
        <v>54</v>
      </c>
      <c r="K14" s="35" t="s">
        <v>144</v>
      </c>
      <c r="L14" s="37" t="s">
        <v>145</v>
      </c>
      <c r="M14" s="37" t="s">
        <v>165</v>
      </c>
      <c r="N14" s="35" t="s">
        <v>166</v>
      </c>
      <c r="O14" s="35" t="s">
        <v>167</v>
      </c>
      <c r="P14" s="37">
        <v>150</v>
      </c>
      <c r="Q14" s="37" t="e">
        <f>VLOOKUP(D14,#REF!,9,FALSE)</f>
        <v>#REF!</v>
      </c>
      <c r="R14" s="37" t="s">
        <v>149</v>
      </c>
      <c r="S14" s="35" t="s">
        <v>155</v>
      </c>
      <c r="T14" s="37">
        <v>340</v>
      </c>
      <c r="U14" s="37">
        <v>167</v>
      </c>
      <c r="V14" s="37">
        <v>110</v>
      </c>
      <c r="W14" s="38">
        <f t="shared" si="7"/>
        <v>6245800</v>
      </c>
      <c r="X14" s="38"/>
      <c r="Y14" s="36">
        <v>7.7000000000000002E-3</v>
      </c>
      <c r="Z14" s="36">
        <v>0.98</v>
      </c>
      <c r="AA14" s="39">
        <v>2.1349999999999998</v>
      </c>
      <c r="AB14" s="37">
        <v>1000</v>
      </c>
      <c r="AC14" s="35">
        <v>1000</v>
      </c>
      <c r="AD14" s="37">
        <v>130</v>
      </c>
      <c r="AE14" s="35">
        <f t="shared" si="2"/>
        <v>130000000</v>
      </c>
      <c r="AF14" s="37">
        <v>13</v>
      </c>
      <c r="AG14" s="37">
        <v>18</v>
      </c>
      <c r="AH14" s="37">
        <v>6</v>
      </c>
      <c r="AI14" s="37" t="s">
        <v>151</v>
      </c>
      <c r="AJ14" s="40">
        <f t="shared" si="3"/>
        <v>1000</v>
      </c>
      <c r="AK14" s="40">
        <f t="shared" si="3"/>
        <v>1000</v>
      </c>
      <c r="AL14" s="40">
        <f t="shared" si="4"/>
        <v>790</v>
      </c>
      <c r="AM14" s="26">
        <f t="shared" si="5"/>
        <v>790000000</v>
      </c>
      <c r="AN14" s="37" t="s">
        <v>152</v>
      </c>
      <c r="AO14" s="37" t="s">
        <v>153</v>
      </c>
      <c r="AP14" s="35"/>
      <c r="AQ14" s="35"/>
      <c r="AR14" s="37"/>
      <c r="AS14" s="35"/>
      <c r="AT14" s="37">
        <v>20</v>
      </c>
      <c r="AU14" s="41">
        <f t="shared" si="0"/>
        <v>124916000</v>
      </c>
      <c r="AV14" s="42">
        <f t="shared" si="1"/>
        <v>42.699999999999996</v>
      </c>
      <c r="AW14" s="36" t="s">
        <v>168</v>
      </c>
    </row>
    <row r="15" spans="1:50" hidden="1" x14ac:dyDescent="0.2">
      <c r="A15" s="35" t="s">
        <v>140</v>
      </c>
      <c r="B15" s="35" t="s">
        <v>141</v>
      </c>
      <c r="C15" s="37" t="s">
        <v>319</v>
      </c>
      <c r="D15" s="37"/>
      <c r="E15" s="35"/>
      <c r="F15" s="37"/>
      <c r="G15" s="35" t="s">
        <v>142</v>
      </c>
      <c r="H15" s="37" t="s">
        <v>143</v>
      </c>
      <c r="I15" s="35"/>
      <c r="J15" s="37" t="s">
        <v>54</v>
      </c>
      <c r="K15" s="35" t="s">
        <v>144</v>
      </c>
      <c r="L15" s="37" t="s">
        <v>145</v>
      </c>
      <c r="M15" s="37" t="s">
        <v>66</v>
      </c>
      <c r="N15" s="35" t="s">
        <v>169</v>
      </c>
      <c r="O15" s="35" t="s">
        <v>170</v>
      </c>
      <c r="P15" s="37">
        <v>150</v>
      </c>
      <c r="Q15" s="37" t="e">
        <f>VLOOKUP(D15,#REF!,9,FALSE)</f>
        <v>#REF!</v>
      </c>
      <c r="R15" s="37" t="s">
        <v>149</v>
      </c>
      <c r="S15" s="35" t="s">
        <v>155</v>
      </c>
      <c r="T15" s="37">
        <v>340</v>
      </c>
      <c r="U15" s="37">
        <v>167</v>
      </c>
      <c r="V15" s="37">
        <v>110</v>
      </c>
      <c r="W15" s="38">
        <f t="shared" si="7"/>
        <v>6245800</v>
      </c>
      <c r="X15" s="38"/>
      <c r="Y15" s="36">
        <v>7.7000000000000002E-3</v>
      </c>
      <c r="Z15" s="36">
        <v>0.98</v>
      </c>
      <c r="AA15" s="39">
        <v>2.1349999999999998</v>
      </c>
      <c r="AB15" s="37">
        <v>1000</v>
      </c>
      <c r="AC15" s="35">
        <v>1000</v>
      </c>
      <c r="AD15" s="37">
        <v>130</v>
      </c>
      <c r="AE15" s="35">
        <f t="shared" si="2"/>
        <v>130000000</v>
      </c>
      <c r="AF15" s="37">
        <v>13</v>
      </c>
      <c r="AG15" s="37">
        <v>18</v>
      </c>
      <c r="AH15" s="37">
        <v>6</v>
      </c>
      <c r="AI15" s="37" t="s">
        <v>151</v>
      </c>
      <c r="AJ15" s="40">
        <f t="shared" si="3"/>
        <v>1000</v>
      </c>
      <c r="AK15" s="40">
        <f t="shared" si="3"/>
        <v>1000</v>
      </c>
      <c r="AL15" s="40">
        <f t="shared" si="4"/>
        <v>790</v>
      </c>
      <c r="AM15" s="26">
        <f t="shared" si="5"/>
        <v>790000000</v>
      </c>
      <c r="AN15" s="37" t="s">
        <v>152</v>
      </c>
      <c r="AO15" s="37" t="s">
        <v>153</v>
      </c>
      <c r="AP15" s="35"/>
      <c r="AQ15" s="35"/>
      <c r="AR15" s="37"/>
      <c r="AS15" s="35"/>
      <c r="AT15" s="37">
        <v>24</v>
      </c>
      <c r="AU15" s="41">
        <f t="shared" si="0"/>
        <v>149899200</v>
      </c>
      <c r="AV15" s="42">
        <f t="shared" si="1"/>
        <v>51.239999999999995</v>
      </c>
      <c r="AW15" s="36" t="s">
        <v>161</v>
      </c>
    </row>
    <row r="16" spans="1:50" hidden="1" x14ac:dyDescent="0.2">
      <c r="A16" s="35" t="s">
        <v>140</v>
      </c>
      <c r="B16" s="35" t="s">
        <v>141</v>
      </c>
      <c r="C16" s="37" t="s">
        <v>319</v>
      </c>
      <c r="D16" s="37"/>
      <c r="E16" s="35"/>
      <c r="F16" s="37"/>
      <c r="G16" s="35" t="s">
        <v>142</v>
      </c>
      <c r="H16" s="37" t="s">
        <v>143</v>
      </c>
      <c r="I16" s="35"/>
      <c r="J16" s="37" t="s">
        <v>54</v>
      </c>
      <c r="K16" s="35" t="s">
        <v>144</v>
      </c>
      <c r="L16" s="37" t="s">
        <v>145</v>
      </c>
      <c r="M16" s="37" t="s">
        <v>64</v>
      </c>
      <c r="N16" s="35" t="s">
        <v>171</v>
      </c>
      <c r="O16" s="35" t="s">
        <v>172</v>
      </c>
      <c r="P16" s="37">
        <v>150</v>
      </c>
      <c r="Q16" s="37" t="e">
        <f>VLOOKUP(D16,#REF!,9,FALSE)</f>
        <v>#REF!</v>
      </c>
      <c r="R16" s="37" t="s">
        <v>149</v>
      </c>
      <c r="S16" s="35" t="s">
        <v>155</v>
      </c>
      <c r="T16" s="37">
        <v>340</v>
      </c>
      <c r="U16" s="37">
        <v>167</v>
      </c>
      <c r="V16" s="37">
        <v>110</v>
      </c>
      <c r="W16" s="38">
        <f t="shared" si="7"/>
        <v>6245800</v>
      </c>
      <c r="X16" s="38"/>
      <c r="Y16" s="36">
        <v>7.7000000000000002E-3</v>
      </c>
      <c r="Z16" s="36">
        <v>0.98</v>
      </c>
      <c r="AA16" s="39">
        <v>2.1349999999999998</v>
      </c>
      <c r="AB16" s="37">
        <v>1000</v>
      </c>
      <c r="AC16" s="35">
        <v>1000</v>
      </c>
      <c r="AD16" s="37">
        <v>130</v>
      </c>
      <c r="AE16" s="35">
        <f t="shared" si="2"/>
        <v>130000000</v>
      </c>
      <c r="AF16" s="37">
        <v>13</v>
      </c>
      <c r="AG16" s="37">
        <v>18</v>
      </c>
      <c r="AH16" s="37">
        <v>6</v>
      </c>
      <c r="AI16" s="37" t="s">
        <v>151</v>
      </c>
      <c r="AJ16" s="40">
        <f t="shared" si="3"/>
        <v>1000</v>
      </c>
      <c r="AK16" s="40">
        <f t="shared" si="3"/>
        <v>1000</v>
      </c>
      <c r="AL16" s="40">
        <f t="shared" si="4"/>
        <v>790</v>
      </c>
      <c r="AM16" s="26">
        <f t="shared" si="5"/>
        <v>790000000</v>
      </c>
      <c r="AN16" s="37" t="s">
        <v>152</v>
      </c>
      <c r="AO16" s="37" t="s">
        <v>153</v>
      </c>
      <c r="AP16" s="35"/>
      <c r="AQ16" s="35"/>
      <c r="AR16" s="37"/>
      <c r="AS16" s="35"/>
      <c r="AT16" s="37">
        <v>21</v>
      </c>
      <c r="AU16" s="41">
        <f t="shared" si="0"/>
        <v>131161800</v>
      </c>
      <c r="AV16" s="42">
        <f t="shared" si="1"/>
        <v>44.834999999999994</v>
      </c>
      <c r="AW16" s="36" t="s">
        <v>173</v>
      </c>
    </row>
    <row r="17" spans="1:49" hidden="1" x14ac:dyDescent="0.2">
      <c r="A17" s="35" t="s">
        <v>140</v>
      </c>
      <c r="B17" s="35" t="s">
        <v>141</v>
      </c>
      <c r="C17" s="37" t="s">
        <v>319</v>
      </c>
      <c r="D17" s="37"/>
      <c r="E17" s="35"/>
      <c r="F17" s="37"/>
      <c r="G17" s="35" t="s">
        <v>142</v>
      </c>
      <c r="H17" s="37" t="s">
        <v>143</v>
      </c>
      <c r="I17" s="35"/>
      <c r="J17" s="37" t="s">
        <v>54</v>
      </c>
      <c r="K17" s="35" t="s">
        <v>144</v>
      </c>
      <c r="L17" s="37" t="s">
        <v>145</v>
      </c>
      <c r="M17" s="37" t="s">
        <v>15</v>
      </c>
      <c r="N17" s="35" t="s">
        <v>174</v>
      </c>
      <c r="O17" s="35" t="s">
        <v>175</v>
      </c>
      <c r="P17" s="37">
        <v>150</v>
      </c>
      <c r="Q17" s="37" t="e">
        <f>VLOOKUP(D17,#REF!,9,FALSE)</f>
        <v>#REF!</v>
      </c>
      <c r="R17" s="37" t="s">
        <v>149</v>
      </c>
      <c r="S17" s="35" t="s">
        <v>155</v>
      </c>
      <c r="T17" s="37">
        <v>340</v>
      </c>
      <c r="U17" s="37">
        <v>167</v>
      </c>
      <c r="V17" s="37">
        <v>110</v>
      </c>
      <c r="W17" s="38">
        <f t="shared" si="7"/>
        <v>6245800</v>
      </c>
      <c r="X17" s="38"/>
      <c r="Y17" s="36">
        <v>7.7000000000000002E-3</v>
      </c>
      <c r="Z17" s="36">
        <v>0.98</v>
      </c>
      <c r="AA17" s="39">
        <v>2.1349999999999998</v>
      </c>
      <c r="AB17" s="37">
        <v>1000</v>
      </c>
      <c r="AC17" s="35">
        <v>1000</v>
      </c>
      <c r="AD17" s="37">
        <v>130</v>
      </c>
      <c r="AE17" s="35">
        <f t="shared" si="2"/>
        <v>130000000</v>
      </c>
      <c r="AF17" s="37">
        <v>13</v>
      </c>
      <c r="AG17" s="37">
        <v>18</v>
      </c>
      <c r="AH17" s="37">
        <v>6</v>
      </c>
      <c r="AI17" s="37" t="s">
        <v>151</v>
      </c>
      <c r="AJ17" s="40">
        <f t="shared" si="3"/>
        <v>1000</v>
      </c>
      <c r="AK17" s="40">
        <f t="shared" si="3"/>
        <v>1000</v>
      </c>
      <c r="AL17" s="40">
        <f t="shared" si="4"/>
        <v>790</v>
      </c>
      <c r="AM17" s="26">
        <f t="shared" si="5"/>
        <v>790000000</v>
      </c>
      <c r="AN17" s="37" t="s">
        <v>152</v>
      </c>
      <c r="AO17" s="37" t="s">
        <v>153</v>
      </c>
      <c r="AP17" s="35"/>
      <c r="AQ17" s="35"/>
      <c r="AR17" s="37"/>
      <c r="AS17" s="35"/>
      <c r="AT17" s="37">
        <v>90</v>
      </c>
      <c r="AU17" s="41">
        <f t="shared" si="0"/>
        <v>562122000</v>
      </c>
      <c r="AV17" s="42">
        <f t="shared" si="1"/>
        <v>192.14999999999998</v>
      </c>
      <c r="AW17" s="36" t="s">
        <v>176</v>
      </c>
    </row>
    <row r="18" spans="1:49" hidden="1" x14ac:dyDescent="0.2">
      <c r="A18" s="35" t="s">
        <v>140</v>
      </c>
      <c r="B18" s="35" t="s">
        <v>141</v>
      </c>
      <c r="C18" s="37" t="s">
        <v>319</v>
      </c>
      <c r="D18" s="37"/>
      <c r="E18" s="35"/>
      <c r="F18" s="37"/>
      <c r="G18" s="35" t="s">
        <v>142</v>
      </c>
      <c r="H18" s="37" t="s">
        <v>177</v>
      </c>
      <c r="I18" s="35"/>
      <c r="J18" s="37" t="s">
        <v>54</v>
      </c>
      <c r="K18" s="35" t="s">
        <v>178</v>
      </c>
      <c r="L18" s="37" t="s">
        <v>145</v>
      </c>
      <c r="M18" s="37" t="s">
        <v>77</v>
      </c>
      <c r="N18" s="35" t="s">
        <v>162</v>
      </c>
      <c r="O18" s="35" t="s">
        <v>163</v>
      </c>
      <c r="P18" s="37">
        <v>150</v>
      </c>
      <c r="Q18" s="37" t="e">
        <f>VLOOKUP(D18,#REF!,9,FALSE)</f>
        <v>#REF!</v>
      </c>
      <c r="R18" s="37" t="s">
        <v>149</v>
      </c>
      <c r="S18" s="35" t="s">
        <v>155</v>
      </c>
      <c r="T18" s="37">
        <v>340</v>
      </c>
      <c r="U18" s="37">
        <v>167</v>
      </c>
      <c r="V18" s="37">
        <v>110</v>
      </c>
      <c r="W18" s="38">
        <f t="shared" si="7"/>
        <v>6245800</v>
      </c>
      <c r="X18" s="38"/>
      <c r="Y18" s="36">
        <v>7.7000000000000002E-3</v>
      </c>
      <c r="Z18" s="36">
        <v>0.98</v>
      </c>
      <c r="AA18" s="39">
        <v>2.1349999999999998</v>
      </c>
      <c r="AB18" s="37">
        <v>1000</v>
      </c>
      <c r="AC18" s="35">
        <v>1000</v>
      </c>
      <c r="AD18" s="37">
        <v>130</v>
      </c>
      <c r="AE18" s="35">
        <f t="shared" si="2"/>
        <v>130000000</v>
      </c>
      <c r="AF18" s="37">
        <v>13</v>
      </c>
      <c r="AG18" s="37">
        <v>18</v>
      </c>
      <c r="AH18" s="37">
        <v>6</v>
      </c>
      <c r="AI18" s="37" t="s">
        <v>151</v>
      </c>
      <c r="AJ18" s="40">
        <f t="shared" si="3"/>
        <v>1000</v>
      </c>
      <c r="AK18" s="40">
        <f t="shared" si="3"/>
        <v>1000</v>
      </c>
      <c r="AL18" s="40">
        <f t="shared" si="4"/>
        <v>790</v>
      </c>
      <c r="AM18" s="26">
        <f t="shared" si="5"/>
        <v>790000000</v>
      </c>
      <c r="AN18" s="37" t="s">
        <v>152</v>
      </c>
      <c r="AO18" s="37" t="s">
        <v>153</v>
      </c>
      <c r="AP18" s="35"/>
      <c r="AQ18" s="35"/>
      <c r="AR18" s="37"/>
      <c r="AS18" s="35"/>
      <c r="AT18" s="37">
        <v>14</v>
      </c>
      <c r="AU18" s="41">
        <f t="shared" si="0"/>
        <v>87441200</v>
      </c>
      <c r="AV18" s="42">
        <f t="shared" si="1"/>
        <v>29.889999999999997</v>
      </c>
      <c r="AW18" s="36" t="s">
        <v>161</v>
      </c>
    </row>
    <row r="19" spans="1:49" hidden="1" x14ac:dyDescent="0.2">
      <c r="A19" s="35" t="s">
        <v>140</v>
      </c>
      <c r="B19" s="35" t="s">
        <v>141</v>
      </c>
      <c r="C19" s="67" t="s">
        <v>353</v>
      </c>
      <c r="D19" s="37"/>
      <c r="E19" s="35"/>
      <c r="F19" s="37"/>
      <c r="G19" s="35" t="s">
        <v>142</v>
      </c>
      <c r="H19" s="37" t="s">
        <v>177</v>
      </c>
      <c r="I19" s="35"/>
      <c r="J19" s="37" t="s">
        <v>54</v>
      </c>
      <c r="K19" s="35" t="s">
        <v>178</v>
      </c>
      <c r="L19" s="37" t="s">
        <v>145</v>
      </c>
      <c r="M19" s="37" t="s">
        <v>80</v>
      </c>
      <c r="N19" s="35" t="s">
        <v>144</v>
      </c>
      <c r="O19" s="35" t="s">
        <v>160</v>
      </c>
      <c r="P19" s="37">
        <v>16</v>
      </c>
      <c r="Q19" s="37" t="e">
        <f>VLOOKUP(D19,#REF!,9,FALSE)</f>
        <v>#REF!</v>
      </c>
      <c r="R19" s="37" t="s">
        <v>149</v>
      </c>
      <c r="S19" s="35" t="s">
        <v>179</v>
      </c>
      <c r="T19" s="37">
        <v>340</v>
      </c>
      <c r="U19" s="37">
        <v>340</v>
      </c>
      <c r="V19" s="37">
        <v>160</v>
      </c>
      <c r="W19" s="38">
        <f t="shared" si="7"/>
        <v>18496000</v>
      </c>
      <c r="X19" s="38"/>
      <c r="Y19" s="36">
        <v>0.56000000000000005</v>
      </c>
      <c r="Z19" s="36">
        <v>2</v>
      </c>
      <c r="AA19" s="39">
        <v>10.96</v>
      </c>
      <c r="AB19" s="37">
        <v>1000</v>
      </c>
      <c r="AC19" s="35">
        <v>1000</v>
      </c>
      <c r="AD19" s="37">
        <v>130</v>
      </c>
      <c r="AE19" s="35">
        <f t="shared" si="2"/>
        <v>130000000</v>
      </c>
      <c r="AF19" s="37">
        <v>13</v>
      </c>
      <c r="AG19" s="37">
        <v>9</v>
      </c>
      <c r="AH19" s="37">
        <v>5</v>
      </c>
      <c r="AI19" s="37" t="s">
        <v>180</v>
      </c>
      <c r="AJ19" s="40">
        <f t="shared" si="3"/>
        <v>1000</v>
      </c>
      <c r="AK19" s="40">
        <f t="shared" si="3"/>
        <v>1000</v>
      </c>
      <c r="AL19" s="40">
        <f t="shared" si="4"/>
        <v>930</v>
      </c>
      <c r="AM19" s="26">
        <f t="shared" si="5"/>
        <v>930000000</v>
      </c>
      <c r="AN19" s="37" t="s">
        <v>152</v>
      </c>
      <c r="AO19" s="37" t="s">
        <v>153</v>
      </c>
      <c r="AP19" s="35"/>
      <c r="AQ19" s="35"/>
      <c r="AR19" s="37"/>
      <c r="AS19" s="35"/>
      <c r="AT19" s="37">
        <v>315</v>
      </c>
      <c r="AU19" s="41">
        <f t="shared" si="0"/>
        <v>5826240000</v>
      </c>
      <c r="AV19" s="42">
        <f t="shared" si="1"/>
        <v>3452.4</v>
      </c>
      <c r="AW19" s="36" t="s">
        <v>161</v>
      </c>
    </row>
    <row r="20" spans="1:49" x14ac:dyDescent="0.2">
      <c r="A20" s="35" t="s">
        <v>140</v>
      </c>
      <c r="B20" s="35" t="s">
        <v>141</v>
      </c>
      <c r="C20" s="37" t="s">
        <v>320</v>
      </c>
      <c r="D20" s="37"/>
      <c r="E20" s="35"/>
      <c r="F20" s="37"/>
      <c r="G20" s="35" t="s">
        <v>142</v>
      </c>
      <c r="H20" s="37" t="s">
        <v>177</v>
      </c>
      <c r="I20" s="35"/>
      <c r="J20" s="37" t="s">
        <v>54</v>
      </c>
      <c r="K20" s="35" t="s">
        <v>178</v>
      </c>
      <c r="L20" s="37" t="s">
        <v>145</v>
      </c>
      <c r="M20" s="37" t="s">
        <v>12</v>
      </c>
      <c r="N20" s="35" t="s">
        <v>156</v>
      </c>
      <c r="O20" s="35" t="s">
        <v>156</v>
      </c>
      <c r="P20" s="37">
        <v>6</v>
      </c>
      <c r="Q20" s="37" t="e">
        <f>VLOOKUP(D20,#REF!,9,FALSE)</f>
        <v>#REF!</v>
      </c>
      <c r="R20" s="37" t="s">
        <v>149</v>
      </c>
      <c r="S20" s="35" t="s">
        <v>181</v>
      </c>
      <c r="T20" s="37">
        <v>340</v>
      </c>
      <c r="U20" s="37">
        <v>510</v>
      </c>
      <c r="V20" s="37">
        <v>160</v>
      </c>
      <c r="W20" s="38">
        <f>T20/1000*U20/1000*V20/1000</f>
        <v>2.7744000000000001E-2</v>
      </c>
      <c r="X20" s="38"/>
      <c r="Y20" s="36">
        <v>1.5</v>
      </c>
      <c r="Z20" s="36">
        <v>2</v>
      </c>
      <c r="AA20" s="39">
        <v>11</v>
      </c>
      <c r="AB20" s="37">
        <v>1000</v>
      </c>
      <c r="AC20" s="35">
        <v>1000</v>
      </c>
      <c r="AD20" s="37">
        <v>130</v>
      </c>
      <c r="AE20" s="35">
        <f t="shared" si="2"/>
        <v>130000000</v>
      </c>
      <c r="AF20" s="37">
        <v>13</v>
      </c>
      <c r="AG20" s="37">
        <v>6</v>
      </c>
      <c r="AH20" s="37">
        <v>5</v>
      </c>
      <c r="AI20" s="37" t="s">
        <v>151</v>
      </c>
      <c r="AJ20" s="40">
        <f t="shared" si="3"/>
        <v>1000</v>
      </c>
      <c r="AK20" s="40">
        <f t="shared" si="3"/>
        <v>1000</v>
      </c>
      <c r="AL20" s="40">
        <f t="shared" si="4"/>
        <v>930</v>
      </c>
      <c r="AM20" s="26">
        <f t="shared" si="5"/>
        <v>930000000</v>
      </c>
      <c r="AN20" s="37" t="s">
        <v>152</v>
      </c>
      <c r="AO20" s="37" t="s">
        <v>153</v>
      </c>
      <c r="AP20" s="35"/>
      <c r="AQ20" s="35"/>
      <c r="AR20" s="37"/>
      <c r="AS20" s="35"/>
      <c r="AT20" s="37">
        <v>13</v>
      </c>
      <c r="AU20" s="41">
        <f t="shared" si="0"/>
        <v>0.36067199999999999</v>
      </c>
      <c r="AV20" s="42">
        <f t="shared" si="1"/>
        <v>143</v>
      </c>
      <c r="AW20" s="36" t="s">
        <v>158</v>
      </c>
    </row>
    <row r="21" spans="1:49" hidden="1" x14ac:dyDescent="0.2">
      <c r="A21" s="35" t="s">
        <v>140</v>
      </c>
      <c r="B21" s="35" t="s">
        <v>141</v>
      </c>
      <c r="C21" s="67" t="s">
        <v>354</v>
      </c>
      <c r="D21" s="37"/>
      <c r="E21" s="35"/>
      <c r="F21" s="37"/>
      <c r="G21" s="35" t="s">
        <v>142</v>
      </c>
      <c r="H21" s="37" t="s">
        <v>177</v>
      </c>
      <c r="I21" s="35"/>
      <c r="J21" s="37" t="s">
        <v>54</v>
      </c>
      <c r="K21" s="35" t="s">
        <v>178</v>
      </c>
      <c r="L21" s="37" t="s">
        <v>145</v>
      </c>
      <c r="M21" s="37" t="s">
        <v>6</v>
      </c>
      <c r="N21" s="35" t="s">
        <v>171</v>
      </c>
      <c r="O21" s="35" t="s">
        <v>172</v>
      </c>
      <c r="P21" s="37">
        <v>5</v>
      </c>
      <c r="Q21" s="37" t="e">
        <f>VLOOKUP(D21,#REF!,9,FALSE)</f>
        <v>#REF!</v>
      </c>
      <c r="R21" s="37" t="s">
        <v>149</v>
      </c>
      <c r="S21" s="35" t="s">
        <v>182</v>
      </c>
      <c r="T21" s="37">
        <v>340</v>
      </c>
      <c r="U21" s="37">
        <v>340</v>
      </c>
      <c r="V21" s="37">
        <v>200</v>
      </c>
      <c r="W21" s="38">
        <f t="shared" si="7"/>
        <v>23120000</v>
      </c>
      <c r="X21" s="38"/>
      <c r="Y21" s="36">
        <v>1.625</v>
      </c>
      <c r="Z21" s="36">
        <v>0.98</v>
      </c>
      <c r="AA21" s="39">
        <v>9.1050000000000004</v>
      </c>
      <c r="AB21" s="37">
        <v>1000</v>
      </c>
      <c r="AC21" s="35">
        <v>1000</v>
      </c>
      <c r="AD21" s="37">
        <v>130</v>
      </c>
      <c r="AE21" s="35">
        <f t="shared" si="2"/>
        <v>130000000</v>
      </c>
      <c r="AF21" s="37">
        <v>13</v>
      </c>
      <c r="AG21" s="37">
        <v>9</v>
      </c>
      <c r="AH21" s="37">
        <v>4</v>
      </c>
      <c r="AI21" s="37" t="s">
        <v>180</v>
      </c>
      <c r="AJ21" s="40">
        <f t="shared" si="3"/>
        <v>1000</v>
      </c>
      <c r="AK21" s="40">
        <f t="shared" si="3"/>
        <v>1000</v>
      </c>
      <c r="AL21" s="40">
        <f t="shared" si="4"/>
        <v>930</v>
      </c>
      <c r="AM21" s="26">
        <f t="shared" si="5"/>
        <v>930000000</v>
      </c>
      <c r="AN21" s="37" t="s">
        <v>152</v>
      </c>
      <c r="AO21" s="37" t="s">
        <v>153</v>
      </c>
      <c r="AP21" s="35"/>
      <c r="AQ21" s="35"/>
      <c r="AR21" s="37"/>
      <c r="AS21" s="35"/>
      <c r="AT21" s="37">
        <v>432</v>
      </c>
      <c r="AU21" s="41">
        <f t="shared" si="0"/>
        <v>9987840000</v>
      </c>
      <c r="AV21" s="42">
        <f t="shared" si="1"/>
        <v>3933.36</v>
      </c>
      <c r="AW21" s="36" t="s">
        <v>173</v>
      </c>
    </row>
    <row r="22" spans="1:49" hidden="1" x14ac:dyDescent="0.2">
      <c r="A22" s="35" t="s">
        <v>140</v>
      </c>
      <c r="B22" s="35" t="s">
        <v>141</v>
      </c>
      <c r="C22" s="67" t="s">
        <v>355</v>
      </c>
      <c r="D22" s="37"/>
      <c r="E22" s="35"/>
      <c r="F22" s="37"/>
      <c r="G22" s="35" t="s">
        <v>142</v>
      </c>
      <c r="H22" s="37" t="s">
        <v>177</v>
      </c>
      <c r="I22" s="35"/>
      <c r="J22" s="37" t="s">
        <v>54</v>
      </c>
      <c r="K22" s="35" t="s">
        <v>178</v>
      </c>
      <c r="L22" s="37" t="s">
        <v>145</v>
      </c>
      <c r="M22" s="37" t="s">
        <v>6</v>
      </c>
      <c r="N22" s="35" t="s">
        <v>171</v>
      </c>
      <c r="O22" s="35" t="s">
        <v>172</v>
      </c>
      <c r="P22" s="37">
        <v>5</v>
      </c>
      <c r="Q22" s="37" t="e">
        <f>VLOOKUP(D22,#REF!,9,FALSE)</f>
        <v>#REF!</v>
      </c>
      <c r="R22" s="37" t="s">
        <v>149</v>
      </c>
      <c r="S22" s="35" t="s">
        <v>182</v>
      </c>
      <c r="T22" s="37">
        <v>340</v>
      </c>
      <c r="U22" s="37">
        <v>340</v>
      </c>
      <c r="V22" s="37">
        <v>200</v>
      </c>
      <c r="W22" s="38">
        <f t="shared" si="7"/>
        <v>23120000</v>
      </c>
      <c r="X22" s="38"/>
      <c r="Y22" s="36">
        <v>2</v>
      </c>
      <c r="Z22" s="36">
        <v>2</v>
      </c>
      <c r="AA22" s="39">
        <v>12</v>
      </c>
      <c r="AB22" s="37">
        <v>1000</v>
      </c>
      <c r="AC22" s="35">
        <v>1000</v>
      </c>
      <c r="AD22" s="37">
        <v>130</v>
      </c>
      <c r="AE22" s="35">
        <f t="shared" si="2"/>
        <v>130000000</v>
      </c>
      <c r="AF22" s="37">
        <v>13</v>
      </c>
      <c r="AG22" s="37">
        <v>9</v>
      </c>
      <c r="AH22" s="37">
        <v>4</v>
      </c>
      <c r="AI22" s="37" t="s">
        <v>180</v>
      </c>
      <c r="AJ22" s="40">
        <f t="shared" si="3"/>
        <v>1000</v>
      </c>
      <c r="AK22" s="40">
        <f t="shared" si="3"/>
        <v>1000</v>
      </c>
      <c r="AL22" s="40">
        <f t="shared" si="4"/>
        <v>930</v>
      </c>
      <c r="AM22" s="26">
        <f t="shared" si="5"/>
        <v>930000000</v>
      </c>
      <c r="AN22" s="37" t="s">
        <v>152</v>
      </c>
      <c r="AO22" s="37" t="s">
        <v>153</v>
      </c>
      <c r="AP22" s="35"/>
      <c r="AQ22" s="35"/>
      <c r="AR22" s="37"/>
      <c r="AS22" s="35"/>
      <c r="AT22" s="37">
        <v>288</v>
      </c>
      <c r="AU22" s="41">
        <f t="shared" si="0"/>
        <v>6658560000</v>
      </c>
      <c r="AV22" s="42">
        <f t="shared" si="1"/>
        <v>3456</v>
      </c>
      <c r="AW22" s="36" t="s">
        <v>173</v>
      </c>
    </row>
    <row r="23" spans="1:49" hidden="1" x14ac:dyDescent="0.2">
      <c r="A23" s="35" t="s">
        <v>140</v>
      </c>
      <c r="B23" s="35" t="s">
        <v>141</v>
      </c>
      <c r="C23" s="67" t="s">
        <v>356</v>
      </c>
      <c r="D23" s="37"/>
      <c r="E23" s="35"/>
      <c r="F23" s="37"/>
      <c r="G23" s="35" t="s">
        <v>142</v>
      </c>
      <c r="H23" s="37" t="s">
        <v>177</v>
      </c>
      <c r="I23" s="35"/>
      <c r="J23" s="37" t="s">
        <v>54</v>
      </c>
      <c r="K23" s="35" t="s">
        <v>178</v>
      </c>
      <c r="L23" s="37" t="s">
        <v>145</v>
      </c>
      <c r="M23" s="37" t="s">
        <v>6</v>
      </c>
      <c r="N23" s="35" t="s">
        <v>171</v>
      </c>
      <c r="O23" s="35" t="s">
        <v>172</v>
      </c>
      <c r="P23" s="37">
        <v>5</v>
      </c>
      <c r="Q23" s="37" t="e">
        <f>VLOOKUP(D23,#REF!,9,FALSE)</f>
        <v>#REF!</v>
      </c>
      <c r="R23" s="37" t="s">
        <v>149</v>
      </c>
      <c r="S23" s="35" t="s">
        <v>182</v>
      </c>
      <c r="T23" s="37">
        <v>340</v>
      </c>
      <c r="U23" s="37">
        <v>340</v>
      </c>
      <c r="V23" s="37">
        <v>200</v>
      </c>
      <c r="W23" s="38">
        <f t="shared" si="7"/>
        <v>23120000</v>
      </c>
      <c r="X23" s="38"/>
      <c r="Y23" s="36">
        <v>1.8240000000000001</v>
      </c>
      <c r="Z23" s="36">
        <v>0.98</v>
      </c>
      <c r="AA23" s="39">
        <v>10.100000000000001</v>
      </c>
      <c r="AB23" s="37">
        <v>1000</v>
      </c>
      <c r="AC23" s="35">
        <v>1000</v>
      </c>
      <c r="AD23" s="37">
        <v>130</v>
      </c>
      <c r="AE23" s="35">
        <f t="shared" si="2"/>
        <v>130000000</v>
      </c>
      <c r="AF23" s="37">
        <v>13</v>
      </c>
      <c r="AG23" s="37">
        <v>9</v>
      </c>
      <c r="AH23" s="37">
        <v>4</v>
      </c>
      <c r="AI23" s="37" t="s">
        <v>180</v>
      </c>
      <c r="AJ23" s="40">
        <f t="shared" si="3"/>
        <v>1000</v>
      </c>
      <c r="AK23" s="40">
        <f t="shared" si="3"/>
        <v>1000</v>
      </c>
      <c r="AL23" s="40">
        <f t="shared" si="4"/>
        <v>930</v>
      </c>
      <c r="AM23" s="26">
        <f t="shared" si="5"/>
        <v>930000000</v>
      </c>
      <c r="AN23" s="37" t="s">
        <v>152</v>
      </c>
      <c r="AO23" s="37" t="s">
        <v>153</v>
      </c>
      <c r="AP23" s="35"/>
      <c r="AQ23" s="35"/>
      <c r="AR23" s="37"/>
      <c r="AS23" s="35"/>
      <c r="AT23" s="37">
        <v>144</v>
      </c>
      <c r="AU23" s="41">
        <f t="shared" si="0"/>
        <v>3329280000</v>
      </c>
      <c r="AV23" s="42">
        <f t="shared" si="1"/>
        <v>1454.4</v>
      </c>
      <c r="AW23" s="36" t="s">
        <v>173</v>
      </c>
    </row>
    <row r="24" spans="1:49" hidden="1" x14ac:dyDescent="0.2">
      <c r="A24" s="35" t="s">
        <v>140</v>
      </c>
      <c r="B24" s="35" t="s">
        <v>141</v>
      </c>
      <c r="C24" s="67" t="s">
        <v>357</v>
      </c>
      <c r="D24" s="37"/>
      <c r="E24" s="35"/>
      <c r="F24" s="37"/>
      <c r="G24" s="35" t="s">
        <v>142</v>
      </c>
      <c r="H24" s="37" t="s">
        <v>143</v>
      </c>
      <c r="I24" s="35"/>
      <c r="J24" s="37" t="s">
        <v>54</v>
      </c>
      <c r="K24" s="35" t="s">
        <v>144</v>
      </c>
      <c r="L24" s="37" t="s">
        <v>145</v>
      </c>
      <c r="M24" s="37" t="s">
        <v>165</v>
      </c>
      <c r="N24" s="35" t="s">
        <v>166</v>
      </c>
      <c r="O24" s="35" t="s">
        <v>167</v>
      </c>
      <c r="P24" s="37">
        <v>54</v>
      </c>
      <c r="Q24" s="37" t="e">
        <f>VLOOKUP(D24,#REF!,9,FALSE)</f>
        <v>#REF!</v>
      </c>
      <c r="R24" s="37" t="s">
        <v>149</v>
      </c>
      <c r="S24" s="35" t="s">
        <v>183</v>
      </c>
      <c r="T24" s="37">
        <v>340</v>
      </c>
      <c r="U24" s="37">
        <v>340</v>
      </c>
      <c r="V24" s="37">
        <v>110</v>
      </c>
      <c r="W24" s="38">
        <f t="shared" si="7"/>
        <v>12716000</v>
      </c>
      <c r="X24" s="38"/>
      <c r="Y24" s="36">
        <v>0.09</v>
      </c>
      <c r="Z24" s="36">
        <v>3</v>
      </c>
      <c r="AA24" s="39">
        <v>7.8599999999999994</v>
      </c>
      <c r="AB24" s="37">
        <v>1000</v>
      </c>
      <c r="AC24" s="35">
        <v>1000</v>
      </c>
      <c r="AD24" s="37">
        <v>130</v>
      </c>
      <c r="AE24" s="35">
        <f t="shared" si="2"/>
        <v>130000000</v>
      </c>
      <c r="AF24" s="37">
        <v>13</v>
      </c>
      <c r="AG24" s="37">
        <v>9</v>
      </c>
      <c r="AH24" s="37">
        <v>5</v>
      </c>
      <c r="AI24" s="37" t="s">
        <v>151</v>
      </c>
      <c r="AJ24" s="40">
        <f t="shared" si="3"/>
        <v>1000</v>
      </c>
      <c r="AK24" s="40">
        <f t="shared" si="3"/>
        <v>1000</v>
      </c>
      <c r="AL24" s="40">
        <f t="shared" si="4"/>
        <v>680</v>
      </c>
      <c r="AM24" s="26">
        <f t="shared" si="5"/>
        <v>680000000</v>
      </c>
      <c r="AN24" s="37" t="s">
        <v>152</v>
      </c>
      <c r="AO24" s="37" t="s">
        <v>153</v>
      </c>
      <c r="AP24" s="35"/>
      <c r="AQ24" s="35"/>
      <c r="AR24" s="37"/>
      <c r="AS24" s="35"/>
      <c r="AT24" s="37">
        <v>10</v>
      </c>
      <c r="AU24" s="41">
        <f t="shared" si="0"/>
        <v>127160000</v>
      </c>
      <c r="AV24" s="42">
        <f t="shared" si="1"/>
        <v>78.599999999999994</v>
      </c>
      <c r="AW24" s="36" t="s">
        <v>168</v>
      </c>
    </row>
    <row r="25" spans="1:49" x14ac:dyDescent="0.2">
      <c r="A25" s="35" t="s">
        <v>140</v>
      </c>
      <c r="B25" s="35" t="s">
        <v>141</v>
      </c>
      <c r="C25" s="37" t="s">
        <v>321</v>
      </c>
      <c r="D25" s="37"/>
      <c r="E25" s="35"/>
      <c r="F25" s="37"/>
      <c r="G25" s="35" t="s">
        <v>142</v>
      </c>
      <c r="H25" s="37" t="s">
        <v>177</v>
      </c>
      <c r="I25" s="35"/>
      <c r="J25" s="37" t="s">
        <v>54</v>
      </c>
      <c r="K25" s="35" t="s">
        <v>178</v>
      </c>
      <c r="L25" s="37" t="s">
        <v>145</v>
      </c>
      <c r="M25" s="37" t="s">
        <v>14</v>
      </c>
      <c r="N25" s="35" t="s">
        <v>156</v>
      </c>
      <c r="O25" s="35" t="s">
        <v>156</v>
      </c>
      <c r="P25" s="37">
        <v>2</v>
      </c>
      <c r="Q25" s="37" t="e">
        <f>VLOOKUP(D25,#REF!,9,FALSE)</f>
        <v>#REF!</v>
      </c>
      <c r="R25" s="37" t="s">
        <v>149</v>
      </c>
      <c r="S25" s="35" t="s">
        <v>182</v>
      </c>
      <c r="T25" s="37">
        <v>340</v>
      </c>
      <c r="U25" s="37">
        <v>340</v>
      </c>
      <c r="V25" s="37">
        <v>200</v>
      </c>
      <c r="W25" s="38">
        <f>T25/1000*U25/1000*V25/1000</f>
        <v>2.3120000000000002E-2</v>
      </c>
      <c r="X25" s="38"/>
      <c r="Y25" s="36">
        <v>4</v>
      </c>
      <c r="Z25" s="36">
        <v>2</v>
      </c>
      <c r="AA25" s="39">
        <v>10</v>
      </c>
      <c r="AB25" s="37">
        <v>1000</v>
      </c>
      <c r="AC25" s="35">
        <v>1000</v>
      </c>
      <c r="AD25" s="37">
        <v>130</v>
      </c>
      <c r="AE25" s="35">
        <f t="shared" si="2"/>
        <v>130000000</v>
      </c>
      <c r="AF25" s="37">
        <v>13</v>
      </c>
      <c r="AG25" s="37">
        <v>9</v>
      </c>
      <c r="AH25" s="37">
        <v>5</v>
      </c>
      <c r="AI25" s="37" t="s">
        <v>151</v>
      </c>
      <c r="AJ25" s="40">
        <f t="shared" si="3"/>
        <v>1000</v>
      </c>
      <c r="AK25" s="40">
        <f t="shared" si="3"/>
        <v>1000</v>
      </c>
      <c r="AL25" s="40">
        <f t="shared" si="4"/>
        <v>1130</v>
      </c>
      <c r="AM25" s="26">
        <f t="shared" si="5"/>
        <v>1130000000</v>
      </c>
      <c r="AN25" s="37" t="s">
        <v>152</v>
      </c>
      <c r="AO25" s="37" t="s">
        <v>153</v>
      </c>
      <c r="AP25" s="35"/>
      <c r="AQ25" s="35"/>
      <c r="AR25" s="37"/>
      <c r="AS25" s="35"/>
      <c r="AT25" s="37">
        <v>197</v>
      </c>
      <c r="AU25" s="41">
        <f t="shared" si="0"/>
        <v>4.55464</v>
      </c>
      <c r="AV25" s="42">
        <f t="shared" si="1"/>
        <v>1970</v>
      </c>
      <c r="AW25" s="36" t="s">
        <v>158</v>
      </c>
    </row>
    <row r="26" spans="1:49" hidden="1" x14ac:dyDescent="0.2">
      <c r="A26" s="35" t="s">
        <v>140</v>
      </c>
      <c r="B26" s="35" t="s">
        <v>141</v>
      </c>
      <c r="C26" s="67" t="s">
        <v>358</v>
      </c>
      <c r="D26" s="37"/>
      <c r="E26" s="35"/>
      <c r="F26" s="37"/>
      <c r="G26" s="35" t="s">
        <v>142</v>
      </c>
      <c r="H26" s="37" t="s">
        <v>143</v>
      </c>
      <c r="I26" s="35"/>
      <c r="J26" s="37" t="s">
        <v>54</v>
      </c>
      <c r="K26" s="35" t="s">
        <v>144</v>
      </c>
      <c r="L26" s="37" t="s">
        <v>145</v>
      </c>
      <c r="M26" s="37" t="s">
        <v>146</v>
      </c>
      <c r="N26" s="35" t="s">
        <v>147</v>
      </c>
      <c r="O26" s="35" t="s">
        <v>148</v>
      </c>
      <c r="P26" s="37">
        <v>2</v>
      </c>
      <c r="Q26" s="37" t="e">
        <f>VLOOKUP(D26,#REF!,9,FALSE)</f>
        <v>#REF!</v>
      </c>
      <c r="R26" s="37" t="s">
        <v>149</v>
      </c>
      <c r="S26" s="35" t="s">
        <v>184</v>
      </c>
      <c r="T26" s="37">
        <v>340</v>
      </c>
      <c r="U26" s="37">
        <v>340</v>
      </c>
      <c r="V26" s="37">
        <v>250</v>
      </c>
      <c r="W26" s="38">
        <f t="shared" si="7"/>
        <v>28900000</v>
      </c>
      <c r="X26" s="38"/>
      <c r="Y26" s="36">
        <v>3.5</v>
      </c>
      <c r="Z26" s="36">
        <v>2</v>
      </c>
      <c r="AA26" s="39">
        <v>9</v>
      </c>
      <c r="AB26" s="37">
        <v>1000</v>
      </c>
      <c r="AC26" s="35">
        <v>1000</v>
      </c>
      <c r="AD26" s="37">
        <v>130</v>
      </c>
      <c r="AE26" s="35">
        <f t="shared" si="2"/>
        <v>130000000</v>
      </c>
      <c r="AF26" s="37">
        <v>13</v>
      </c>
      <c r="AG26" s="37">
        <v>9</v>
      </c>
      <c r="AH26" s="37">
        <v>5</v>
      </c>
      <c r="AI26" s="37" t="s">
        <v>151</v>
      </c>
      <c r="AJ26" s="40">
        <f t="shared" si="3"/>
        <v>1000</v>
      </c>
      <c r="AK26" s="40">
        <f t="shared" si="3"/>
        <v>1000</v>
      </c>
      <c r="AL26" s="40">
        <f t="shared" si="4"/>
        <v>1380</v>
      </c>
      <c r="AM26" s="26">
        <f t="shared" si="5"/>
        <v>1380000000</v>
      </c>
      <c r="AN26" s="37" t="s">
        <v>152</v>
      </c>
      <c r="AO26" s="37" t="s">
        <v>153</v>
      </c>
      <c r="AP26" s="35"/>
      <c r="AQ26" s="35"/>
      <c r="AR26" s="37"/>
      <c r="AS26" s="35"/>
      <c r="AT26" s="37">
        <v>151</v>
      </c>
      <c r="AU26" s="41">
        <f t="shared" si="0"/>
        <v>4363900000</v>
      </c>
      <c r="AV26" s="42">
        <f t="shared" si="1"/>
        <v>1359</v>
      </c>
      <c r="AW26" s="36" t="s">
        <v>154</v>
      </c>
    </row>
    <row r="27" spans="1:49" hidden="1" x14ac:dyDescent="0.2">
      <c r="A27" s="35" t="s">
        <v>140</v>
      </c>
      <c r="B27" s="35" t="s">
        <v>141</v>
      </c>
      <c r="C27" s="67" t="s">
        <v>359</v>
      </c>
      <c r="D27" s="37"/>
      <c r="E27" s="35"/>
      <c r="F27" s="37"/>
      <c r="G27" s="35" t="s">
        <v>142</v>
      </c>
      <c r="H27" s="37" t="s">
        <v>143</v>
      </c>
      <c r="I27" s="35"/>
      <c r="J27" s="37" t="s">
        <v>54</v>
      </c>
      <c r="K27" s="35" t="s">
        <v>144</v>
      </c>
      <c r="L27" s="37" t="s">
        <v>145</v>
      </c>
      <c r="M27" s="37" t="s">
        <v>146</v>
      </c>
      <c r="N27" s="35" t="s">
        <v>147</v>
      </c>
      <c r="O27" s="35" t="s">
        <v>148</v>
      </c>
      <c r="P27" s="37">
        <v>2</v>
      </c>
      <c r="Q27" s="37" t="e">
        <f>VLOOKUP(D27,#REF!,9,FALSE)</f>
        <v>#REF!</v>
      </c>
      <c r="R27" s="37" t="s">
        <v>149</v>
      </c>
      <c r="S27" s="35" t="s">
        <v>184</v>
      </c>
      <c r="T27" s="37">
        <v>340</v>
      </c>
      <c r="U27" s="37">
        <v>340</v>
      </c>
      <c r="V27" s="37">
        <v>250</v>
      </c>
      <c r="W27" s="38">
        <f t="shared" si="7"/>
        <v>28900000</v>
      </c>
      <c r="X27" s="38"/>
      <c r="Y27" s="36">
        <v>3.5</v>
      </c>
      <c r="Z27" s="36">
        <v>2</v>
      </c>
      <c r="AA27" s="39">
        <v>9</v>
      </c>
      <c r="AB27" s="37">
        <v>1000</v>
      </c>
      <c r="AC27" s="35">
        <v>1000</v>
      </c>
      <c r="AD27" s="37">
        <v>130</v>
      </c>
      <c r="AE27" s="35">
        <f>AB27*AC27*AD27</f>
        <v>130000000</v>
      </c>
      <c r="AF27" s="37">
        <v>13</v>
      </c>
      <c r="AG27" s="37">
        <v>9</v>
      </c>
      <c r="AH27" s="37">
        <v>5</v>
      </c>
      <c r="AI27" s="37" t="s">
        <v>151</v>
      </c>
      <c r="AJ27" s="40">
        <f t="shared" si="3"/>
        <v>1000</v>
      </c>
      <c r="AK27" s="40">
        <f t="shared" si="3"/>
        <v>1000</v>
      </c>
      <c r="AL27" s="40">
        <f t="shared" si="4"/>
        <v>1380</v>
      </c>
      <c r="AM27" s="26">
        <f t="shared" si="5"/>
        <v>1380000000</v>
      </c>
      <c r="AN27" s="37" t="s">
        <v>152</v>
      </c>
      <c r="AO27" s="37" t="s">
        <v>153</v>
      </c>
      <c r="AP27" s="35"/>
      <c r="AQ27" s="35"/>
      <c r="AR27" s="37"/>
      <c r="AS27" s="35"/>
      <c r="AT27" s="37">
        <v>142</v>
      </c>
      <c r="AU27" s="41">
        <f t="shared" si="0"/>
        <v>4103800000</v>
      </c>
      <c r="AV27" s="42">
        <f t="shared" si="1"/>
        <v>1278</v>
      </c>
      <c r="AW27" s="36" t="s">
        <v>154</v>
      </c>
    </row>
    <row r="28" spans="1:49" hidden="1" x14ac:dyDescent="0.2">
      <c r="A28" s="35" t="s">
        <v>140</v>
      </c>
      <c r="B28" s="35" t="s">
        <v>141</v>
      </c>
      <c r="C28" s="67" t="s">
        <v>360</v>
      </c>
      <c r="D28" s="37"/>
      <c r="E28" s="35"/>
      <c r="F28" s="37"/>
      <c r="G28" s="35" t="s">
        <v>142</v>
      </c>
      <c r="H28" s="37" t="s">
        <v>143</v>
      </c>
      <c r="I28" s="35"/>
      <c r="J28" s="37" t="s">
        <v>54</v>
      </c>
      <c r="K28" s="35" t="s">
        <v>144</v>
      </c>
      <c r="L28" s="37" t="s">
        <v>145</v>
      </c>
      <c r="M28" s="37" t="s">
        <v>165</v>
      </c>
      <c r="N28" s="35" t="s">
        <v>166</v>
      </c>
      <c r="O28" s="35" t="s">
        <v>167</v>
      </c>
      <c r="P28" s="37">
        <v>8</v>
      </c>
      <c r="Q28" s="37" t="e">
        <f>VLOOKUP(D28,#REF!,9,FALSE)</f>
        <v>#REF!</v>
      </c>
      <c r="R28" s="37" t="s">
        <v>149</v>
      </c>
      <c r="S28" s="35" t="s">
        <v>182</v>
      </c>
      <c r="T28" s="37">
        <v>335</v>
      </c>
      <c r="U28" s="37">
        <v>335</v>
      </c>
      <c r="V28" s="37">
        <v>210</v>
      </c>
      <c r="W28" s="38">
        <f t="shared" si="7"/>
        <v>23567250</v>
      </c>
      <c r="X28" s="38"/>
      <c r="Y28" s="36">
        <v>0.49</v>
      </c>
      <c r="Z28" s="36">
        <v>2.35</v>
      </c>
      <c r="AA28" s="39">
        <v>6.27</v>
      </c>
      <c r="AB28" s="37">
        <v>1000</v>
      </c>
      <c r="AC28" s="35">
        <v>1000</v>
      </c>
      <c r="AD28" s="36">
        <v>130</v>
      </c>
      <c r="AE28" s="35">
        <f t="shared" ref="AE28:AE91" si="8">AB28*AC28*AD28</f>
        <v>130000000</v>
      </c>
      <c r="AF28" s="37">
        <v>13</v>
      </c>
      <c r="AG28" s="37">
        <v>9</v>
      </c>
      <c r="AH28" s="37">
        <v>4</v>
      </c>
      <c r="AI28" s="37" t="s">
        <v>180</v>
      </c>
      <c r="AJ28" s="40">
        <f t="shared" si="3"/>
        <v>1000</v>
      </c>
      <c r="AK28" s="40">
        <f t="shared" si="3"/>
        <v>1000</v>
      </c>
      <c r="AL28" s="40">
        <f t="shared" si="4"/>
        <v>970</v>
      </c>
      <c r="AM28" s="26">
        <f t="shared" si="5"/>
        <v>970000000</v>
      </c>
      <c r="AN28" s="37" t="s">
        <v>152</v>
      </c>
      <c r="AO28" s="37" t="s">
        <v>153</v>
      </c>
      <c r="AP28" s="35"/>
      <c r="AQ28" s="35"/>
      <c r="AR28" s="37"/>
      <c r="AS28" s="35"/>
      <c r="AT28" s="37">
        <v>1872</v>
      </c>
      <c r="AU28" s="41">
        <f t="shared" si="0"/>
        <v>44117892000</v>
      </c>
      <c r="AV28" s="42">
        <f t="shared" si="1"/>
        <v>11737.439999999999</v>
      </c>
      <c r="AW28" s="36" t="s">
        <v>168</v>
      </c>
    </row>
    <row r="29" spans="1:49" hidden="1" x14ac:dyDescent="0.2">
      <c r="A29" s="35" t="s">
        <v>140</v>
      </c>
      <c r="B29" s="35" t="s">
        <v>141</v>
      </c>
      <c r="C29" s="67" t="s">
        <v>361</v>
      </c>
      <c r="D29" s="37"/>
      <c r="E29" s="35"/>
      <c r="F29" s="37"/>
      <c r="G29" s="35" t="s">
        <v>142</v>
      </c>
      <c r="H29" s="37" t="s">
        <v>143</v>
      </c>
      <c r="I29" s="35"/>
      <c r="J29" s="37" t="s">
        <v>54</v>
      </c>
      <c r="K29" s="35" t="s">
        <v>144</v>
      </c>
      <c r="L29" s="37" t="s">
        <v>145</v>
      </c>
      <c r="M29" s="37" t="s">
        <v>165</v>
      </c>
      <c r="N29" s="35" t="s">
        <v>166</v>
      </c>
      <c r="O29" s="35" t="s">
        <v>167</v>
      </c>
      <c r="P29" s="37">
        <v>5</v>
      </c>
      <c r="Q29" s="37" t="e">
        <f>VLOOKUP(D29,#REF!,9,FALSE)</f>
        <v>#REF!</v>
      </c>
      <c r="R29" s="37" t="s">
        <v>149</v>
      </c>
      <c r="S29" s="35" t="s">
        <v>183</v>
      </c>
      <c r="T29" s="37">
        <v>340</v>
      </c>
      <c r="U29" s="37">
        <v>340</v>
      </c>
      <c r="V29" s="37">
        <v>115</v>
      </c>
      <c r="W29" s="38">
        <f t="shared" si="7"/>
        <v>13294000</v>
      </c>
      <c r="X29" s="38"/>
      <c r="Y29" s="36">
        <v>0.59199999999999997</v>
      </c>
      <c r="Z29" s="36">
        <v>1.2</v>
      </c>
      <c r="AA29" s="39">
        <v>4.16</v>
      </c>
      <c r="AB29" s="37">
        <v>1000</v>
      </c>
      <c r="AC29" s="35">
        <v>1000</v>
      </c>
      <c r="AD29" s="36">
        <v>130</v>
      </c>
      <c r="AE29" s="35">
        <f t="shared" si="8"/>
        <v>130000000</v>
      </c>
      <c r="AF29" s="37">
        <v>13</v>
      </c>
      <c r="AG29" s="37">
        <v>9</v>
      </c>
      <c r="AH29" s="37">
        <v>8</v>
      </c>
      <c r="AI29" s="37" t="s">
        <v>180</v>
      </c>
      <c r="AJ29" s="40">
        <f t="shared" si="3"/>
        <v>1000</v>
      </c>
      <c r="AK29" s="40">
        <f t="shared" si="3"/>
        <v>1000</v>
      </c>
      <c r="AL29" s="40">
        <f t="shared" si="4"/>
        <v>1050</v>
      </c>
      <c r="AM29" s="26">
        <f t="shared" si="5"/>
        <v>1050000000</v>
      </c>
      <c r="AN29" s="37" t="s">
        <v>152</v>
      </c>
      <c r="AO29" s="37" t="s">
        <v>153</v>
      </c>
      <c r="AP29" s="35"/>
      <c r="AQ29" s="35"/>
      <c r="AR29" s="37"/>
      <c r="AS29" s="35"/>
      <c r="AT29" s="37">
        <v>504</v>
      </c>
      <c r="AU29" s="41">
        <f t="shared" si="0"/>
        <v>6700176000</v>
      </c>
      <c r="AV29" s="42">
        <f t="shared" si="1"/>
        <v>2096.64</v>
      </c>
      <c r="AW29" s="36" t="s">
        <v>168</v>
      </c>
    </row>
    <row r="30" spans="1:49" hidden="1" x14ac:dyDescent="0.2">
      <c r="A30" s="35" t="s">
        <v>140</v>
      </c>
      <c r="B30" s="35" t="s">
        <v>141</v>
      </c>
      <c r="C30" s="67" t="s">
        <v>362</v>
      </c>
      <c r="D30" s="37"/>
      <c r="E30" s="35"/>
      <c r="F30" s="37"/>
      <c r="G30" s="35" t="s">
        <v>142</v>
      </c>
      <c r="H30" s="37" t="s">
        <v>143</v>
      </c>
      <c r="I30" s="35"/>
      <c r="J30" s="37" t="s">
        <v>54</v>
      </c>
      <c r="K30" s="35" t="s">
        <v>144</v>
      </c>
      <c r="L30" s="37" t="s">
        <v>145</v>
      </c>
      <c r="M30" s="37" t="s">
        <v>165</v>
      </c>
      <c r="N30" s="35" t="s">
        <v>166</v>
      </c>
      <c r="O30" s="35" t="s">
        <v>167</v>
      </c>
      <c r="P30" s="37">
        <v>5</v>
      </c>
      <c r="Q30" s="37" t="e">
        <f>VLOOKUP(D30,#REF!,9,FALSE)</f>
        <v>#REF!</v>
      </c>
      <c r="R30" s="37" t="s">
        <v>149</v>
      </c>
      <c r="S30" s="35" t="s">
        <v>183</v>
      </c>
      <c r="T30" s="37">
        <v>340</v>
      </c>
      <c r="U30" s="37">
        <v>340</v>
      </c>
      <c r="V30" s="37">
        <v>120</v>
      </c>
      <c r="W30" s="38">
        <f t="shared" si="7"/>
        <v>13872000</v>
      </c>
      <c r="X30" s="38"/>
      <c r="Y30" s="36">
        <v>0.59199999999999997</v>
      </c>
      <c r="Z30" s="36">
        <v>1.2</v>
      </c>
      <c r="AA30" s="39">
        <v>4.16</v>
      </c>
      <c r="AB30" s="37">
        <v>1000</v>
      </c>
      <c r="AC30" s="35">
        <v>1000</v>
      </c>
      <c r="AD30" s="36">
        <v>130</v>
      </c>
      <c r="AE30" s="35">
        <f t="shared" si="8"/>
        <v>130000000</v>
      </c>
      <c r="AF30" s="37">
        <v>13</v>
      </c>
      <c r="AG30" s="37">
        <v>9</v>
      </c>
      <c r="AH30" s="37">
        <v>8</v>
      </c>
      <c r="AI30" s="37" t="s">
        <v>151</v>
      </c>
      <c r="AJ30" s="40">
        <f t="shared" si="3"/>
        <v>1000</v>
      </c>
      <c r="AK30" s="40">
        <f t="shared" si="3"/>
        <v>1000</v>
      </c>
      <c r="AL30" s="40">
        <f t="shared" si="4"/>
        <v>1090</v>
      </c>
      <c r="AM30" s="26">
        <f t="shared" si="5"/>
        <v>1090000000</v>
      </c>
      <c r="AN30" s="37" t="s">
        <v>152</v>
      </c>
      <c r="AO30" s="37" t="s">
        <v>153</v>
      </c>
      <c r="AP30" s="35"/>
      <c r="AQ30" s="35"/>
      <c r="AR30" s="37"/>
      <c r="AS30" s="35"/>
      <c r="AT30" s="37">
        <v>23</v>
      </c>
      <c r="AU30" s="41">
        <f t="shared" si="0"/>
        <v>319056000</v>
      </c>
      <c r="AV30" s="42">
        <f t="shared" si="1"/>
        <v>95.68</v>
      </c>
      <c r="AW30" s="36" t="s">
        <v>168</v>
      </c>
    </row>
    <row r="31" spans="1:49" hidden="1" x14ac:dyDescent="0.2">
      <c r="A31" s="35" t="s">
        <v>185</v>
      </c>
      <c r="B31" s="35" t="s">
        <v>186</v>
      </c>
      <c r="C31" s="67" t="s">
        <v>363</v>
      </c>
      <c r="D31" s="37"/>
      <c r="E31" s="35"/>
      <c r="F31" s="37"/>
      <c r="G31" s="35" t="s">
        <v>142</v>
      </c>
      <c r="H31" s="37">
        <v>6</v>
      </c>
      <c r="I31" s="35"/>
      <c r="J31" s="37" t="s">
        <v>54</v>
      </c>
      <c r="K31" s="35" t="s">
        <v>144</v>
      </c>
      <c r="L31" s="37" t="s">
        <v>145</v>
      </c>
      <c r="M31" s="37" t="s">
        <v>165</v>
      </c>
      <c r="N31" s="35" t="s">
        <v>166</v>
      </c>
      <c r="O31" s="35" t="s">
        <v>167</v>
      </c>
      <c r="P31" s="37">
        <v>5</v>
      </c>
      <c r="Q31" s="37" t="e">
        <f>VLOOKUP(D31,#REF!,9,FALSE)</f>
        <v>#REF!</v>
      </c>
      <c r="R31" s="37" t="s">
        <v>149</v>
      </c>
      <c r="S31" s="35" t="s">
        <v>183</v>
      </c>
      <c r="T31" s="37">
        <v>340</v>
      </c>
      <c r="U31" s="37">
        <v>340</v>
      </c>
      <c r="V31" s="37">
        <v>120</v>
      </c>
      <c r="W31" s="38">
        <f t="shared" si="7"/>
        <v>13872000</v>
      </c>
      <c r="X31" s="38"/>
      <c r="Y31" s="36">
        <v>0.56299999999999994</v>
      </c>
      <c r="Z31" s="36">
        <v>1.2</v>
      </c>
      <c r="AA31" s="39">
        <v>4.0149999999999997</v>
      </c>
      <c r="AB31" s="37">
        <v>1000</v>
      </c>
      <c r="AC31" s="35">
        <v>1000</v>
      </c>
      <c r="AD31" s="36">
        <v>130</v>
      </c>
      <c r="AE31" s="35">
        <f t="shared" si="8"/>
        <v>130000000</v>
      </c>
      <c r="AF31" s="37">
        <v>13</v>
      </c>
      <c r="AG31" s="37">
        <v>9</v>
      </c>
      <c r="AH31" s="37">
        <v>8</v>
      </c>
      <c r="AI31" s="37" t="s">
        <v>180</v>
      </c>
      <c r="AJ31" s="40">
        <f t="shared" si="3"/>
        <v>1000</v>
      </c>
      <c r="AK31" s="40">
        <f t="shared" si="3"/>
        <v>1000</v>
      </c>
      <c r="AL31" s="40">
        <f t="shared" si="4"/>
        <v>1090</v>
      </c>
      <c r="AM31" s="26">
        <f t="shared" si="5"/>
        <v>1090000000</v>
      </c>
      <c r="AN31" s="37" t="s">
        <v>152</v>
      </c>
      <c r="AO31" s="37" t="s">
        <v>153</v>
      </c>
      <c r="AP31" s="35"/>
      <c r="AQ31" s="35"/>
      <c r="AR31" s="37"/>
      <c r="AS31" s="35"/>
      <c r="AT31" s="37">
        <v>1944</v>
      </c>
      <c r="AU31" s="41">
        <f t="shared" si="0"/>
        <v>26967168000</v>
      </c>
      <c r="AV31" s="42">
        <f t="shared" si="1"/>
        <v>7805.1599999999989</v>
      </c>
      <c r="AW31" s="36" t="s">
        <v>168</v>
      </c>
    </row>
    <row r="32" spans="1:49" x14ac:dyDescent="0.2">
      <c r="A32" s="35" t="s">
        <v>140</v>
      </c>
      <c r="B32" s="35" t="s">
        <v>141</v>
      </c>
      <c r="C32" s="37" t="s">
        <v>323</v>
      </c>
      <c r="D32" s="37"/>
      <c r="E32" s="35"/>
      <c r="F32" s="37"/>
      <c r="G32" s="35" t="s">
        <v>142</v>
      </c>
      <c r="H32" s="37" t="s">
        <v>177</v>
      </c>
      <c r="I32" s="35"/>
      <c r="J32" s="37" t="s">
        <v>54</v>
      </c>
      <c r="K32" s="35" t="s">
        <v>178</v>
      </c>
      <c r="L32" s="37" t="s">
        <v>145</v>
      </c>
      <c r="M32" s="37" t="s">
        <v>187</v>
      </c>
      <c r="N32" s="35" t="s">
        <v>156</v>
      </c>
      <c r="O32" s="35" t="s">
        <v>156</v>
      </c>
      <c r="P32" s="37">
        <v>2</v>
      </c>
      <c r="Q32" s="37" t="e">
        <f>VLOOKUP(D32,#REF!,9,FALSE)</f>
        <v>#REF!</v>
      </c>
      <c r="R32" s="37" t="s">
        <v>149</v>
      </c>
      <c r="S32" s="35" t="s">
        <v>188</v>
      </c>
      <c r="T32" s="37">
        <v>510</v>
      </c>
      <c r="U32" s="37">
        <v>340</v>
      </c>
      <c r="V32" s="37">
        <v>400</v>
      </c>
      <c r="W32" s="38">
        <f t="shared" ref="W32:W33" si="9">T32/1000*U32/1000*V32/1000</f>
        <v>6.9360000000000005E-2</v>
      </c>
      <c r="X32" s="38"/>
      <c r="Y32" s="36">
        <v>2.66</v>
      </c>
      <c r="Z32" s="36">
        <v>4.0999999999999996</v>
      </c>
      <c r="AA32" s="39">
        <v>9.42</v>
      </c>
      <c r="AB32" s="37">
        <v>1000</v>
      </c>
      <c r="AC32" s="35">
        <v>1000</v>
      </c>
      <c r="AD32" s="36">
        <v>130</v>
      </c>
      <c r="AE32" s="35">
        <f t="shared" si="8"/>
        <v>130000000</v>
      </c>
      <c r="AF32" s="37">
        <v>13</v>
      </c>
      <c r="AG32" s="37">
        <v>6</v>
      </c>
      <c r="AH32" s="37">
        <v>3</v>
      </c>
      <c r="AI32" s="37" t="s">
        <v>180</v>
      </c>
      <c r="AJ32" s="40">
        <f t="shared" si="3"/>
        <v>1000</v>
      </c>
      <c r="AK32" s="40">
        <f t="shared" si="3"/>
        <v>1000</v>
      </c>
      <c r="AL32" s="40">
        <f t="shared" si="4"/>
        <v>1330</v>
      </c>
      <c r="AM32" s="26">
        <f t="shared" si="5"/>
        <v>1330000000</v>
      </c>
      <c r="AN32" s="37" t="s">
        <v>152</v>
      </c>
      <c r="AO32" s="37" t="s">
        <v>153</v>
      </c>
      <c r="AP32" s="35"/>
      <c r="AQ32" s="35"/>
      <c r="AR32" s="37"/>
      <c r="AS32" s="35"/>
      <c r="AT32" s="37">
        <v>900</v>
      </c>
      <c r="AU32" s="41">
        <f t="shared" si="0"/>
        <v>62.424000000000007</v>
      </c>
      <c r="AV32" s="42">
        <f t="shared" si="1"/>
        <v>8478</v>
      </c>
      <c r="AW32" s="36" t="s">
        <v>189</v>
      </c>
    </row>
    <row r="33" spans="1:49" x14ac:dyDescent="0.2">
      <c r="A33" s="35" t="s">
        <v>140</v>
      </c>
      <c r="B33" s="35" t="s">
        <v>141</v>
      </c>
      <c r="C33" s="37" t="s">
        <v>324</v>
      </c>
      <c r="D33" s="37"/>
      <c r="E33" s="35"/>
      <c r="F33" s="37"/>
      <c r="G33" s="35" t="s">
        <v>142</v>
      </c>
      <c r="H33" s="37" t="s">
        <v>177</v>
      </c>
      <c r="I33" s="35"/>
      <c r="J33" s="37" t="s">
        <v>54</v>
      </c>
      <c r="K33" s="35" t="s">
        <v>178</v>
      </c>
      <c r="L33" s="37" t="s">
        <v>145</v>
      </c>
      <c r="M33" s="37" t="s">
        <v>187</v>
      </c>
      <c r="N33" s="35" t="s">
        <v>156</v>
      </c>
      <c r="O33" s="35" t="s">
        <v>156</v>
      </c>
      <c r="P33" s="37">
        <v>2</v>
      </c>
      <c r="Q33" s="37" t="e">
        <f>VLOOKUP(D33,#REF!,9,FALSE)</f>
        <v>#REF!</v>
      </c>
      <c r="R33" s="37" t="s">
        <v>149</v>
      </c>
      <c r="S33" s="35" t="s">
        <v>188</v>
      </c>
      <c r="T33" s="37">
        <v>510</v>
      </c>
      <c r="U33" s="37">
        <v>340</v>
      </c>
      <c r="V33" s="37">
        <v>300</v>
      </c>
      <c r="W33" s="38">
        <f t="shared" si="9"/>
        <v>5.2019999999999997E-2</v>
      </c>
      <c r="X33" s="38"/>
      <c r="Y33" s="36">
        <v>2.5</v>
      </c>
      <c r="Z33" s="36">
        <v>5</v>
      </c>
      <c r="AA33" s="39">
        <v>10</v>
      </c>
      <c r="AB33" s="37">
        <v>1000</v>
      </c>
      <c r="AC33" s="35">
        <v>1000</v>
      </c>
      <c r="AD33" s="36">
        <v>130</v>
      </c>
      <c r="AE33" s="35">
        <f t="shared" si="8"/>
        <v>130000000</v>
      </c>
      <c r="AF33" s="37">
        <v>13</v>
      </c>
      <c r="AG33" s="37">
        <v>6</v>
      </c>
      <c r="AH33" s="37">
        <v>3</v>
      </c>
      <c r="AI33" s="37" t="s">
        <v>180</v>
      </c>
      <c r="AJ33" s="40">
        <f t="shared" si="3"/>
        <v>1000</v>
      </c>
      <c r="AK33" s="40">
        <f t="shared" si="3"/>
        <v>1000</v>
      </c>
      <c r="AL33" s="40">
        <f t="shared" si="4"/>
        <v>1030</v>
      </c>
      <c r="AM33" s="26">
        <f t="shared" si="5"/>
        <v>1030000000</v>
      </c>
      <c r="AN33" s="37" t="s">
        <v>152</v>
      </c>
      <c r="AO33" s="37" t="s">
        <v>153</v>
      </c>
      <c r="AP33" s="35"/>
      <c r="AQ33" s="35"/>
      <c r="AR33" s="37"/>
      <c r="AS33" s="35"/>
      <c r="AT33" s="37">
        <v>41</v>
      </c>
      <c r="AU33" s="41">
        <f t="shared" si="0"/>
        <v>2.1328199999999997</v>
      </c>
      <c r="AV33" s="42">
        <f t="shared" si="1"/>
        <v>410</v>
      </c>
      <c r="AW33" s="36" t="s">
        <v>189</v>
      </c>
    </row>
    <row r="34" spans="1:49" hidden="1" x14ac:dyDescent="0.2">
      <c r="A34" s="35" t="s">
        <v>140</v>
      </c>
      <c r="B34" s="35" t="s">
        <v>141</v>
      </c>
      <c r="C34" s="67" t="s">
        <v>364</v>
      </c>
      <c r="D34" s="37"/>
      <c r="E34" s="35"/>
      <c r="F34" s="37"/>
      <c r="G34" s="35" t="s">
        <v>142</v>
      </c>
      <c r="H34" s="37" t="s">
        <v>143</v>
      </c>
      <c r="I34" s="35"/>
      <c r="J34" s="37" t="s">
        <v>54</v>
      </c>
      <c r="K34" s="35" t="s">
        <v>144</v>
      </c>
      <c r="L34" s="37" t="s">
        <v>145</v>
      </c>
      <c r="M34" s="37" t="s">
        <v>72</v>
      </c>
      <c r="N34" s="35" t="s">
        <v>147</v>
      </c>
      <c r="O34" s="35" t="s">
        <v>148</v>
      </c>
      <c r="P34" s="37">
        <v>3</v>
      </c>
      <c r="Q34" s="37" t="e">
        <f>VLOOKUP(D34,#REF!,9,FALSE)</f>
        <v>#REF!</v>
      </c>
      <c r="R34" s="37" t="s">
        <v>149</v>
      </c>
      <c r="S34" s="35" t="s">
        <v>190</v>
      </c>
      <c r="T34" s="37">
        <v>510</v>
      </c>
      <c r="U34" s="37">
        <v>340</v>
      </c>
      <c r="V34" s="37">
        <v>380</v>
      </c>
      <c r="W34" s="38">
        <f t="shared" si="7"/>
        <v>65892000</v>
      </c>
      <c r="X34" s="38"/>
      <c r="Y34" s="36">
        <v>2.4500000000000002</v>
      </c>
      <c r="Z34" s="36">
        <v>5.29</v>
      </c>
      <c r="AA34" s="39">
        <v>12.64</v>
      </c>
      <c r="AB34" s="37">
        <v>1000</v>
      </c>
      <c r="AC34" s="35">
        <v>1000</v>
      </c>
      <c r="AD34" s="36">
        <v>130</v>
      </c>
      <c r="AE34" s="35">
        <f t="shared" si="8"/>
        <v>130000000</v>
      </c>
      <c r="AF34" s="37">
        <v>13</v>
      </c>
      <c r="AG34" s="37">
        <v>6</v>
      </c>
      <c r="AH34" s="37">
        <v>3</v>
      </c>
      <c r="AI34" s="37" t="s">
        <v>151</v>
      </c>
      <c r="AJ34" s="40">
        <f t="shared" si="3"/>
        <v>1000</v>
      </c>
      <c r="AK34" s="40">
        <f t="shared" si="3"/>
        <v>1000</v>
      </c>
      <c r="AL34" s="40">
        <f t="shared" si="4"/>
        <v>1270</v>
      </c>
      <c r="AM34" s="26">
        <f t="shared" si="5"/>
        <v>1270000000</v>
      </c>
      <c r="AN34" s="37" t="s">
        <v>152</v>
      </c>
      <c r="AO34" s="37" t="s">
        <v>153</v>
      </c>
      <c r="AP34" s="35"/>
      <c r="AQ34" s="35"/>
      <c r="AR34" s="37"/>
      <c r="AS34" s="35"/>
      <c r="AT34" s="37">
        <v>380</v>
      </c>
      <c r="AU34" s="41">
        <f t="shared" si="0"/>
        <v>25038960000</v>
      </c>
      <c r="AV34" s="42">
        <f t="shared" si="1"/>
        <v>4803.2</v>
      </c>
      <c r="AW34" s="36" t="s">
        <v>154</v>
      </c>
    </row>
    <row r="35" spans="1:49" x14ac:dyDescent="0.2">
      <c r="A35" s="35" t="s">
        <v>140</v>
      </c>
      <c r="B35" s="35" t="s">
        <v>141</v>
      </c>
      <c r="C35" s="37" t="s">
        <v>325</v>
      </c>
      <c r="D35" s="37"/>
      <c r="E35" s="35"/>
      <c r="F35" s="37"/>
      <c r="G35" s="35" t="s">
        <v>142</v>
      </c>
      <c r="H35" s="37" t="s">
        <v>177</v>
      </c>
      <c r="I35" s="35"/>
      <c r="J35" s="37" t="s">
        <v>54</v>
      </c>
      <c r="K35" s="35" t="s">
        <v>178</v>
      </c>
      <c r="L35" s="37" t="s">
        <v>145</v>
      </c>
      <c r="M35" s="37" t="s">
        <v>12</v>
      </c>
      <c r="N35" s="35" t="s">
        <v>156</v>
      </c>
      <c r="O35" s="35" t="s">
        <v>156</v>
      </c>
      <c r="P35" s="37">
        <v>3</v>
      </c>
      <c r="Q35" s="37" t="e">
        <f>VLOOKUP(D35,#REF!,9,FALSE)</f>
        <v>#REF!</v>
      </c>
      <c r="R35" s="37" t="s">
        <v>149</v>
      </c>
      <c r="S35" s="35" t="s">
        <v>188</v>
      </c>
      <c r="T35" s="37">
        <v>510</v>
      </c>
      <c r="U35" s="37">
        <v>340</v>
      </c>
      <c r="V35" s="37">
        <v>300</v>
      </c>
      <c r="W35" s="38">
        <f t="shared" ref="W35:W36" si="10">T35/1000*U35/1000*V35/1000</f>
        <v>5.2019999999999997E-2</v>
      </c>
      <c r="X35" s="38"/>
      <c r="Y35" s="36">
        <v>1.2</v>
      </c>
      <c r="Z35" s="36">
        <v>5</v>
      </c>
      <c r="AA35" s="39">
        <v>8.6</v>
      </c>
      <c r="AB35" s="37">
        <v>1000</v>
      </c>
      <c r="AC35" s="35">
        <v>1000</v>
      </c>
      <c r="AD35" s="36">
        <v>130</v>
      </c>
      <c r="AE35" s="35">
        <f t="shared" si="8"/>
        <v>130000000</v>
      </c>
      <c r="AF35" s="37">
        <v>13</v>
      </c>
      <c r="AG35" s="37">
        <v>6</v>
      </c>
      <c r="AH35" s="37">
        <v>3</v>
      </c>
      <c r="AI35" s="37" t="s">
        <v>151</v>
      </c>
      <c r="AJ35" s="40">
        <f t="shared" si="3"/>
        <v>1000</v>
      </c>
      <c r="AK35" s="40">
        <f t="shared" si="3"/>
        <v>1000</v>
      </c>
      <c r="AL35" s="40">
        <f t="shared" si="4"/>
        <v>1030</v>
      </c>
      <c r="AM35" s="26">
        <f t="shared" si="5"/>
        <v>1030000000</v>
      </c>
      <c r="AN35" s="37" t="s">
        <v>152</v>
      </c>
      <c r="AO35" s="37" t="s">
        <v>153</v>
      </c>
      <c r="AP35" s="35"/>
      <c r="AQ35" s="35"/>
      <c r="AR35" s="37"/>
      <c r="AS35" s="35"/>
      <c r="AT35" s="37">
        <v>12</v>
      </c>
      <c r="AU35" s="41">
        <f t="shared" si="0"/>
        <v>0.62423999999999991</v>
      </c>
      <c r="AV35" s="42">
        <f t="shared" si="1"/>
        <v>103.19999999999999</v>
      </c>
      <c r="AW35" s="36" t="s">
        <v>158</v>
      </c>
    </row>
    <row r="36" spans="1:49" x14ac:dyDescent="0.2">
      <c r="A36" s="35" t="s">
        <v>140</v>
      </c>
      <c r="B36" s="35" t="s">
        <v>141</v>
      </c>
      <c r="C36" s="37" t="s">
        <v>327</v>
      </c>
      <c r="D36" s="37"/>
      <c r="E36" s="35"/>
      <c r="F36" s="37"/>
      <c r="G36" s="35" t="s">
        <v>142</v>
      </c>
      <c r="H36" s="37" t="s">
        <v>177</v>
      </c>
      <c r="I36" s="35"/>
      <c r="J36" s="37" t="s">
        <v>54</v>
      </c>
      <c r="K36" s="35" t="s">
        <v>178</v>
      </c>
      <c r="L36" s="37" t="s">
        <v>145</v>
      </c>
      <c r="M36" s="37" t="s">
        <v>12</v>
      </c>
      <c r="N36" s="35" t="s">
        <v>156</v>
      </c>
      <c r="O36" s="35" t="s">
        <v>156</v>
      </c>
      <c r="P36" s="37">
        <v>3</v>
      </c>
      <c r="Q36" s="37" t="e">
        <f>VLOOKUP(D36,#REF!,9,FALSE)</f>
        <v>#REF!</v>
      </c>
      <c r="R36" s="37" t="s">
        <v>149</v>
      </c>
      <c r="S36" s="35" t="s">
        <v>188</v>
      </c>
      <c r="T36" s="37">
        <v>510</v>
      </c>
      <c r="U36" s="37">
        <v>340</v>
      </c>
      <c r="V36" s="37">
        <v>300</v>
      </c>
      <c r="W36" s="38">
        <f t="shared" si="10"/>
        <v>5.2019999999999997E-2</v>
      </c>
      <c r="X36" s="38"/>
      <c r="Y36" s="36">
        <v>2.5</v>
      </c>
      <c r="Z36" s="36">
        <v>5</v>
      </c>
      <c r="AA36" s="39">
        <v>12.5</v>
      </c>
      <c r="AB36" s="37">
        <v>1000</v>
      </c>
      <c r="AC36" s="35">
        <v>1000</v>
      </c>
      <c r="AD36" s="36">
        <v>130</v>
      </c>
      <c r="AE36" s="35">
        <f t="shared" si="8"/>
        <v>130000000</v>
      </c>
      <c r="AF36" s="37">
        <v>13</v>
      </c>
      <c r="AG36" s="37">
        <v>6</v>
      </c>
      <c r="AH36" s="37">
        <v>3</v>
      </c>
      <c r="AI36" s="37" t="s">
        <v>151</v>
      </c>
      <c r="AJ36" s="40">
        <f t="shared" si="3"/>
        <v>1000</v>
      </c>
      <c r="AK36" s="40">
        <f t="shared" si="3"/>
        <v>1000</v>
      </c>
      <c r="AL36" s="40">
        <f t="shared" si="4"/>
        <v>1030</v>
      </c>
      <c r="AM36" s="26">
        <f t="shared" si="5"/>
        <v>1030000000</v>
      </c>
      <c r="AN36" s="37" t="s">
        <v>152</v>
      </c>
      <c r="AO36" s="37" t="s">
        <v>153</v>
      </c>
      <c r="AP36" s="35"/>
      <c r="AQ36" s="35"/>
      <c r="AR36" s="37"/>
      <c r="AS36" s="35"/>
      <c r="AT36" s="37">
        <v>28</v>
      </c>
      <c r="AU36" s="41">
        <f t="shared" si="0"/>
        <v>1.4565599999999999</v>
      </c>
      <c r="AV36" s="42">
        <f t="shared" si="1"/>
        <v>350</v>
      </c>
      <c r="AW36" s="36" t="s">
        <v>158</v>
      </c>
    </row>
    <row r="37" spans="1:49" hidden="1" x14ac:dyDescent="0.2">
      <c r="A37" s="35" t="s">
        <v>140</v>
      </c>
      <c r="B37" s="35" t="s">
        <v>141</v>
      </c>
      <c r="C37" s="67" t="s">
        <v>365</v>
      </c>
      <c r="D37" s="37"/>
      <c r="E37" s="35"/>
      <c r="F37" s="37"/>
      <c r="G37" s="35" t="s">
        <v>142</v>
      </c>
      <c r="H37" s="37" t="s">
        <v>143</v>
      </c>
      <c r="I37" s="35"/>
      <c r="J37" s="37" t="s">
        <v>54</v>
      </c>
      <c r="K37" s="35" t="s">
        <v>144</v>
      </c>
      <c r="L37" s="37" t="s">
        <v>145</v>
      </c>
      <c r="M37" s="37" t="s">
        <v>7</v>
      </c>
      <c r="N37" s="35" t="s">
        <v>171</v>
      </c>
      <c r="O37" s="35" t="s">
        <v>172</v>
      </c>
      <c r="P37" s="37">
        <v>3</v>
      </c>
      <c r="Q37" s="37" t="e">
        <f>VLOOKUP(D37,#REF!,9,FALSE)</f>
        <v>#REF!</v>
      </c>
      <c r="R37" s="37" t="s">
        <v>149</v>
      </c>
      <c r="S37" s="35" t="s">
        <v>190</v>
      </c>
      <c r="T37" s="37">
        <v>510</v>
      </c>
      <c r="U37" s="37">
        <v>340</v>
      </c>
      <c r="V37" s="37">
        <v>380</v>
      </c>
      <c r="W37" s="38">
        <f t="shared" si="7"/>
        <v>65892000</v>
      </c>
      <c r="X37" s="38"/>
      <c r="Y37" s="36">
        <v>2.25</v>
      </c>
      <c r="Z37" s="36">
        <v>5</v>
      </c>
      <c r="AA37" s="39">
        <v>11.75</v>
      </c>
      <c r="AB37" s="37">
        <v>1000</v>
      </c>
      <c r="AC37" s="35">
        <v>1000</v>
      </c>
      <c r="AD37" s="36">
        <v>130</v>
      </c>
      <c r="AE37" s="35">
        <f t="shared" si="8"/>
        <v>130000000</v>
      </c>
      <c r="AF37" s="37">
        <v>13</v>
      </c>
      <c r="AG37" s="37">
        <v>6</v>
      </c>
      <c r="AH37" s="37">
        <v>3</v>
      </c>
      <c r="AI37" s="37" t="s">
        <v>151</v>
      </c>
      <c r="AJ37" s="40">
        <f t="shared" si="3"/>
        <v>1000</v>
      </c>
      <c r="AK37" s="40">
        <f t="shared" si="3"/>
        <v>1000</v>
      </c>
      <c r="AL37" s="40">
        <f t="shared" si="4"/>
        <v>1270</v>
      </c>
      <c r="AM37" s="26">
        <f t="shared" si="5"/>
        <v>1270000000</v>
      </c>
      <c r="AN37" s="37" t="s">
        <v>152</v>
      </c>
      <c r="AO37" s="37" t="s">
        <v>153</v>
      </c>
      <c r="AP37" s="35"/>
      <c r="AQ37" s="35"/>
      <c r="AR37" s="37"/>
      <c r="AS37" s="35"/>
      <c r="AT37" s="37">
        <v>237</v>
      </c>
      <c r="AU37" s="41">
        <f t="shared" si="0"/>
        <v>15616404000</v>
      </c>
      <c r="AV37" s="42">
        <f t="shared" si="1"/>
        <v>2784.75</v>
      </c>
      <c r="AW37" s="36" t="s">
        <v>173</v>
      </c>
    </row>
    <row r="38" spans="1:49" x14ac:dyDescent="0.2">
      <c r="A38" s="35" t="s">
        <v>140</v>
      </c>
      <c r="B38" s="35" t="s">
        <v>141</v>
      </c>
      <c r="C38" s="37" t="s">
        <v>328</v>
      </c>
      <c r="D38" s="37"/>
      <c r="E38" s="35"/>
      <c r="F38" s="37"/>
      <c r="G38" s="35" t="s">
        <v>142</v>
      </c>
      <c r="H38" s="37" t="s">
        <v>177</v>
      </c>
      <c r="I38" s="35"/>
      <c r="J38" s="37" t="s">
        <v>54</v>
      </c>
      <c r="K38" s="35" t="s">
        <v>178</v>
      </c>
      <c r="L38" s="37" t="s">
        <v>145</v>
      </c>
      <c r="M38" s="37" t="s">
        <v>187</v>
      </c>
      <c r="N38" s="35" t="s">
        <v>156</v>
      </c>
      <c r="O38" s="35" t="s">
        <v>156</v>
      </c>
      <c r="P38" s="37">
        <v>2</v>
      </c>
      <c r="Q38" s="37" t="e">
        <f>VLOOKUP(D38,#REF!,9,FALSE)</f>
        <v>#REF!</v>
      </c>
      <c r="R38" s="37" t="s">
        <v>149</v>
      </c>
      <c r="S38" s="35" t="s">
        <v>190</v>
      </c>
      <c r="T38" s="37">
        <v>510</v>
      </c>
      <c r="U38" s="37">
        <v>340</v>
      </c>
      <c r="V38" s="37">
        <v>400</v>
      </c>
      <c r="W38" s="38">
        <f t="shared" ref="W38:W40" si="11">T38/1000*U38/1000*V38/1000</f>
        <v>6.9360000000000005E-2</v>
      </c>
      <c r="X38" s="38"/>
      <c r="Y38" s="36">
        <v>2.66</v>
      </c>
      <c r="Z38" s="36">
        <v>4.0999999999999996</v>
      </c>
      <c r="AA38" s="39">
        <v>9.42</v>
      </c>
      <c r="AB38" s="37">
        <v>1000</v>
      </c>
      <c r="AC38" s="35">
        <v>1000</v>
      </c>
      <c r="AD38" s="36">
        <v>130</v>
      </c>
      <c r="AE38" s="35">
        <f t="shared" si="8"/>
        <v>130000000</v>
      </c>
      <c r="AF38" s="37">
        <v>13</v>
      </c>
      <c r="AG38" s="37">
        <v>6</v>
      </c>
      <c r="AH38" s="37">
        <v>3</v>
      </c>
      <c r="AI38" s="37" t="s">
        <v>180</v>
      </c>
      <c r="AJ38" s="40">
        <f t="shared" si="3"/>
        <v>1000</v>
      </c>
      <c r="AK38" s="40">
        <f t="shared" si="3"/>
        <v>1000</v>
      </c>
      <c r="AL38" s="40">
        <f t="shared" si="4"/>
        <v>1330</v>
      </c>
      <c r="AM38" s="26">
        <f t="shared" si="5"/>
        <v>1330000000</v>
      </c>
      <c r="AN38" s="37" t="s">
        <v>152</v>
      </c>
      <c r="AO38" s="37" t="s">
        <v>153</v>
      </c>
      <c r="AP38" s="35"/>
      <c r="AQ38" s="35"/>
      <c r="AR38" s="37"/>
      <c r="AS38" s="35"/>
      <c r="AT38" s="37">
        <v>1404</v>
      </c>
      <c r="AU38" s="41">
        <f t="shared" si="0"/>
        <v>97.381440000000012</v>
      </c>
      <c r="AV38" s="42">
        <f t="shared" si="1"/>
        <v>13225.68</v>
      </c>
      <c r="AW38" s="36" t="s">
        <v>189</v>
      </c>
    </row>
    <row r="39" spans="1:49" x14ac:dyDescent="0.2">
      <c r="A39" s="35" t="s">
        <v>140</v>
      </c>
      <c r="B39" s="35" t="s">
        <v>141</v>
      </c>
      <c r="C39" s="37" t="s">
        <v>329</v>
      </c>
      <c r="D39" s="37"/>
      <c r="E39" s="35"/>
      <c r="F39" s="37"/>
      <c r="G39" s="35" t="s">
        <v>142</v>
      </c>
      <c r="H39" s="37" t="s">
        <v>177</v>
      </c>
      <c r="I39" s="35"/>
      <c r="J39" s="37" t="s">
        <v>54</v>
      </c>
      <c r="K39" s="35" t="s">
        <v>178</v>
      </c>
      <c r="L39" s="37" t="s">
        <v>145</v>
      </c>
      <c r="M39" s="37" t="s">
        <v>187</v>
      </c>
      <c r="N39" s="35" t="s">
        <v>156</v>
      </c>
      <c r="O39" s="35" t="s">
        <v>156</v>
      </c>
      <c r="P39" s="37">
        <v>2</v>
      </c>
      <c r="Q39" s="37" t="e">
        <f>VLOOKUP(D39,#REF!,9,FALSE)</f>
        <v>#REF!</v>
      </c>
      <c r="R39" s="37" t="s">
        <v>149</v>
      </c>
      <c r="S39" s="35" t="s">
        <v>190</v>
      </c>
      <c r="T39" s="37">
        <v>510</v>
      </c>
      <c r="U39" s="37">
        <v>340</v>
      </c>
      <c r="V39" s="37">
        <v>400</v>
      </c>
      <c r="W39" s="38">
        <f t="shared" si="11"/>
        <v>6.9360000000000005E-2</v>
      </c>
      <c r="X39" s="38"/>
      <c r="Y39" s="36">
        <v>2.66</v>
      </c>
      <c r="Z39" s="36">
        <v>4.0999999999999996</v>
      </c>
      <c r="AA39" s="39">
        <v>9.42</v>
      </c>
      <c r="AB39" s="37">
        <v>1000</v>
      </c>
      <c r="AC39" s="35">
        <v>1000</v>
      </c>
      <c r="AD39" s="36">
        <v>130</v>
      </c>
      <c r="AE39" s="35">
        <f t="shared" si="8"/>
        <v>130000000</v>
      </c>
      <c r="AF39" s="37">
        <v>13</v>
      </c>
      <c r="AG39" s="37">
        <v>6</v>
      </c>
      <c r="AH39" s="37">
        <v>3</v>
      </c>
      <c r="AI39" s="37" t="s">
        <v>180</v>
      </c>
      <c r="AJ39" s="40">
        <f t="shared" si="3"/>
        <v>1000</v>
      </c>
      <c r="AK39" s="40">
        <f t="shared" si="3"/>
        <v>1000</v>
      </c>
      <c r="AL39" s="40">
        <f t="shared" si="4"/>
        <v>1330</v>
      </c>
      <c r="AM39" s="26">
        <f t="shared" si="5"/>
        <v>1330000000</v>
      </c>
      <c r="AN39" s="37" t="s">
        <v>152</v>
      </c>
      <c r="AO39" s="37" t="s">
        <v>153</v>
      </c>
      <c r="AP39" s="35"/>
      <c r="AQ39" s="35"/>
      <c r="AR39" s="37"/>
      <c r="AS39" s="35"/>
      <c r="AT39" s="37">
        <v>126</v>
      </c>
      <c r="AU39" s="41">
        <f t="shared" si="0"/>
        <v>8.7393600000000013</v>
      </c>
      <c r="AV39" s="42">
        <f t="shared" si="1"/>
        <v>1186.92</v>
      </c>
      <c r="AW39" s="36" t="s">
        <v>189</v>
      </c>
    </row>
    <row r="40" spans="1:49" x14ac:dyDescent="0.2">
      <c r="A40" s="35" t="s">
        <v>140</v>
      </c>
      <c r="B40" s="35" t="s">
        <v>141</v>
      </c>
      <c r="C40" s="67" t="s">
        <v>366</v>
      </c>
      <c r="D40" s="37"/>
      <c r="E40" s="35"/>
      <c r="F40" s="37"/>
      <c r="G40" s="35" t="s">
        <v>142</v>
      </c>
      <c r="H40" s="37" t="s">
        <v>177</v>
      </c>
      <c r="I40" s="35"/>
      <c r="J40" s="37" t="s">
        <v>54</v>
      </c>
      <c r="K40" s="35" t="s">
        <v>178</v>
      </c>
      <c r="L40" s="37" t="s">
        <v>145</v>
      </c>
      <c r="M40" s="37" t="s">
        <v>60</v>
      </c>
      <c r="N40" s="35" t="s">
        <v>156</v>
      </c>
      <c r="O40" s="35" t="s">
        <v>157</v>
      </c>
      <c r="P40" s="37">
        <v>4</v>
      </c>
      <c r="Q40" s="37" t="e">
        <f>VLOOKUP(D40,#REF!,9,FALSE)</f>
        <v>#REF!</v>
      </c>
      <c r="R40" s="37" t="s">
        <v>149</v>
      </c>
      <c r="S40" s="35" t="s">
        <v>182</v>
      </c>
      <c r="T40" s="37">
        <v>340</v>
      </c>
      <c r="U40" s="37">
        <v>340</v>
      </c>
      <c r="V40" s="37">
        <v>220</v>
      </c>
      <c r="W40" s="38">
        <f t="shared" si="11"/>
        <v>2.5432000000000003E-2</v>
      </c>
      <c r="X40" s="38"/>
      <c r="Y40" s="36">
        <v>1.9950000000000001</v>
      </c>
      <c r="Z40" s="36">
        <v>2.2599999999999998</v>
      </c>
      <c r="AA40" s="39">
        <v>10.24</v>
      </c>
      <c r="AB40" s="37">
        <v>1000</v>
      </c>
      <c r="AC40" s="35">
        <v>1000</v>
      </c>
      <c r="AD40" s="36">
        <v>130</v>
      </c>
      <c r="AE40" s="35">
        <f t="shared" si="8"/>
        <v>130000000</v>
      </c>
      <c r="AF40" s="37">
        <v>13</v>
      </c>
      <c r="AG40" s="37">
        <v>9</v>
      </c>
      <c r="AH40" s="37">
        <v>5</v>
      </c>
      <c r="AI40" s="37" t="s">
        <v>151</v>
      </c>
      <c r="AJ40" s="40">
        <f t="shared" si="3"/>
        <v>1000</v>
      </c>
      <c r="AK40" s="40">
        <f t="shared" si="3"/>
        <v>1000</v>
      </c>
      <c r="AL40" s="40">
        <f t="shared" si="4"/>
        <v>1230</v>
      </c>
      <c r="AM40" s="26">
        <f t="shared" si="5"/>
        <v>1230000000</v>
      </c>
      <c r="AN40" s="37" t="s">
        <v>152</v>
      </c>
      <c r="AO40" s="37" t="s">
        <v>153</v>
      </c>
      <c r="AP40" s="35"/>
      <c r="AQ40" s="35"/>
      <c r="AR40" s="37"/>
      <c r="AS40" s="35"/>
      <c r="AT40" s="37">
        <v>378</v>
      </c>
      <c r="AU40" s="41">
        <f t="shared" si="0"/>
        <v>9.6132960000000018</v>
      </c>
      <c r="AV40" s="42">
        <f t="shared" si="1"/>
        <v>3870.7200000000003</v>
      </c>
      <c r="AW40" s="36" t="s">
        <v>158</v>
      </c>
    </row>
    <row r="41" spans="1:49" hidden="1" x14ac:dyDescent="0.2">
      <c r="A41" s="35" t="s">
        <v>140</v>
      </c>
      <c r="B41" s="35" t="s">
        <v>141</v>
      </c>
      <c r="C41" s="67" t="s">
        <v>367</v>
      </c>
      <c r="D41" s="37"/>
      <c r="E41" s="35"/>
      <c r="F41" s="37"/>
      <c r="G41" s="35" t="s">
        <v>142</v>
      </c>
      <c r="H41" s="37" t="s">
        <v>143</v>
      </c>
      <c r="I41" s="35"/>
      <c r="J41" s="37" t="s">
        <v>54</v>
      </c>
      <c r="K41" s="35" t="s">
        <v>144</v>
      </c>
      <c r="L41" s="37" t="s">
        <v>145</v>
      </c>
      <c r="M41" s="37" t="s">
        <v>8</v>
      </c>
      <c r="N41" s="35" t="s">
        <v>171</v>
      </c>
      <c r="O41" s="35" t="s">
        <v>172</v>
      </c>
      <c r="P41" s="37">
        <v>4</v>
      </c>
      <c r="Q41" s="37" t="e">
        <f>VLOOKUP(D41,#REF!,9,FALSE)</f>
        <v>#REF!</v>
      </c>
      <c r="R41" s="37" t="s">
        <v>149</v>
      </c>
      <c r="S41" s="35" t="s">
        <v>184</v>
      </c>
      <c r="T41" s="37">
        <v>340</v>
      </c>
      <c r="U41" s="37">
        <v>340</v>
      </c>
      <c r="V41" s="37">
        <v>250</v>
      </c>
      <c r="W41" s="38">
        <f t="shared" si="7"/>
        <v>28900000</v>
      </c>
      <c r="X41" s="38"/>
      <c r="Y41" s="36">
        <v>2.4500000000000002</v>
      </c>
      <c r="Z41" s="36">
        <v>3.25</v>
      </c>
      <c r="AA41" s="39">
        <v>13.05</v>
      </c>
      <c r="AB41" s="37">
        <v>1000</v>
      </c>
      <c r="AC41" s="35">
        <v>1000</v>
      </c>
      <c r="AD41" s="36">
        <v>130</v>
      </c>
      <c r="AE41" s="35">
        <f t="shared" si="8"/>
        <v>130000000</v>
      </c>
      <c r="AF41" s="37">
        <v>13</v>
      </c>
      <c r="AG41" s="37">
        <v>9</v>
      </c>
      <c r="AH41" s="37">
        <v>4</v>
      </c>
      <c r="AI41" s="37" t="s">
        <v>180</v>
      </c>
      <c r="AJ41" s="40">
        <f t="shared" si="3"/>
        <v>1000</v>
      </c>
      <c r="AK41" s="40">
        <f t="shared" si="3"/>
        <v>1000</v>
      </c>
      <c r="AL41" s="40">
        <f t="shared" si="4"/>
        <v>1130</v>
      </c>
      <c r="AM41" s="26">
        <f t="shared" si="5"/>
        <v>1130000000</v>
      </c>
      <c r="AN41" s="37" t="s">
        <v>152</v>
      </c>
      <c r="AO41" s="37" t="s">
        <v>153</v>
      </c>
      <c r="AP41" s="35"/>
      <c r="AQ41" s="35"/>
      <c r="AR41" s="37"/>
      <c r="AS41" s="35"/>
      <c r="AT41" s="37">
        <v>1008</v>
      </c>
      <c r="AU41" s="41">
        <f t="shared" si="0"/>
        <v>29131200000</v>
      </c>
      <c r="AV41" s="42">
        <f t="shared" si="1"/>
        <v>13154.400000000001</v>
      </c>
      <c r="AW41" s="36" t="s">
        <v>173</v>
      </c>
    </row>
    <row r="42" spans="1:49" hidden="1" x14ac:dyDescent="0.2">
      <c r="A42" s="35" t="s">
        <v>140</v>
      </c>
      <c r="B42" s="35" t="s">
        <v>141</v>
      </c>
      <c r="C42" s="67" t="s">
        <v>368</v>
      </c>
      <c r="D42" s="37"/>
      <c r="E42" s="35"/>
      <c r="F42" s="37"/>
      <c r="G42" s="35" t="s">
        <v>142</v>
      </c>
      <c r="H42" s="37" t="s">
        <v>143</v>
      </c>
      <c r="I42" s="35"/>
      <c r="J42" s="37" t="s">
        <v>54</v>
      </c>
      <c r="K42" s="35" t="s">
        <v>144</v>
      </c>
      <c r="L42" s="37" t="s">
        <v>145</v>
      </c>
      <c r="M42" s="37" t="s">
        <v>75</v>
      </c>
      <c r="N42" s="35" t="s">
        <v>147</v>
      </c>
      <c r="O42" s="35" t="s">
        <v>148</v>
      </c>
      <c r="P42" s="37">
        <v>6</v>
      </c>
      <c r="Q42" s="37" t="e">
        <f>VLOOKUP(D42,#REF!,9,FALSE)</f>
        <v>#REF!</v>
      </c>
      <c r="R42" s="37" t="s">
        <v>149</v>
      </c>
      <c r="S42" s="35" t="s">
        <v>182</v>
      </c>
      <c r="T42" s="37">
        <v>340</v>
      </c>
      <c r="U42" s="37">
        <v>340</v>
      </c>
      <c r="V42" s="37">
        <v>210</v>
      </c>
      <c r="W42" s="38">
        <f t="shared" si="7"/>
        <v>24276000</v>
      </c>
      <c r="X42" s="38"/>
      <c r="Y42" s="36">
        <v>1.1299999999999999</v>
      </c>
      <c r="Z42" s="36">
        <v>2.57</v>
      </c>
      <c r="AA42" s="39">
        <v>9.35</v>
      </c>
      <c r="AB42" s="37">
        <v>1000</v>
      </c>
      <c r="AC42" s="35">
        <v>1000</v>
      </c>
      <c r="AD42" s="36">
        <v>130</v>
      </c>
      <c r="AE42" s="35">
        <f t="shared" si="8"/>
        <v>130000000</v>
      </c>
      <c r="AF42" s="37">
        <v>13</v>
      </c>
      <c r="AG42" s="37">
        <v>9</v>
      </c>
      <c r="AH42" s="37">
        <v>5</v>
      </c>
      <c r="AI42" s="37" t="s">
        <v>151</v>
      </c>
      <c r="AJ42" s="40">
        <f t="shared" si="3"/>
        <v>1000</v>
      </c>
      <c r="AK42" s="40">
        <f t="shared" si="3"/>
        <v>1000</v>
      </c>
      <c r="AL42" s="40">
        <f t="shared" si="4"/>
        <v>1180</v>
      </c>
      <c r="AM42" s="26">
        <f t="shared" si="5"/>
        <v>1180000000</v>
      </c>
      <c r="AN42" s="37" t="s">
        <v>152</v>
      </c>
      <c r="AO42" s="37" t="s">
        <v>153</v>
      </c>
      <c r="AP42" s="35"/>
      <c r="AQ42" s="35"/>
      <c r="AR42" s="37"/>
      <c r="AS42" s="35"/>
      <c r="AT42" s="37">
        <v>518</v>
      </c>
      <c r="AU42" s="41">
        <f t="shared" si="0"/>
        <v>12574968000</v>
      </c>
      <c r="AV42" s="42">
        <f t="shared" si="1"/>
        <v>4843.3</v>
      </c>
      <c r="AW42" s="36" t="s">
        <v>154</v>
      </c>
    </row>
    <row r="43" spans="1:49" hidden="1" x14ac:dyDescent="0.2">
      <c r="A43" s="35" t="s">
        <v>140</v>
      </c>
      <c r="B43" s="35" t="s">
        <v>141</v>
      </c>
      <c r="C43" s="67" t="s">
        <v>369</v>
      </c>
      <c r="D43" s="37"/>
      <c r="E43" s="35"/>
      <c r="F43" s="37"/>
      <c r="G43" s="35" t="s">
        <v>142</v>
      </c>
      <c r="H43" s="37" t="s">
        <v>143</v>
      </c>
      <c r="I43" s="35"/>
      <c r="J43" s="37" t="s">
        <v>54</v>
      </c>
      <c r="K43" s="35" t="s">
        <v>144</v>
      </c>
      <c r="L43" s="37" t="s">
        <v>145</v>
      </c>
      <c r="M43" s="37" t="s">
        <v>64</v>
      </c>
      <c r="N43" s="35" t="s">
        <v>171</v>
      </c>
      <c r="O43" s="35" t="s">
        <v>172</v>
      </c>
      <c r="P43" s="37">
        <v>3</v>
      </c>
      <c r="Q43" s="37" t="e">
        <f>VLOOKUP(D43,#REF!,9,FALSE)</f>
        <v>#REF!</v>
      </c>
      <c r="R43" s="37" t="s">
        <v>149</v>
      </c>
      <c r="S43" s="35" t="s">
        <v>184</v>
      </c>
      <c r="T43" s="37">
        <v>340</v>
      </c>
      <c r="U43" s="37">
        <v>340</v>
      </c>
      <c r="V43" s="37">
        <v>250</v>
      </c>
      <c r="W43" s="38">
        <f t="shared" si="7"/>
        <v>28900000</v>
      </c>
      <c r="X43" s="38"/>
      <c r="Y43" s="36">
        <v>1.78</v>
      </c>
      <c r="Z43" s="36">
        <v>3.5</v>
      </c>
      <c r="AA43" s="39">
        <v>8.84</v>
      </c>
      <c r="AB43" s="37">
        <v>1000</v>
      </c>
      <c r="AC43" s="35">
        <v>1000</v>
      </c>
      <c r="AD43" s="36">
        <v>130</v>
      </c>
      <c r="AE43" s="35">
        <f t="shared" si="8"/>
        <v>130000000</v>
      </c>
      <c r="AF43" s="37">
        <v>13</v>
      </c>
      <c r="AG43" s="37">
        <v>9</v>
      </c>
      <c r="AH43" s="37">
        <v>4</v>
      </c>
      <c r="AI43" s="37" t="s">
        <v>180</v>
      </c>
      <c r="AJ43" s="40">
        <f t="shared" si="3"/>
        <v>1000</v>
      </c>
      <c r="AK43" s="40">
        <f t="shared" si="3"/>
        <v>1000</v>
      </c>
      <c r="AL43" s="40">
        <f t="shared" si="4"/>
        <v>1130</v>
      </c>
      <c r="AM43" s="26">
        <f t="shared" si="5"/>
        <v>1130000000</v>
      </c>
      <c r="AN43" s="37" t="s">
        <v>152</v>
      </c>
      <c r="AO43" s="37" t="s">
        <v>153</v>
      </c>
      <c r="AP43" s="35"/>
      <c r="AQ43" s="35"/>
      <c r="AR43" s="37"/>
      <c r="AS43" s="35"/>
      <c r="AT43" s="37">
        <v>468</v>
      </c>
      <c r="AU43" s="41">
        <f t="shared" si="0"/>
        <v>13525200000</v>
      </c>
      <c r="AV43" s="42">
        <f t="shared" si="1"/>
        <v>4137.12</v>
      </c>
      <c r="AW43" s="36" t="s">
        <v>173</v>
      </c>
    </row>
    <row r="44" spans="1:49" hidden="1" x14ac:dyDescent="0.2">
      <c r="A44" s="35" t="s">
        <v>140</v>
      </c>
      <c r="B44" s="35" t="s">
        <v>141</v>
      </c>
      <c r="C44" s="37" t="s">
        <v>369</v>
      </c>
      <c r="D44" s="37"/>
      <c r="E44" s="35"/>
      <c r="F44" s="37"/>
      <c r="G44" s="35" t="s">
        <v>142</v>
      </c>
      <c r="H44" s="37" t="s">
        <v>143</v>
      </c>
      <c r="I44" s="35"/>
      <c r="J44" s="37" t="s">
        <v>54</v>
      </c>
      <c r="K44" s="35" t="s">
        <v>144</v>
      </c>
      <c r="L44" s="37" t="s">
        <v>145</v>
      </c>
      <c r="M44" s="37" t="s">
        <v>7</v>
      </c>
      <c r="N44" s="35" t="s">
        <v>171</v>
      </c>
      <c r="O44" s="35" t="s">
        <v>172</v>
      </c>
      <c r="P44" s="37">
        <v>3</v>
      </c>
      <c r="Q44" s="37" t="e">
        <f>VLOOKUP(D44,#REF!,9,FALSE)</f>
        <v>#REF!</v>
      </c>
      <c r="R44" s="37" t="s">
        <v>149</v>
      </c>
      <c r="S44" s="35" t="s">
        <v>184</v>
      </c>
      <c r="T44" s="37">
        <v>340</v>
      </c>
      <c r="U44" s="37">
        <v>340</v>
      </c>
      <c r="V44" s="37">
        <v>250</v>
      </c>
      <c r="W44" s="38">
        <f t="shared" si="7"/>
        <v>28900000</v>
      </c>
      <c r="X44" s="38"/>
      <c r="Y44" s="36">
        <v>1.78</v>
      </c>
      <c r="Z44" s="36">
        <v>3.5</v>
      </c>
      <c r="AA44" s="39">
        <v>8.84</v>
      </c>
      <c r="AB44" s="37">
        <v>1000</v>
      </c>
      <c r="AC44" s="35">
        <v>1000</v>
      </c>
      <c r="AD44" s="36">
        <v>130</v>
      </c>
      <c r="AE44" s="35">
        <f t="shared" si="8"/>
        <v>130000000</v>
      </c>
      <c r="AF44" s="37">
        <v>13</v>
      </c>
      <c r="AG44" s="37">
        <v>9</v>
      </c>
      <c r="AH44" s="37">
        <v>4</v>
      </c>
      <c r="AI44" s="37" t="s">
        <v>151</v>
      </c>
      <c r="AJ44" s="40">
        <f t="shared" si="3"/>
        <v>1000</v>
      </c>
      <c r="AK44" s="40">
        <f t="shared" si="3"/>
        <v>1000</v>
      </c>
      <c r="AL44" s="40">
        <f t="shared" si="4"/>
        <v>1130</v>
      </c>
      <c r="AM44" s="26">
        <f t="shared" si="5"/>
        <v>1130000000</v>
      </c>
      <c r="AN44" s="37" t="s">
        <v>152</v>
      </c>
      <c r="AO44" s="37" t="s">
        <v>153</v>
      </c>
      <c r="AP44" s="35"/>
      <c r="AQ44" s="35"/>
      <c r="AR44" s="37"/>
      <c r="AS44" s="35"/>
      <c r="AT44" s="37">
        <v>241</v>
      </c>
      <c r="AU44" s="41">
        <f t="shared" si="0"/>
        <v>6964900000</v>
      </c>
      <c r="AV44" s="42">
        <f t="shared" si="1"/>
        <v>2130.44</v>
      </c>
      <c r="AW44" s="36" t="s">
        <v>173</v>
      </c>
    </row>
    <row r="45" spans="1:49" hidden="1" x14ac:dyDescent="0.2">
      <c r="A45" s="35" t="s">
        <v>140</v>
      </c>
      <c r="B45" s="35" t="s">
        <v>141</v>
      </c>
      <c r="C45" s="67" t="s">
        <v>370</v>
      </c>
      <c r="D45" s="37"/>
      <c r="E45" s="35"/>
      <c r="F45" s="37"/>
      <c r="G45" s="35" t="s">
        <v>142</v>
      </c>
      <c r="H45" s="37" t="s">
        <v>143</v>
      </c>
      <c r="I45" s="35"/>
      <c r="J45" s="37" t="s">
        <v>54</v>
      </c>
      <c r="K45" s="35" t="s">
        <v>144</v>
      </c>
      <c r="L45" s="37" t="s">
        <v>145</v>
      </c>
      <c r="M45" s="37" t="s">
        <v>8</v>
      </c>
      <c r="N45" s="35" t="s">
        <v>171</v>
      </c>
      <c r="O45" s="35" t="s">
        <v>172</v>
      </c>
      <c r="P45" s="37">
        <v>4</v>
      </c>
      <c r="Q45" s="37" t="e">
        <f>VLOOKUP(D45,#REF!,9,FALSE)</f>
        <v>#REF!</v>
      </c>
      <c r="R45" s="37" t="s">
        <v>149</v>
      </c>
      <c r="S45" s="35" t="s">
        <v>182</v>
      </c>
      <c r="T45" s="37">
        <v>340</v>
      </c>
      <c r="U45" s="37">
        <v>340</v>
      </c>
      <c r="V45" s="37">
        <v>200</v>
      </c>
      <c r="W45" s="38">
        <f t="shared" si="7"/>
        <v>23120000</v>
      </c>
      <c r="X45" s="38"/>
      <c r="Y45" s="36">
        <v>0.98599999999999999</v>
      </c>
      <c r="Z45" s="36">
        <v>0.98</v>
      </c>
      <c r="AA45" s="39">
        <v>4.9239999999999995</v>
      </c>
      <c r="AB45" s="37">
        <v>1000</v>
      </c>
      <c r="AC45" s="35">
        <v>1000</v>
      </c>
      <c r="AD45" s="36">
        <v>130</v>
      </c>
      <c r="AE45" s="35">
        <f t="shared" si="8"/>
        <v>130000000</v>
      </c>
      <c r="AF45" s="37">
        <v>13</v>
      </c>
      <c r="AG45" s="37">
        <v>9</v>
      </c>
      <c r="AH45" s="37">
        <v>5</v>
      </c>
      <c r="AI45" s="37" t="s">
        <v>180</v>
      </c>
      <c r="AJ45" s="40">
        <f t="shared" si="3"/>
        <v>1000</v>
      </c>
      <c r="AK45" s="40">
        <f t="shared" si="3"/>
        <v>1000</v>
      </c>
      <c r="AL45" s="40">
        <f t="shared" si="4"/>
        <v>1130</v>
      </c>
      <c r="AM45" s="26">
        <f t="shared" si="5"/>
        <v>1130000000</v>
      </c>
      <c r="AN45" s="37" t="s">
        <v>152</v>
      </c>
      <c r="AO45" s="37" t="s">
        <v>153</v>
      </c>
      <c r="AP45" s="35"/>
      <c r="AQ45" s="35"/>
      <c r="AR45" s="37"/>
      <c r="AS45" s="35"/>
      <c r="AT45" s="37">
        <v>1035</v>
      </c>
      <c r="AU45" s="41">
        <f t="shared" si="0"/>
        <v>23929200000</v>
      </c>
      <c r="AV45" s="42">
        <f t="shared" si="1"/>
        <v>5096.3399999999992</v>
      </c>
      <c r="AW45" s="36" t="s">
        <v>173</v>
      </c>
    </row>
    <row r="46" spans="1:49" hidden="1" x14ac:dyDescent="0.2">
      <c r="A46" s="35" t="s">
        <v>140</v>
      </c>
      <c r="B46" s="35" t="s">
        <v>141</v>
      </c>
      <c r="C46" s="67" t="s">
        <v>371</v>
      </c>
      <c r="D46" s="37"/>
      <c r="E46" s="35"/>
      <c r="F46" s="37"/>
      <c r="G46" s="35" t="s">
        <v>142</v>
      </c>
      <c r="H46" s="37" t="s">
        <v>143</v>
      </c>
      <c r="I46" s="35"/>
      <c r="J46" s="37" t="s">
        <v>54</v>
      </c>
      <c r="K46" s="35" t="s">
        <v>144</v>
      </c>
      <c r="L46" s="37" t="s">
        <v>145</v>
      </c>
      <c r="M46" s="37" t="s">
        <v>75</v>
      </c>
      <c r="N46" s="35" t="s">
        <v>147</v>
      </c>
      <c r="O46" s="35" t="s">
        <v>148</v>
      </c>
      <c r="P46" s="37">
        <v>4</v>
      </c>
      <c r="Q46" s="37" t="e">
        <f>VLOOKUP(D46,#REF!,9,FALSE)</f>
        <v>#REF!</v>
      </c>
      <c r="R46" s="37" t="s">
        <v>149</v>
      </c>
      <c r="S46" s="35" t="s">
        <v>182</v>
      </c>
      <c r="T46" s="37">
        <v>510</v>
      </c>
      <c r="U46" s="37">
        <v>340</v>
      </c>
      <c r="V46" s="37">
        <v>200</v>
      </c>
      <c r="W46" s="38">
        <f t="shared" si="7"/>
        <v>34680000</v>
      </c>
      <c r="X46" s="38"/>
      <c r="Y46" s="36">
        <v>2.6</v>
      </c>
      <c r="Z46" s="36">
        <v>4.46</v>
      </c>
      <c r="AA46" s="39">
        <v>14.86</v>
      </c>
      <c r="AB46" s="37">
        <v>1000</v>
      </c>
      <c r="AC46" s="35">
        <v>1000</v>
      </c>
      <c r="AD46" s="36">
        <v>130</v>
      </c>
      <c r="AE46" s="35">
        <f t="shared" si="8"/>
        <v>130000000</v>
      </c>
      <c r="AF46" s="37">
        <v>13</v>
      </c>
      <c r="AG46" s="37">
        <v>6</v>
      </c>
      <c r="AH46" s="37">
        <v>4</v>
      </c>
      <c r="AI46" s="37" t="s">
        <v>151</v>
      </c>
      <c r="AJ46" s="40">
        <f t="shared" si="3"/>
        <v>1000</v>
      </c>
      <c r="AK46" s="40">
        <f t="shared" si="3"/>
        <v>1000</v>
      </c>
      <c r="AL46" s="40">
        <f t="shared" si="4"/>
        <v>930</v>
      </c>
      <c r="AM46" s="26">
        <f t="shared" si="5"/>
        <v>930000000</v>
      </c>
      <c r="AN46" s="37" t="s">
        <v>152</v>
      </c>
      <c r="AO46" s="37" t="s">
        <v>153</v>
      </c>
      <c r="AP46" s="35"/>
      <c r="AQ46" s="35"/>
      <c r="AR46" s="37"/>
      <c r="AS46" s="35"/>
      <c r="AT46" s="37">
        <v>695</v>
      </c>
      <c r="AU46" s="41">
        <f t="shared" si="0"/>
        <v>24102600000</v>
      </c>
      <c r="AV46" s="42">
        <f t="shared" si="1"/>
        <v>10327.699999999999</v>
      </c>
      <c r="AW46" s="36" t="s">
        <v>154</v>
      </c>
    </row>
    <row r="47" spans="1:49" hidden="1" x14ac:dyDescent="0.2">
      <c r="A47" s="35" t="s">
        <v>140</v>
      </c>
      <c r="B47" s="35" t="s">
        <v>141</v>
      </c>
      <c r="C47" s="67" t="s">
        <v>372</v>
      </c>
      <c r="D47" s="37"/>
      <c r="E47" s="35"/>
      <c r="F47" s="37"/>
      <c r="G47" s="35" t="s">
        <v>142</v>
      </c>
      <c r="H47" s="37" t="s">
        <v>143</v>
      </c>
      <c r="I47" s="35"/>
      <c r="J47" s="37" t="s">
        <v>54</v>
      </c>
      <c r="K47" s="35" t="s">
        <v>144</v>
      </c>
      <c r="L47" s="37" t="s">
        <v>145</v>
      </c>
      <c r="M47" s="37" t="s">
        <v>191</v>
      </c>
      <c r="N47" s="35" t="s">
        <v>166</v>
      </c>
      <c r="O47" s="35" t="s">
        <v>163</v>
      </c>
      <c r="P47" s="37">
        <v>4</v>
      </c>
      <c r="Q47" s="37" t="e">
        <f>VLOOKUP(D47,#REF!,9,FALSE)</f>
        <v>#REF!</v>
      </c>
      <c r="R47" s="37" t="s">
        <v>149</v>
      </c>
      <c r="S47" s="35" t="s">
        <v>182</v>
      </c>
      <c r="T47" s="37">
        <v>510</v>
      </c>
      <c r="U47" s="37">
        <v>340</v>
      </c>
      <c r="V47" s="37">
        <v>200</v>
      </c>
      <c r="W47" s="38">
        <f t="shared" si="7"/>
        <v>34680000</v>
      </c>
      <c r="X47" s="38"/>
      <c r="Y47" s="36">
        <v>2</v>
      </c>
      <c r="Z47" s="36">
        <v>3</v>
      </c>
      <c r="AA47" s="39">
        <v>11</v>
      </c>
      <c r="AB47" s="37">
        <v>1000</v>
      </c>
      <c r="AC47" s="35">
        <v>1000</v>
      </c>
      <c r="AD47" s="36">
        <v>130</v>
      </c>
      <c r="AE47" s="35">
        <f t="shared" si="8"/>
        <v>130000000</v>
      </c>
      <c r="AF47" s="37">
        <v>13</v>
      </c>
      <c r="AG47" s="37">
        <v>6</v>
      </c>
      <c r="AH47" s="37">
        <v>4</v>
      </c>
      <c r="AI47" s="37" t="s">
        <v>180</v>
      </c>
      <c r="AJ47" s="40">
        <f t="shared" si="3"/>
        <v>1000</v>
      </c>
      <c r="AK47" s="40">
        <f t="shared" si="3"/>
        <v>1000</v>
      </c>
      <c r="AL47" s="40">
        <f t="shared" si="4"/>
        <v>930</v>
      </c>
      <c r="AM47" s="26">
        <f t="shared" si="5"/>
        <v>930000000</v>
      </c>
      <c r="AN47" s="37" t="s">
        <v>152</v>
      </c>
      <c r="AO47" s="37" t="s">
        <v>153</v>
      </c>
      <c r="AP47" s="35"/>
      <c r="AQ47" s="35"/>
      <c r="AR47" s="37"/>
      <c r="AS47" s="35"/>
      <c r="AT47" s="37">
        <v>48</v>
      </c>
      <c r="AU47" s="41">
        <f t="shared" si="0"/>
        <v>1664640000</v>
      </c>
      <c r="AV47" s="42">
        <f t="shared" si="1"/>
        <v>528</v>
      </c>
      <c r="AW47" s="36" t="s">
        <v>164</v>
      </c>
    </row>
    <row r="48" spans="1:49" hidden="1" x14ac:dyDescent="0.2">
      <c r="A48" s="35" t="s">
        <v>140</v>
      </c>
      <c r="B48" s="35" t="s">
        <v>141</v>
      </c>
      <c r="C48" s="67" t="s">
        <v>373</v>
      </c>
      <c r="D48" s="37"/>
      <c r="E48" s="35"/>
      <c r="F48" s="37"/>
      <c r="G48" s="35" t="s">
        <v>142</v>
      </c>
      <c r="H48" s="37" t="s">
        <v>143</v>
      </c>
      <c r="I48" s="35"/>
      <c r="J48" s="37" t="s">
        <v>54</v>
      </c>
      <c r="K48" s="35" t="s">
        <v>144</v>
      </c>
      <c r="L48" s="37" t="s">
        <v>145</v>
      </c>
      <c r="M48" s="37" t="s">
        <v>75</v>
      </c>
      <c r="N48" s="35" t="s">
        <v>147</v>
      </c>
      <c r="O48" s="35" t="s">
        <v>148</v>
      </c>
      <c r="P48" s="37">
        <v>4</v>
      </c>
      <c r="Q48" s="37" t="e">
        <f>VLOOKUP(D48,#REF!,9,FALSE)</f>
        <v>#REF!</v>
      </c>
      <c r="R48" s="37" t="s">
        <v>149</v>
      </c>
      <c r="S48" s="35" t="s">
        <v>192</v>
      </c>
      <c r="T48" s="37">
        <v>510</v>
      </c>
      <c r="U48" s="37">
        <v>340</v>
      </c>
      <c r="V48" s="37">
        <v>200</v>
      </c>
      <c r="W48" s="38">
        <f t="shared" si="7"/>
        <v>34680000</v>
      </c>
      <c r="X48" s="38"/>
      <c r="Y48" s="36">
        <v>2.6</v>
      </c>
      <c r="Z48" s="36">
        <v>4.46</v>
      </c>
      <c r="AA48" s="39">
        <v>14.86</v>
      </c>
      <c r="AB48" s="37">
        <v>1000</v>
      </c>
      <c r="AC48" s="35">
        <v>1000</v>
      </c>
      <c r="AD48" s="36">
        <v>130</v>
      </c>
      <c r="AE48" s="35">
        <f t="shared" si="8"/>
        <v>130000000</v>
      </c>
      <c r="AF48" s="37">
        <v>13</v>
      </c>
      <c r="AG48" s="37">
        <v>6</v>
      </c>
      <c r="AH48" s="37">
        <v>4</v>
      </c>
      <c r="AI48" s="37" t="s">
        <v>151</v>
      </c>
      <c r="AJ48" s="40">
        <f t="shared" si="3"/>
        <v>1000</v>
      </c>
      <c r="AK48" s="40">
        <f t="shared" si="3"/>
        <v>1000</v>
      </c>
      <c r="AL48" s="40">
        <f t="shared" si="4"/>
        <v>930</v>
      </c>
      <c r="AM48" s="26">
        <f t="shared" si="5"/>
        <v>930000000</v>
      </c>
      <c r="AN48" s="37" t="s">
        <v>152</v>
      </c>
      <c r="AO48" s="37" t="s">
        <v>153</v>
      </c>
      <c r="AP48" s="35"/>
      <c r="AQ48" s="35"/>
      <c r="AR48" s="37"/>
      <c r="AS48" s="35"/>
      <c r="AT48" s="37">
        <v>108</v>
      </c>
      <c r="AU48" s="41">
        <f t="shared" si="0"/>
        <v>3745440000</v>
      </c>
      <c r="AV48" s="42">
        <f t="shared" si="1"/>
        <v>1604.8799999999999</v>
      </c>
      <c r="AW48" s="36" t="s">
        <v>154</v>
      </c>
    </row>
    <row r="49" spans="1:49" hidden="1" x14ac:dyDescent="0.2">
      <c r="A49" s="35" t="s">
        <v>140</v>
      </c>
      <c r="B49" s="35" t="s">
        <v>141</v>
      </c>
      <c r="C49" s="67" t="s">
        <v>374</v>
      </c>
      <c r="D49" s="37"/>
      <c r="E49" s="35"/>
      <c r="F49" s="37"/>
      <c r="G49" s="35" t="s">
        <v>142</v>
      </c>
      <c r="H49" s="37" t="s">
        <v>143</v>
      </c>
      <c r="I49" s="35"/>
      <c r="J49" s="37" t="s">
        <v>54</v>
      </c>
      <c r="K49" s="35" t="s">
        <v>144</v>
      </c>
      <c r="L49" s="37" t="s">
        <v>145</v>
      </c>
      <c r="M49" s="37" t="s">
        <v>146</v>
      </c>
      <c r="N49" s="35" t="s">
        <v>147</v>
      </c>
      <c r="O49" s="35" t="s">
        <v>148</v>
      </c>
      <c r="P49" s="37">
        <v>2</v>
      </c>
      <c r="Q49" s="37" t="e">
        <f>VLOOKUP(D49,#REF!,9,FALSE)</f>
        <v>#REF!</v>
      </c>
      <c r="R49" s="37" t="s">
        <v>149</v>
      </c>
      <c r="S49" s="35" t="s">
        <v>193</v>
      </c>
      <c r="T49" s="37">
        <v>510</v>
      </c>
      <c r="U49" s="37">
        <v>340</v>
      </c>
      <c r="V49" s="37">
        <v>250</v>
      </c>
      <c r="W49" s="38">
        <f t="shared" si="7"/>
        <v>43350000</v>
      </c>
      <c r="X49" s="38"/>
      <c r="Y49" s="36">
        <v>3</v>
      </c>
      <c r="Z49" s="36">
        <v>5</v>
      </c>
      <c r="AA49" s="39">
        <v>11</v>
      </c>
      <c r="AB49" s="37">
        <v>1000</v>
      </c>
      <c r="AC49" s="35">
        <v>1000</v>
      </c>
      <c r="AD49" s="36">
        <v>130</v>
      </c>
      <c r="AE49" s="35">
        <f t="shared" si="8"/>
        <v>130000000</v>
      </c>
      <c r="AF49" s="37">
        <v>13</v>
      </c>
      <c r="AG49" s="37">
        <v>6</v>
      </c>
      <c r="AH49" s="37">
        <v>3</v>
      </c>
      <c r="AI49" s="37" t="s">
        <v>151</v>
      </c>
      <c r="AJ49" s="40">
        <f t="shared" si="3"/>
        <v>1000</v>
      </c>
      <c r="AK49" s="40">
        <f t="shared" si="3"/>
        <v>1000</v>
      </c>
      <c r="AL49" s="40">
        <f t="shared" si="4"/>
        <v>880</v>
      </c>
      <c r="AM49" s="26">
        <f t="shared" si="5"/>
        <v>880000000</v>
      </c>
      <c r="AN49" s="37" t="s">
        <v>152</v>
      </c>
      <c r="AO49" s="37" t="s">
        <v>153</v>
      </c>
      <c r="AP49" s="35"/>
      <c r="AQ49" s="35"/>
      <c r="AR49" s="37"/>
      <c r="AS49" s="35"/>
      <c r="AT49" s="37">
        <v>51</v>
      </c>
      <c r="AU49" s="41">
        <f t="shared" si="0"/>
        <v>2210850000</v>
      </c>
      <c r="AV49" s="42">
        <f t="shared" si="1"/>
        <v>561</v>
      </c>
      <c r="AW49" s="36" t="s">
        <v>154</v>
      </c>
    </row>
    <row r="50" spans="1:49" hidden="1" x14ac:dyDescent="0.2">
      <c r="A50" s="35" t="s">
        <v>140</v>
      </c>
      <c r="B50" s="35" t="s">
        <v>141</v>
      </c>
      <c r="C50" s="67" t="s">
        <v>375</v>
      </c>
      <c r="D50" s="37"/>
      <c r="E50" s="35"/>
      <c r="F50" s="37"/>
      <c r="G50" s="35" t="s">
        <v>142</v>
      </c>
      <c r="H50" s="37" t="s">
        <v>143</v>
      </c>
      <c r="I50" s="35"/>
      <c r="J50" s="37" t="s">
        <v>54</v>
      </c>
      <c r="K50" s="35" t="s">
        <v>144</v>
      </c>
      <c r="L50" s="37" t="s">
        <v>145</v>
      </c>
      <c r="M50" s="37" t="s">
        <v>146</v>
      </c>
      <c r="N50" s="35" t="s">
        <v>147</v>
      </c>
      <c r="O50" s="35" t="s">
        <v>148</v>
      </c>
      <c r="P50" s="37">
        <v>2</v>
      </c>
      <c r="Q50" s="37" t="e">
        <f>VLOOKUP(D50,#REF!,9,FALSE)</f>
        <v>#REF!</v>
      </c>
      <c r="R50" s="37" t="s">
        <v>149</v>
      </c>
      <c r="S50" s="35" t="s">
        <v>193</v>
      </c>
      <c r="T50" s="37">
        <v>510</v>
      </c>
      <c r="U50" s="37">
        <v>340</v>
      </c>
      <c r="V50" s="37">
        <v>250</v>
      </c>
      <c r="W50" s="38">
        <f t="shared" si="7"/>
        <v>43350000</v>
      </c>
      <c r="X50" s="38"/>
      <c r="Y50" s="36">
        <v>3</v>
      </c>
      <c r="Z50" s="36">
        <v>5</v>
      </c>
      <c r="AA50" s="39">
        <v>11</v>
      </c>
      <c r="AB50" s="37">
        <v>1000</v>
      </c>
      <c r="AC50" s="35">
        <v>1000</v>
      </c>
      <c r="AD50" s="36">
        <v>130</v>
      </c>
      <c r="AE50" s="35">
        <f t="shared" si="8"/>
        <v>130000000</v>
      </c>
      <c r="AF50" s="37">
        <v>13</v>
      </c>
      <c r="AG50" s="37">
        <v>6</v>
      </c>
      <c r="AH50" s="37">
        <v>3</v>
      </c>
      <c r="AI50" s="37" t="s">
        <v>151</v>
      </c>
      <c r="AJ50" s="40">
        <f t="shared" si="3"/>
        <v>1000</v>
      </c>
      <c r="AK50" s="40">
        <f t="shared" si="3"/>
        <v>1000</v>
      </c>
      <c r="AL50" s="40">
        <f t="shared" si="4"/>
        <v>880</v>
      </c>
      <c r="AM50" s="26">
        <f t="shared" si="5"/>
        <v>880000000</v>
      </c>
      <c r="AN50" s="37" t="s">
        <v>152</v>
      </c>
      <c r="AO50" s="37" t="s">
        <v>153</v>
      </c>
      <c r="AP50" s="35"/>
      <c r="AQ50" s="35"/>
      <c r="AR50" s="37"/>
      <c r="AS50" s="35"/>
      <c r="AT50" s="37">
        <v>235</v>
      </c>
      <c r="AU50" s="41">
        <f t="shared" si="0"/>
        <v>10187250000</v>
      </c>
      <c r="AV50" s="42">
        <f t="shared" si="1"/>
        <v>2585</v>
      </c>
      <c r="AW50" s="36" t="s">
        <v>154</v>
      </c>
    </row>
    <row r="51" spans="1:49" hidden="1" x14ac:dyDescent="0.2">
      <c r="A51" s="35" t="s">
        <v>140</v>
      </c>
      <c r="B51" s="35" t="s">
        <v>141</v>
      </c>
      <c r="C51" s="67" t="s">
        <v>376</v>
      </c>
      <c r="D51" s="37"/>
      <c r="E51" s="35"/>
      <c r="F51" s="37"/>
      <c r="G51" s="35" t="s">
        <v>142</v>
      </c>
      <c r="H51" s="37" t="s">
        <v>143</v>
      </c>
      <c r="I51" s="35"/>
      <c r="J51" s="37" t="s">
        <v>54</v>
      </c>
      <c r="K51" s="35" t="s">
        <v>144</v>
      </c>
      <c r="L51" s="37" t="s">
        <v>145</v>
      </c>
      <c r="M51" s="37" t="s">
        <v>165</v>
      </c>
      <c r="N51" s="35" t="s">
        <v>166</v>
      </c>
      <c r="O51" s="35" t="s">
        <v>167</v>
      </c>
      <c r="P51" s="37">
        <v>5</v>
      </c>
      <c r="Q51" s="37" t="e">
        <f>VLOOKUP(D51,#REF!,9,FALSE)</f>
        <v>#REF!</v>
      </c>
      <c r="R51" s="37" t="s">
        <v>149</v>
      </c>
      <c r="S51" s="35" t="s">
        <v>192</v>
      </c>
      <c r="T51" s="37">
        <v>510</v>
      </c>
      <c r="U51" s="37">
        <v>340</v>
      </c>
      <c r="V51" s="37">
        <v>200</v>
      </c>
      <c r="W51" s="38">
        <f t="shared" si="7"/>
        <v>34680000</v>
      </c>
      <c r="X51" s="38"/>
      <c r="Y51" s="36">
        <v>2.5</v>
      </c>
      <c r="Z51" s="36">
        <v>2</v>
      </c>
      <c r="AA51" s="39">
        <v>14.5</v>
      </c>
      <c r="AB51" s="37">
        <v>1000</v>
      </c>
      <c r="AC51" s="35">
        <v>1000</v>
      </c>
      <c r="AD51" s="36">
        <v>130</v>
      </c>
      <c r="AE51" s="35">
        <f t="shared" si="8"/>
        <v>130000000</v>
      </c>
      <c r="AF51" s="37">
        <v>13</v>
      </c>
      <c r="AG51" s="37">
        <v>6</v>
      </c>
      <c r="AH51" s="37">
        <v>4</v>
      </c>
      <c r="AI51" s="37" t="s">
        <v>180</v>
      </c>
      <c r="AJ51" s="40">
        <f t="shared" si="3"/>
        <v>1000</v>
      </c>
      <c r="AK51" s="40">
        <f t="shared" si="3"/>
        <v>1000</v>
      </c>
      <c r="AL51" s="40">
        <f t="shared" si="4"/>
        <v>930</v>
      </c>
      <c r="AM51" s="26">
        <f t="shared" si="5"/>
        <v>930000000</v>
      </c>
      <c r="AN51" s="37" t="s">
        <v>152</v>
      </c>
      <c r="AO51" s="37" t="s">
        <v>153</v>
      </c>
      <c r="AP51" s="35"/>
      <c r="AQ51" s="35"/>
      <c r="AR51" s="37"/>
      <c r="AS51" s="35"/>
      <c r="AT51" s="37">
        <v>540</v>
      </c>
      <c r="AU51" s="41">
        <f t="shared" si="0"/>
        <v>18727200000</v>
      </c>
      <c r="AV51" s="42">
        <f t="shared" si="1"/>
        <v>7830</v>
      </c>
      <c r="AW51" s="36" t="s">
        <v>168</v>
      </c>
    </row>
    <row r="52" spans="1:49" hidden="1" x14ac:dyDescent="0.2">
      <c r="A52" s="35" t="s">
        <v>140</v>
      </c>
      <c r="B52" s="35" t="s">
        <v>141</v>
      </c>
      <c r="C52" s="67" t="s">
        <v>377</v>
      </c>
      <c r="D52" s="37"/>
      <c r="E52" s="35"/>
      <c r="F52" s="37"/>
      <c r="G52" s="35" t="s">
        <v>142</v>
      </c>
      <c r="H52" s="37" t="s">
        <v>143</v>
      </c>
      <c r="I52" s="35"/>
      <c r="J52" s="37" t="s">
        <v>54</v>
      </c>
      <c r="K52" s="35" t="s">
        <v>144</v>
      </c>
      <c r="L52" s="37" t="s">
        <v>145</v>
      </c>
      <c r="M52" s="37" t="s">
        <v>165</v>
      </c>
      <c r="N52" s="35" t="s">
        <v>166</v>
      </c>
      <c r="O52" s="35" t="s">
        <v>167</v>
      </c>
      <c r="P52" s="37">
        <v>5</v>
      </c>
      <c r="Q52" s="37" t="e">
        <f>VLOOKUP(D52,#REF!,9,FALSE)</f>
        <v>#REF!</v>
      </c>
      <c r="R52" s="37" t="s">
        <v>149</v>
      </c>
      <c r="S52" s="35" t="s">
        <v>192</v>
      </c>
      <c r="T52" s="37">
        <v>510</v>
      </c>
      <c r="U52" s="37">
        <v>340</v>
      </c>
      <c r="V52" s="37">
        <v>200</v>
      </c>
      <c r="W52" s="38">
        <f t="shared" si="7"/>
        <v>34680000</v>
      </c>
      <c r="X52" s="38"/>
      <c r="Y52" s="36">
        <v>2.5</v>
      </c>
      <c r="Z52" s="36">
        <v>2</v>
      </c>
      <c r="AA52" s="39">
        <v>14.5</v>
      </c>
      <c r="AB52" s="37">
        <v>1000</v>
      </c>
      <c r="AC52" s="35">
        <v>1000</v>
      </c>
      <c r="AD52" s="36">
        <v>130</v>
      </c>
      <c r="AE52" s="35">
        <f t="shared" si="8"/>
        <v>130000000</v>
      </c>
      <c r="AF52" s="37">
        <v>13</v>
      </c>
      <c r="AG52" s="37">
        <v>6</v>
      </c>
      <c r="AH52" s="37">
        <v>2</v>
      </c>
      <c r="AI52" s="37" t="s">
        <v>180</v>
      </c>
      <c r="AJ52" s="40">
        <f t="shared" si="3"/>
        <v>1000</v>
      </c>
      <c r="AK52" s="40">
        <f t="shared" si="3"/>
        <v>1000</v>
      </c>
      <c r="AL52" s="40">
        <f t="shared" si="4"/>
        <v>530</v>
      </c>
      <c r="AM52" s="26">
        <f t="shared" si="5"/>
        <v>530000000</v>
      </c>
      <c r="AN52" s="37" t="s">
        <v>152</v>
      </c>
      <c r="AO52" s="37" t="s">
        <v>153</v>
      </c>
      <c r="AP52" s="35"/>
      <c r="AQ52" s="35"/>
      <c r="AR52" s="37"/>
      <c r="AS52" s="35"/>
      <c r="AT52" s="37">
        <v>54</v>
      </c>
      <c r="AU52" s="41">
        <f t="shared" si="0"/>
        <v>1872720000</v>
      </c>
      <c r="AV52" s="42">
        <f t="shared" si="1"/>
        <v>783</v>
      </c>
      <c r="AW52" s="36" t="s">
        <v>168</v>
      </c>
    </row>
    <row r="53" spans="1:49" x14ac:dyDescent="0.2">
      <c r="A53" s="35" t="s">
        <v>140</v>
      </c>
      <c r="B53" s="35" t="s">
        <v>141</v>
      </c>
      <c r="C53" s="67" t="s">
        <v>378</v>
      </c>
      <c r="D53" s="37"/>
      <c r="E53" s="35"/>
      <c r="F53" s="37"/>
      <c r="G53" s="35" t="s">
        <v>142</v>
      </c>
      <c r="H53" s="37" t="s">
        <v>177</v>
      </c>
      <c r="I53" s="35"/>
      <c r="J53" s="37" t="s">
        <v>54</v>
      </c>
      <c r="K53" s="35" t="s">
        <v>178</v>
      </c>
      <c r="L53" s="37" t="s">
        <v>145</v>
      </c>
      <c r="M53" s="37" t="s">
        <v>60</v>
      </c>
      <c r="N53" s="35" t="s">
        <v>156</v>
      </c>
      <c r="O53" s="35" t="s">
        <v>157</v>
      </c>
      <c r="P53" s="37">
        <v>1</v>
      </c>
      <c r="Q53" s="37" t="e">
        <f>VLOOKUP(D53,#REF!,9,FALSE)</f>
        <v>#REF!</v>
      </c>
      <c r="R53" s="37" t="s">
        <v>149</v>
      </c>
      <c r="S53" s="35" t="s">
        <v>182</v>
      </c>
      <c r="T53" s="37">
        <v>340</v>
      </c>
      <c r="U53" s="37">
        <v>340</v>
      </c>
      <c r="V53" s="37">
        <v>200</v>
      </c>
      <c r="W53" s="38">
        <f>T53/1000*U53/1000*V53/1000</f>
        <v>2.3120000000000002E-2</v>
      </c>
      <c r="X53" s="38"/>
      <c r="Y53" s="36">
        <v>3.42</v>
      </c>
      <c r="Z53" s="36">
        <v>1.54</v>
      </c>
      <c r="AA53" s="39">
        <v>4.96</v>
      </c>
      <c r="AB53" s="37">
        <v>1000</v>
      </c>
      <c r="AC53" s="35">
        <v>1000</v>
      </c>
      <c r="AD53" s="36">
        <v>130</v>
      </c>
      <c r="AE53" s="35">
        <f t="shared" si="8"/>
        <v>130000000</v>
      </c>
      <c r="AF53" s="37">
        <v>13</v>
      </c>
      <c r="AG53" s="37">
        <v>9</v>
      </c>
      <c r="AH53" s="37">
        <v>5</v>
      </c>
      <c r="AI53" s="37" t="s">
        <v>151</v>
      </c>
      <c r="AJ53" s="40">
        <f t="shared" si="3"/>
        <v>1000</v>
      </c>
      <c r="AK53" s="40">
        <f t="shared" si="3"/>
        <v>1000</v>
      </c>
      <c r="AL53" s="40">
        <f t="shared" si="4"/>
        <v>1130</v>
      </c>
      <c r="AM53" s="26">
        <f t="shared" si="5"/>
        <v>1130000000</v>
      </c>
      <c r="AN53" s="37" t="s">
        <v>152</v>
      </c>
      <c r="AO53" s="37" t="s">
        <v>153</v>
      </c>
      <c r="AP53" s="35"/>
      <c r="AQ53" s="35"/>
      <c r="AR53" s="37"/>
      <c r="AS53" s="35"/>
      <c r="AT53" s="37">
        <v>89</v>
      </c>
      <c r="AU53" s="41">
        <f t="shared" si="0"/>
        <v>2.05768</v>
      </c>
      <c r="AV53" s="42">
        <f t="shared" si="1"/>
        <v>441.44</v>
      </c>
      <c r="AW53" s="36" t="s">
        <v>158</v>
      </c>
    </row>
    <row r="54" spans="1:49" hidden="1" x14ac:dyDescent="0.2">
      <c r="A54" s="35" t="s">
        <v>140</v>
      </c>
      <c r="B54" s="35" t="s">
        <v>141</v>
      </c>
      <c r="C54" s="67" t="s">
        <v>379</v>
      </c>
      <c r="D54" s="37"/>
      <c r="E54" s="35"/>
      <c r="F54" s="37"/>
      <c r="G54" s="35" t="s">
        <v>142</v>
      </c>
      <c r="H54" s="37" t="s">
        <v>143</v>
      </c>
      <c r="I54" s="35"/>
      <c r="J54" s="37" t="s">
        <v>54</v>
      </c>
      <c r="K54" s="35" t="s">
        <v>144</v>
      </c>
      <c r="L54" s="37" t="s">
        <v>145</v>
      </c>
      <c r="M54" s="37" t="s">
        <v>74</v>
      </c>
      <c r="N54" s="35" t="s">
        <v>144</v>
      </c>
      <c r="O54" s="35" t="s">
        <v>160</v>
      </c>
      <c r="P54" s="37">
        <v>1</v>
      </c>
      <c r="Q54" s="37" t="e">
        <f>VLOOKUP(D54,#REF!,9,FALSE)</f>
        <v>#REF!</v>
      </c>
      <c r="R54" s="37" t="s">
        <v>149</v>
      </c>
      <c r="S54" s="35" t="s">
        <v>184</v>
      </c>
      <c r="T54" s="37">
        <v>340</v>
      </c>
      <c r="U54" s="37">
        <v>340</v>
      </c>
      <c r="V54" s="37">
        <v>250</v>
      </c>
      <c r="W54" s="38">
        <f t="shared" si="7"/>
        <v>28900000</v>
      </c>
      <c r="X54" s="38"/>
      <c r="Y54" s="36">
        <v>5</v>
      </c>
      <c r="Z54" s="36">
        <v>1.8</v>
      </c>
      <c r="AA54" s="39">
        <v>6.8</v>
      </c>
      <c r="AB54" s="37">
        <v>1000</v>
      </c>
      <c r="AC54" s="35">
        <v>1000</v>
      </c>
      <c r="AD54" s="36">
        <v>130</v>
      </c>
      <c r="AE54" s="35">
        <f t="shared" si="8"/>
        <v>130000000</v>
      </c>
      <c r="AF54" s="37">
        <v>13</v>
      </c>
      <c r="AG54" s="37">
        <v>9</v>
      </c>
      <c r="AH54" s="37">
        <v>4</v>
      </c>
      <c r="AI54" s="37" t="s">
        <v>180</v>
      </c>
      <c r="AJ54" s="40">
        <f t="shared" si="3"/>
        <v>1000</v>
      </c>
      <c r="AK54" s="40">
        <f t="shared" si="3"/>
        <v>1000</v>
      </c>
      <c r="AL54" s="40">
        <f t="shared" si="4"/>
        <v>1130</v>
      </c>
      <c r="AM54" s="26">
        <f t="shared" si="5"/>
        <v>1130000000</v>
      </c>
      <c r="AN54" s="37" t="s">
        <v>152</v>
      </c>
      <c r="AO54" s="37" t="s">
        <v>153</v>
      </c>
      <c r="AP54" s="35"/>
      <c r="AQ54" s="35"/>
      <c r="AR54" s="37"/>
      <c r="AS54" s="35"/>
      <c r="AT54" s="37">
        <v>216</v>
      </c>
      <c r="AU54" s="41">
        <f t="shared" si="0"/>
        <v>6242400000</v>
      </c>
      <c r="AV54" s="42">
        <f t="shared" si="1"/>
        <v>1468.8</v>
      </c>
      <c r="AW54" s="36" t="s">
        <v>161</v>
      </c>
    </row>
    <row r="55" spans="1:49" hidden="1" x14ac:dyDescent="0.2">
      <c r="A55" s="35" t="s">
        <v>140</v>
      </c>
      <c r="B55" s="35" t="s">
        <v>141</v>
      </c>
      <c r="C55" s="67" t="s">
        <v>380</v>
      </c>
      <c r="D55" s="37"/>
      <c r="E55" s="35"/>
      <c r="F55" s="37"/>
      <c r="G55" s="35" t="s">
        <v>142</v>
      </c>
      <c r="H55" s="37" t="s">
        <v>177</v>
      </c>
      <c r="I55" s="35"/>
      <c r="J55" s="37" t="s">
        <v>54</v>
      </c>
      <c r="K55" s="35" t="s">
        <v>178</v>
      </c>
      <c r="L55" s="37" t="s">
        <v>145</v>
      </c>
      <c r="M55" s="37" t="s">
        <v>70</v>
      </c>
      <c r="N55" s="35" t="s">
        <v>162</v>
      </c>
      <c r="O55" s="35" t="s">
        <v>163</v>
      </c>
      <c r="P55" s="37">
        <v>1</v>
      </c>
      <c r="Q55" s="37" t="e">
        <f>VLOOKUP(D55,#REF!,9,FALSE)</f>
        <v>#REF!</v>
      </c>
      <c r="R55" s="37" t="s">
        <v>149</v>
      </c>
      <c r="S55" s="35" t="s">
        <v>184</v>
      </c>
      <c r="T55" s="37">
        <v>340</v>
      </c>
      <c r="U55" s="37">
        <v>340</v>
      </c>
      <c r="V55" s="37">
        <v>250</v>
      </c>
      <c r="W55" s="38">
        <f t="shared" si="7"/>
        <v>28900000</v>
      </c>
      <c r="X55" s="38"/>
      <c r="Y55" s="36">
        <v>4.8</v>
      </c>
      <c r="Z55" s="36">
        <v>1.7</v>
      </c>
      <c r="AA55" s="39">
        <v>6.5</v>
      </c>
      <c r="AB55" s="37">
        <v>1000</v>
      </c>
      <c r="AC55" s="35">
        <v>1000</v>
      </c>
      <c r="AD55" s="36">
        <v>130</v>
      </c>
      <c r="AE55" s="35">
        <f t="shared" si="8"/>
        <v>130000000</v>
      </c>
      <c r="AF55" s="37">
        <v>13</v>
      </c>
      <c r="AG55" s="37">
        <v>9</v>
      </c>
      <c r="AH55" s="37">
        <v>4</v>
      </c>
      <c r="AI55" s="37" t="s">
        <v>180</v>
      </c>
      <c r="AJ55" s="40">
        <f t="shared" si="3"/>
        <v>1000</v>
      </c>
      <c r="AK55" s="40">
        <f t="shared" si="3"/>
        <v>1000</v>
      </c>
      <c r="AL55" s="40">
        <f t="shared" si="4"/>
        <v>1130</v>
      </c>
      <c r="AM55" s="26">
        <f t="shared" si="5"/>
        <v>1130000000</v>
      </c>
      <c r="AN55" s="37" t="s">
        <v>152</v>
      </c>
      <c r="AO55" s="37" t="s">
        <v>153</v>
      </c>
      <c r="AP55" s="35"/>
      <c r="AQ55" s="35"/>
      <c r="AR55" s="37"/>
      <c r="AS55" s="35"/>
      <c r="AT55" s="37">
        <v>3168</v>
      </c>
      <c r="AU55" s="41">
        <f t="shared" si="0"/>
        <v>91555200000</v>
      </c>
      <c r="AV55" s="42">
        <f t="shared" si="1"/>
        <v>20592</v>
      </c>
      <c r="AW55" s="36" t="s">
        <v>164</v>
      </c>
    </row>
    <row r="56" spans="1:49" hidden="1" x14ac:dyDescent="0.2">
      <c r="A56" s="35" t="s">
        <v>140</v>
      </c>
      <c r="B56" s="35" t="s">
        <v>141</v>
      </c>
      <c r="C56" s="67" t="s">
        <v>379</v>
      </c>
      <c r="D56" s="37"/>
      <c r="E56" s="35"/>
      <c r="F56" s="37"/>
      <c r="G56" s="35" t="s">
        <v>142</v>
      </c>
      <c r="H56" s="37" t="s">
        <v>177</v>
      </c>
      <c r="I56" s="35"/>
      <c r="J56" s="37" t="s">
        <v>54</v>
      </c>
      <c r="K56" s="35" t="s">
        <v>178</v>
      </c>
      <c r="L56" s="37" t="s">
        <v>145</v>
      </c>
      <c r="M56" s="37" t="s">
        <v>66</v>
      </c>
      <c r="N56" s="35" t="s">
        <v>169</v>
      </c>
      <c r="O56" s="35" t="s">
        <v>170</v>
      </c>
      <c r="P56" s="37">
        <v>1</v>
      </c>
      <c r="Q56" s="37" t="e">
        <f>VLOOKUP(D56,#REF!,9,FALSE)</f>
        <v>#REF!</v>
      </c>
      <c r="R56" s="37" t="s">
        <v>149</v>
      </c>
      <c r="S56" s="35" t="s">
        <v>184</v>
      </c>
      <c r="T56" s="37">
        <v>340</v>
      </c>
      <c r="U56" s="37">
        <v>340</v>
      </c>
      <c r="V56" s="37">
        <v>250</v>
      </c>
      <c r="W56" s="38">
        <f t="shared" si="7"/>
        <v>28900000</v>
      </c>
      <c r="X56" s="38"/>
      <c r="Y56" s="36">
        <v>4.8</v>
      </c>
      <c r="Z56" s="36">
        <v>1.7</v>
      </c>
      <c r="AA56" s="39">
        <v>6.5</v>
      </c>
      <c r="AB56" s="37">
        <v>1000</v>
      </c>
      <c r="AC56" s="35">
        <v>1000</v>
      </c>
      <c r="AD56" s="36">
        <v>130</v>
      </c>
      <c r="AE56" s="35">
        <f t="shared" si="8"/>
        <v>130000000</v>
      </c>
      <c r="AF56" s="37">
        <v>13</v>
      </c>
      <c r="AG56" s="37">
        <v>9</v>
      </c>
      <c r="AH56" s="37">
        <v>4</v>
      </c>
      <c r="AI56" s="37" t="s">
        <v>180</v>
      </c>
      <c r="AJ56" s="40">
        <f t="shared" si="3"/>
        <v>1000</v>
      </c>
      <c r="AK56" s="40">
        <f t="shared" si="3"/>
        <v>1000</v>
      </c>
      <c r="AL56" s="40">
        <f t="shared" si="4"/>
        <v>1130</v>
      </c>
      <c r="AM56" s="26">
        <f t="shared" si="5"/>
        <v>1130000000</v>
      </c>
      <c r="AN56" s="37" t="s">
        <v>152</v>
      </c>
      <c r="AO56" s="37" t="s">
        <v>153</v>
      </c>
      <c r="AP56" s="35"/>
      <c r="AQ56" s="35"/>
      <c r="AR56" s="37"/>
      <c r="AS56" s="35"/>
      <c r="AT56" s="37">
        <v>36</v>
      </c>
      <c r="AU56" s="41">
        <f t="shared" si="0"/>
        <v>1040400000</v>
      </c>
      <c r="AV56" s="42">
        <f t="shared" si="1"/>
        <v>234</v>
      </c>
      <c r="AW56" s="36" t="s">
        <v>161</v>
      </c>
    </row>
    <row r="57" spans="1:49" hidden="1" x14ac:dyDescent="0.2">
      <c r="A57" s="35" t="s">
        <v>140</v>
      </c>
      <c r="B57" s="35" t="s">
        <v>141</v>
      </c>
      <c r="C57" s="67" t="s">
        <v>381</v>
      </c>
      <c r="D57" s="37"/>
      <c r="E57" s="35"/>
      <c r="F57" s="37"/>
      <c r="G57" s="35" t="s">
        <v>142</v>
      </c>
      <c r="H57" s="37" t="s">
        <v>177</v>
      </c>
      <c r="I57" s="35"/>
      <c r="J57" s="37" t="s">
        <v>54</v>
      </c>
      <c r="K57" s="35" t="s">
        <v>178</v>
      </c>
      <c r="L57" s="37" t="s">
        <v>145</v>
      </c>
      <c r="M57" s="37" t="s">
        <v>66</v>
      </c>
      <c r="N57" s="35" t="s">
        <v>169</v>
      </c>
      <c r="O57" s="35" t="s">
        <v>170</v>
      </c>
      <c r="P57" s="37">
        <v>1</v>
      </c>
      <c r="Q57" s="37" t="e">
        <f>VLOOKUP(D57,#REF!,9,FALSE)</f>
        <v>#REF!</v>
      </c>
      <c r="R57" s="37" t="s">
        <v>149</v>
      </c>
      <c r="S57" s="35" t="s">
        <v>184</v>
      </c>
      <c r="T57" s="37">
        <v>340</v>
      </c>
      <c r="U57" s="37">
        <v>340</v>
      </c>
      <c r="V57" s="37">
        <v>250</v>
      </c>
      <c r="W57" s="38">
        <f t="shared" si="7"/>
        <v>28900000</v>
      </c>
      <c r="X57" s="38"/>
      <c r="Y57" s="36">
        <v>4.68</v>
      </c>
      <c r="Z57" s="36">
        <v>1.7</v>
      </c>
      <c r="AA57" s="39">
        <v>6.38</v>
      </c>
      <c r="AB57" s="37">
        <v>1000</v>
      </c>
      <c r="AC57" s="35">
        <v>1000</v>
      </c>
      <c r="AD57" s="36">
        <v>130</v>
      </c>
      <c r="AE57" s="35">
        <f t="shared" si="8"/>
        <v>130000000</v>
      </c>
      <c r="AF57" s="37">
        <v>13</v>
      </c>
      <c r="AG57" s="37">
        <v>9</v>
      </c>
      <c r="AH57" s="37">
        <v>4</v>
      </c>
      <c r="AI57" s="37" t="s">
        <v>180</v>
      </c>
      <c r="AJ57" s="40">
        <f t="shared" si="3"/>
        <v>1000</v>
      </c>
      <c r="AK57" s="40">
        <f t="shared" si="3"/>
        <v>1000</v>
      </c>
      <c r="AL57" s="40">
        <f t="shared" si="4"/>
        <v>1130</v>
      </c>
      <c r="AM57" s="26">
        <f t="shared" si="5"/>
        <v>1130000000</v>
      </c>
      <c r="AN57" s="37" t="s">
        <v>152</v>
      </c>
      <c r="AO57" s="37" t="s">
        <v>153</v>
      </c>
      <c r="AP57" s="35"/>
      <c r="AQ57" s="35"/>
      <c r="AR57" s="37"/>
      <c r="AS57" s="35"/>
      <c r="AT57" s="37">
        <v>432</v>
      </c>
      <c r="AU57" s="41">
        <f t="shared" si="0"/>
        <v>12484800000</v>
      </c>
      <c r="AV57" s="42">
        <f t="shared" si="1"/>
        <v>2756.16</v>
      </c>
      <c r="AW57" s="36" t="s">
        <v>161</v>
      </c>
    </row>
    <row r="58" spans="1:49" x14ac:dyDescent="0.2">
      <c r="A58" s="35" t="s">
        <v>140</v>
      </c>
      <c r="B58" s="35" t="s">
        <v>141</v>
      </c>
      <c r="C58" s="37" t="s">
        <v>330</v>
      </c>
      <c r="D58" s="37"/>
      <c r="E58" s="35"/>
      <c r="F58" s="37"/>
      <c r="G58" s="35" t="s">
        <v>142</v>
      </c>
      <c r="H58" s="37" t="s">
        <v>177</v>
      </c>
      <c r="I58" s="35"/>
      <c r="J58" s="37" t="s">
        <v>54</v>
      </c>
      <c r="K58" s="35" t="s">
        <v>178</v>
      </c>
      <c r="L58" s="37" t="s">
        <v>145</v>
      </c>
      <c r="M58" s="37" t="s">
        <v>63</v>
      </c>
      <c r="N58" s="35" t="s">
        <v>156</v>
      </c>
      <c r="O58" s="35" t="s">
        <v>156</v>
      </c>
      <c r="P58" s="37">
        <v>1</v>
      </c>
      <c r="Q58" s="37" t="e">
        <f>VLOOKUP(D58,#REF!,9,FALSE)</f>
        <v>#REF!</v>
      </c>
      <c r="R58" s="37" t="s">
        <v>149</v>
      </c>
      <c r="S58" s="35" t="s">
        <v>184</v>
      </c>
      <c r="T58" s="37">
        <v>340</v>
      </c>
      <c r="U58" s="37">
        <v>340</v>
      </c>
      <c r="V58" s="37">
        <v>250</v>
      </c>
      <c r="W58" s="38">
        <f t="shared" ref="W58:W59" si="12">T58/1000*U58/1000*V58/1000</f>
        <v>2.8900000000000002E-2</v>
      </c>
      <c r="X58" s="38"/>
      <c r="Y58" s="36">
        <v>4.8</v>
      </c>
      <c r="Z58" s="36">
        <v>1.7</v>
      </c>
      <c r="AA58" s="39">
        <v>6.5</v>
      </c>
      <c r="AB58" s="37">
        <v>1000</v>
      </c>
      <c r="AC58" s="35">
        <v>1000</v>
      </c>
      <c r="AD58" s="36">
        <v>130</v>
      </c>
      <c r="AE58" s="35">
        <f t="shared" si="8"/>
        <v>130000000</v>
      </c>
      <c r="AF58" s="37">
        <v>13</v>
      </c>
      <c r="AG58" s="37">
        <v>9</v>
      </c>
      <c r="AH58" s="37">
        <v>4</v>
      </c>
      <c r="AI58" s="37" t="s">
        <v>180</v>
      </c>
      <c r="AJ58" s="40">
        <f t="shared" si="3"/>
        <v>1000</v>
      </c>
      <c r="AK58" s="40">
        <f t="shared" si="3"/>
        <v>1000</v>
      </c>
      <c r="AL58" s="40">
        <f t="shared" si="4"/>
        <v>1130</v>
      </c>
      <c r="AM58" s="26">
        <f t="shared" si="5"/>
        <v>1130000000</v>
      </c>
      <c r="AN58" s="37" t="s">
        <v>152</v>
      </c>
      <c r="AO58" s="37" t="s">
        <v>153</v>
      </c>
      <c r="AP58" s="35"/>
      <c r="AQ58" s="35"/>
      <c r="AR58" s="37"/>
      <c r="AS58" s="35"/>
      <c r="AT58" s="37">
        <v>324</v>
      </c>
      <c r="AU58" s="41">
        <f t="shared" si="0"/>
        <v>9.3635999999999999</v>
      </c>
      <c r="AV58" s="42">
        <f t="shared" si="1"/>
        <v>2106</v>
      </c>
      <c r="AW58" s="36" t="s">
        <v>158</v>
      </c>
    </row>
    <row r="59" spans="1:49" x14ac:dyDescent="0.2">
      <c r="A59" s="35" t="s">
        <v>140</v>
      </c>
      <c r="B59" s="35" t="s">
        <v>141</v>
      </c>
      <c r="C59" s="67" t="s">
        <v>382</v>
      </c>
      <c r="D59" s="37"/>
      <c r="E59" s="35"/>
      <c r="F59" s="37"/>
      <c r="G59" s="35" t="s">
        <v>142</v>
      </c>
      <c r="H59" s="37" t="s">
        <v>177</v>
      </c>
      <c r="I59" s="35"/>
      <c r="J59" s="37" t="s">
        <v>54</v>
      </c>
      <c r="K59" s="35" t="s">
        <v>178</v>
      </c>
      <c r="L59" s="37" t="s">
        <v>145</v>
      </c>
      <c r="M59" s="37" t="s">
        <v>61</v>
      </c>
      <c r="N59" s="35" t="s">
        <v>156</v>
      </c>
      <c r="O59" s="35" t="s">
        <v>157</v>
      </c>
      <c r="P59" s="37">
        <v>1</v>
      </c>
      <c r="Q59" s="37" t="e">
        <f>VLOOKUP(D59,#REF!,9,FALSE)</f>
        <v>#REF!</v>
      </c>
      <c r="R59" s="37" t="s">
        <v>149</v>
      </c>
      <c r="S59" s="35" t="s">
        <v>184</v>
      </c>
      <c r="T59" s="37">
        <v>340</v>
      </c>
      <c r="U59" s="37">
        <v>340</v>
      </c>
      <c r="V59" s="37">
        <v>250</v>
      </c>
      <c r="W59" s="38">
        <f t="shared" si="12"/>
        <v>2.8900000000000002E-2</v>
      </c>
      <c r="X59" s="38"/>
      <c r="Y59" s="36">
        <v>4.8</v>
      </c>
      <c r="Z59" s="36">
        <v>1.7</v>
      </c>
      <c r="AA59" s="39">
        <v>6.5</v>
      </c>
      <c r="AB59" s="37">
        <v>1000</v>
      </c>
      <c r="AC59" s="35">
        <v>1000</v>
      </c>
      <c r="AD59" s="36">
        <v>130</v>
      </c>
      <c r="AE59" s="35">
        <f t="shared" si="8"/>
        <v>130000000</v>
      </c>
      <c r="AF59" s="37">
        <v>13</v>
      </c>
      <c r="AG59" s="37">
        <v>9</v>
      </c>
      <c r="AH59" s="37">
        <v>4</v>
      </c>
      <c r="AI59" s="37" t="s">
        <v>180</v>
      </c>
      <c r="AJ59" s="40">
        <f t="shared" si="3"/>
        <v>1000</v>
      </c>
      <c r="AK59" s="40">
        <f t="shared" si="3"/>
        <v>1000</v>
      </c>
      <c r="AL59" s="40">
        <f t="shared" si="4"/>
        <v>1130</v>
      </c>
      <c r="AM59" s="26">
        <f t="shared" si="5"/>
        <v>1130000000</v>
      </c>
      <c r="AN59" s="37" t="s">
        <v>152</v>
      </c>
      <c r="AO59" s="37" t="s">
        <v>153</v>
      </c>
      <c r="AP59" s="35"/>
      <c r="AQ59" s="35"/>
      <c r="AR59" s="37"/>
      <c r="AS59" s="35"/>
      <c r="AT59" s="37">
        <v>2268</v>
      </c>
      <c r="AU59" s="41">
        <f t="shared" si="0"/>
        <v>65.545200000000008</v>
      </c>
      <c r="AV59" s="42">
        <f t="shared" si="1"/>
        <v>14742</v>
      </c>
      <c r="AW59" s="36" t="s">
        <v>158</v>
      </c>
    </row>
    <row r="60" spans="1:49" hidden="1" x14ac:dyDescent="0.2">
      <c r="A60" s="35" t="s">
        <v>140</v>
      </c>
      <c r="B60" s="35" t="s">
        <v>141</v>
      </c>
      <c r="C60" s="37" t="s">
        <v>382</v>
      </c>
      <c r="D60" s="37"/>
      <c r="E60" s="35"/>
      <c r="F60" s="37"/>
      <c r="G60" s="35" t="s">
        <v>142</v>
      </c>
      <c r="H60" s="37" t="s">
        <v>177</v>
      </c>
      <c r="I60" s="35"/>
      <c r="J60" s="37" t="s">
        <v>54</v>
      </c>
      <c r="K60" s="35" t="s">
        <v>178</v>
      </c>
      <c r="L60" s="37" t="s">
        <v>145</v>
      </c>
      <c r="M60" s="37" t="s">
        <v>74</v>
      </c>
      <c r="N60" s="35" t="s">
        <v>144</v>
      </c>
      <c r="O60" s="35" t="s">
        <v>160</v>
      </c>
      <c r="P60" s="37">
        <v>1</v>
      </c>
      <c r="Q60" s="37" t="e">
        <f>VLOOKUP(D60,#REF!,9,FALSE)</f>
        <v>#REF!</v>
      </c>
      <c r="R60" s="37" t="s">
        <v>149</v>
      </c>
      <c r="S60" s="35" t="s">
        <v>184</v>
      </c>
      <c r="T60" s="37">
        <v>340</v>
      </c>
      <c r="U60" s="37">
        <v>340</v>
      </c>
      <c r="V60" s="37">
        <v>250</v>
      </c>
      <c r="W60" s="38">
        <f t="shared" si="7"/>
        <v>28900000</v>
      </c>
      <c r="X60" s="38"/>
      <c r="Y60" s="36">
        <v>4.8</v>
      </c>
      <c r="Z60" s="36">
        <v>1.7</v>
      </c>
      <c r="AA60" s="39">
        <v>6.5</v>
      </c>
      <c r="AB60" s="37">
        <v>1000</v>
      </c>
      <c r="AC60" s="35">
        <v>1000</v>
      </c>
      <c r="AD60" s="36">
        <v>130</v>
      </c>
      <c r="AE60" s="35">
        <f t="shared" si="8"/>
        <v>130000000</v>
      </c>
      <c r="AF60" s="37">
        <v>13</v>
      </c>
      <c r="AG60" s="37">
        <v>9</v>
      </c>
      <c r="AH60" s="37">
        <v>4</v>
      </c>
      <c r="AI60" s="37" t="s">
        <v>180</v>
      </c>
      <c r="AJ60" s="40">
        <f t="shared" si="3"/>
        <v>1000</v>
      </c>
      <c r="AK60" s="40">
        <f t="shared" si="3"/>
        <v>1000</v>
      </c>
      <c r="AL60" s="40">
        <f t="shared" si="4"/>
        <v>1130</v>
      </c>
      <c r="AM60" s="26">
        <f t="shared" si="5"/>
        <v>1130000000</v>
      </c>
      <c r="AN60" s="37" t="s">
        <v>152</v>
      </c>
      <c r="AO60" s="37" t="s">
        <v>153</v>
      </c>
      <c r="AP60" s="35"/>
      <c r="AQ60" s="35"/>
      <c r="AR60" s="37"/>
      <c r="AS60" s="35"/>
      <c r="AT60" s="37">
        <v>3636</v>
      </c>
      <c r="AU60" s="41">
        <f t="shared" si="0"/>
        <v>105080400000</v>
      </c>
      <c r="AV60" s="42">
        <f t="shared" si="1"/>
        <v>23634</v>
      </c>
      <c r="AW60" s="36" t="s">
        <v>161</v>
      </c>
    </row>
    <row r="61" spans="1:49" hidden="1" x14ac:dyDescent="0.2">
      <c r="A61" s="35" t="s">
        <v>140</v>
      </c>
      <c r="B61" s="35" t="s">
        <v>141</v>
      </c>
      <c r="C61" s="37" t="s">
        <v>382</v>
      </c>
      <c r="D61" s="37"/>
      <c r="E61" s="35"/>
      <c r="F61" s="37"/>
      <c r="G61" s="35" t="s">
        <v>142</v>
      </c>
      <c r="H61" s="37" t="s">
        <v>177</v>
      </c>
      <c r="I61" s="35"/>
      <c r="J61" s="37" t="s">
        <v>54</v>
      </c>
      <c r="K61" s="35" t="s">
        <v>178</v>
      </c>
      <c r="L61" s="37" t="s">
        <v>145</v>
      </c>
      <c r="M61" s="37" t="s">
        <v>70</v>
      </c>
      <c r="N61" s="35" t="s">
        <v>162</v>
      </c>
      <c r="O61" s="35" t="s">
        <v>163</v>
      </c>
      <c r="P61" s="37">
        <v>1</v>
      </c>
      <c r="Q61" s="37" t="e">
        <f>VLOOKUP(D61,#REF!,9,FALSE)</f>
        <v>#REF!</v>
      </c>
      <c r="R61" s="37" t="s">
        <v>149</v>
      </c>
      <c r="S61" s="35" t="s">
        <v>184</v>
      </c>
      <c r="T61" s="37">
        <v>340</v>
      </c>
      <c r="U61" s="37">
        <v>340</v>
      </c>
      <c r="V61" s="37">
        <v>250</v>
      </c>
      <c r="W61" s="38">
        <f t="shared" si="7"/>
        <v>28900000</v>
      </c>
      <c r="X61" s="38"/>
      <c r="Y61" s="36">
        <v>4.8</v>
      </c>
      <c r="Z61" s="36">
        <v>1.7</v>
      </c>
      <c r="AA61" s="39">
        <v>6.5</v>
      </c>
      <c r="AB61" s="37">
        <v>1000</v>
      </c>
      <c r="AC61" s="35">
        <v>1000</v>
      </c>
      <c r="AD61" s="36">
        <v>130</v>
      </c>
      <c r="AE61" s="35">
        <f t="shared" si="8"/>
        <v>130000000</v>
      </c>
      <c r="AF61" s="37">
        <v>13</v>
      </c>
      <c r="AG61" s="37">
        <v>9</v>
      </c>
      <c r="AH61" s="37">
        <v>4</v>
      </c>
      <c r="AI61" s="37" t="s">
        <v>180</v>
      </c>
      <c r="AJ61" s="40">
        <f t="shared" si="3"/>
        <v>1000</v>
      </c>
      <c r="AK61" s="40">
        <f t="shared" si="3"/>
        <v>1000</v>
      </c>
      <c r="AL61" s="40">
        <f t="shared" si="4"/>
        <v>1130</v>
      </c>
      <c r="AM61" s="26">
        <f t="shared" si="5"/>
        <v>1130000000</v>
      </c>
      <c r="AN61" s="37" t="s">
        <v>152</v>
      </c>
      <c r="AO61" s="37" t="s">
        <v>153</v>
      </c>
      <c r="AP61" s="35"/>
      <c r="AQ61" s="35"/>
      <c r="AR61" s="37"/>
      <c r="AS61" s="35"/>
      <c r="AT61" s="37">
        <v>2412</v>
      </c>
      <c r="AU61" s="41">
        <f t="shared" si="0"/>
        <v>69706800000</v>
      </c>
      <c r="AV61" s="42">
        <f t="shared" si="1"/>
        <v>15678</v>
      </c>
      <c r="AW61" s="36" t="s">
        <v>164</v>
      </c>
    </row>
    <row r="62" spans="1:49" hidden="1" x14ac:dyDescent="0.2">
      <c r="A62" s="35" t="s">
        <v>140</v>
      </c>
      <c r="B62" s="35" t="s">
        <v>141</v>
      </c>
      <c r="C62" s="37" t="s">
        <v>382</v>
      </c>
      <c r="D62" s="37"/>
      <c r="E62" s="35"/>
      <c r="F62" s="37"/>
      <c r="G62" s="35" t="s">
        <v>142</v>
      </c>
      <c r="H62" s="37" t="s">
        <v>177</v>
      </c>
      <c r="I62" s="35"/>
      <c r="J62" s="37" t="s">
        <v>54</v>
      </c>
      <c r="K62" s="35" t="s">
        <v>178</v>
      </c>
      <c r="L62" s="37" t="s">
        <v>145</v>
      </c>
      <c r="M62" s="37" t="s">
        <v>66</v>
      </c>
      <c r="N62" s="35" t="s">
        <v>169</v>
      </c>
      <c r="O62" s="35" t="s">
        <v>170</v>
      </c>
      <c r="P62" s="37">
        <v>1</v>
      </c>
      <c r="Q62" s="37" t="e">
        <f>VLOOKUP(D62,#REF!,9,FALSE)</f>
        <v>#REF!</v>
      </c>
      <c r="R62" s="37" t="s">
        <v>149</v>
      </c>
      <c r="S62" s="35" t="s">
        <v>184</v>
      </c>
      <c r="T62" s="37">
        <v>340</v>
      </c>
      <c r="U62" s="37">
        <v>340</v>
      </c>
      <c r="V62" s="37">
        <v>250</v>
      </c>
      <c r="W62" s="38">
        <f t="shared" si="7"/>
        <v>28900000</v>
      </c>
      <c r="X62" s="38"/>
      <c r="Y62" s="36">
        <v>4.8</v>
      </c>
      <c r="Z62" s="36">
        <v>1.7</v>
      </c>
      <c r="AA62" s="39">
        <v>6.5</v>
      </c>
      <c r="AB62" s="37">
        <v>1000</v>
      </c>
      <c r="AC62" s="35">
        <v>1000</v>
      </c>
      <c r="AD62" s="36">
        <v>130</v>
      </c>
      <c r="AE62" s="35">
        <f t="shared" si="8"/>
        <v>130000000</v>
      </c>
      <c r="AF62" s="37">
        <v>13</v>
      </c>
      <c r="AG62" s="37">
        <v>9</v>
      </c>
      <c r="AH62" s="37">
        <v>4</v>
      </c>
      <c r="AI62" s="37" t="s">
        <v>180</v>
      </c>
      <c r="AJ62" s="40">
        <f t="shared" si="3"/>
        <v>1000</v>
      </c>
      <c r="AK62" s="40">
        <f t="shared" si="3"/>
        <v>1000</v>
      </c>
      <c r="AL62" s="40">
        <f t="shared" si="4"/>
        <v>1130</v>
      </c>
      <c r="AM62" s="26">
        <f t="shared" si="5"/>
        <v>1130000000</v>
      </c>
      <c r="AN62" s="37" t="s">
        <v>152</v>
      </c>
      <c r="AO62" s="37" t="s">
        <v>153</v>
      </c>
      <c r="AP62" s="35"/>
      <c r="AQ62" s="35"/>
      <c r="AR62" s="37"/>
      <c r="AS62" s="35"/>
      <c r="AT62" s="37">
        <v>1296</v>
      </c>
      <c r="AU62" s="41">
        <f t="shared" si="0"/>
        <v>37454400000</v>
      </c>
      <c r="AV62" s="42">
        <f t="shared" si="1"/>
        <v>8424</v>
      </c>
      <c r="AW62" s="36" t="s">
        <v>161</v>
      </c>
    </row>
    <row r="63" spans="1:49" hidden="1" x14ac:dyDescent="0.2">
      <c r="A63" s="35" t="s">
        <v>140</v>
      </c>
      <c r="B63" s="35" t="s">
        <v>141</v>
      </c>
      <c r="C63" s="67" t="s">
        <v>383</v>
      </c>
      <c r="D63" s="37"/>
      <c r="E63" s="35"/>
      <c r="F63" s="37"/>
      <c r="G63" s="35" t="s">
        <v>142</v>
      </c>
      <c r="H63" s="37" t="s">
        <v>177</v>
      </c>
      <c r="I63" s="35"/>
      <c r="J63" s="37" t="s">
        <v>54</v>
      </c>
      <c r="K63" s="35" t="s">
        <v>178</v>
      </c>
      <c r="L63" s="37" t="s">
        <v>145</v>
      </c>
      <c r="M63" s="37" t="s">
        <v>66</v>
      </c>
      <c r="N63" s="35" t="s">
        <v>169</v>
      </c>
      <c r="O63" s="35" t="s">
        <v>170</v>
      </c>
      <c r="P63" s="37">
        <v>1</v>
      </c>
      <c r="Q63" s="37" t="e">
        <f>VLOOKUP(D63,#REF!,9,FALSE)</f>
        <v>#REF!</v>
      </c>
      <c r="R63" s="37" t="s">
        <v>149</v>
      </c>
      <c r="S63" s="35" t="s">
        <v>184</v>
      </c>
      <c r="T63" s="37">
        <v>340</v>
      </c>
      <c r="U63" s="37">
        <v>340</v>
      </c>
      <c r="V63" s="37">
        <v>250</v>
      </c>
      <c r="W63" s="38">
        <f t="shared" si="7"/>
        <v>28900000</v>
      </c>
      <c r="X63" s="38"/>
      <c r="Y63" s="36">
        <v>4.6959999999999997</v>
      </c>
      <c r="Z63" s="36">
        <v>1.7</v>
      </c>
      <c r="AA63" s="39">
        <v>6.3959999999999999</v>
      </c>
      <c r="AB63" s="37">
        <v>1000</v>
      </c>
      <c r="AC63" s="35">
        <v>1000</v>
      </c>
      <c r="AD63" s="36">
        <v>130</v>
      </c>
      <c r="AE63" s="35">
        <f t="shared" si="8"/>
        <v>130000000</v>
      </c>
      <c r="AF63" s="37">
        <v>13</v>
      </c>
      <c r="AG63" s="37">
        <v>9</v>
      </c>
      <c r="AH63" s="37">
        <v>4</v>
      </c>
      <c r="AI63" s="37" t="s">
        <v>180</v>
      </c>
      <c r="AJ63" s="40">
        <f t="shared" si="3"/>
        <v>1000</v>
      </c>
      <c r="AK63" s="40">
        <f t="shared" si="3"/>
        <v>1000</v>
      </c>
      <c r="AL63" s="40">
        <f t="shared" si="4"/>
        <v>1130</v>
      </c>
      <c r="AM63" s="26">
        <f t="shared" si="5"/>
        <v>1130000000</v>
      </c>
      <c r="AN63" s="37" t="s">
        <v>152</v>
      </c>
      <c r="AO63" s="37" t="s">
        <v>153</v>
      </c>
      <c r="AP63" s="35"/>
      <c r="AQ63" s="35"/>
      <c r="AR63" s="37"/>
      <c r="AS63" s="35"/>
      <c r="AT63" s="37">
        <v>2016</v>
      </c>
      <c r="AU63" s="41">
        <f t="shared" si="0"/>
        <v>58262400000</v>
      </c>
      <c r="AV63" s="42">
        <f t="shared" si="1"/>
        <v>12894.335999999999</v>
      </c>
      <c r="AW63" s="36" t="s">
        <v>161</v>
      </c>
    </row>
    <row r="64" spans="1:49" x14ac:dyDescent="0.2">
      <c r="A64" s="35" t="s">
        <v>140</v>
      </c>
      <c r="B64" s="35" t="s">
        <v>141</v>
      </c>
      <c r="C64" s="67" t="s">
        <v>384</v>
      </c>
      <c r="D64" s="37"/>
      <c r="E64" s="35"/>
      <c r="F64" s="37"/>
      <c r="G64" s="35" t="s">
        <v>142</v>
      </c>
      <c r="H64" s="37" t="s">
        <v>177</v>
      </c>
      <c r="I64" s="35"/>
      <c r="J64" s="37" t="s">
        <v>54</v>
      </c>
      <c r="K64" s="35" t="s">
        <v>178</v>
      </c>
      <c r="L64" s="37" t="s">
        <v>145</v>
      </c>
      <c r="M64" s="37" t="s">
        <v>61</v>
      </c>
      <c r="N64" s="35" t="s">
        <v>156</v>
      </c>
      <c r="O64" s="35" t="s">
        <v>157</v>
      </c>
      <c r="P64" s="37">
        <v>1</v>
      </c>
      <c r="Q64" s="37" t="e">
        <f>VLOOKUP(D64,#REF!,9,FALSE)</f>
        <v>#REF!</v>
      </c>
      <c r="R64" s="37" t="s">
        <v>149</v>
      </c>
      <c r="S64" s="35" t="s">
        <v>184</v>
      </c>
      <c r="T64" s="37">
        <v>340</v>
      </c>
      <c r="U64" s="37">
        <v>340</v>
      </c>
      <c r="V64" s="37">
        <v>250</v>
      </c>
      <c r="W64" s="38">
        <f>T64/1000*U64/1000*V64/1000</f>
        <v>2.8900000000000002E-2</v>
      </c>
      <c r="X64" s="38"/>
      <c r="Y64" s="36">
        <v>4.8</v>
      </c>
      <c r="Z64" s="36">
        <v>1.7</v>
      </c>
      <c r="AA64" s="39">
        <v>6.5</v>
      </c>
      <c r="AB64" s="37">
        <v>1000</v>
      </c>
      <c r="AC64" s="35">
        <v>1000</v>
      </c>
      <c r="AD64" s="36">
        <v>130</v>
      </c>
      <c r="AE64" s="35">
        <f t="shared" si="8"/>
        <v>130000000</v>
      </c>
      <c r="AF64" s="37">
        <v>13</v>
      </c>
      <c r="AG64" s="37">
        <v>9</v>
      </c>
      <c r="AH64" s="37">
        <v>4</v>
      </c>
      <c r="AI64" s="37" t="s">
        <v>180</v>
      </c>
      <c r="AJ64" s="40">
        <f t="shared" si="3"/>
        <v>1000</v>
      </c>
      <c r="AK64" s="40">
        <f t="shared" si="3"/>
        <v>1000</v>
      </c>
      <c r="AL64" s="40">
        <f t="shared" si="4"/>
        <v>1130</v>
      </c>
      <c r="AM64" s="26">
        <f t="shared" si="5"/>
        <v>1130000000</v>
      </c>
      <c r="AN64" s="37" t="s">
        <v>152</v>
      </c>
      <c r="AO64" s="37" t="s">
        <v>153</v>
      </c>
      <c r="AP64" s="35"/>
      <c r="AQ64" s="35"/>
      <c r="AR64" s="37"/>
      <c r="AS64" s="35"/>
      <c r="AT64" s="37">
        <v>396</v>
      </c>
      <c r="AU64" s="41">
        <f t="shared" si="0"/>
        <v>11.444400000000002</v>
      </c>
      <c r="AV64" s="42">
        <f t="shared" si="1"/>
        <v>2574</v>
      </c>
      <c r="AW64" s="36" t="s">
        <v>158</v>
      </c>
    </row>
    <row r="65" spans="1:49" hidden="1" x14ac:dyDescent="0.2">
      <c r="A65" s="35" t="s">
        <v>140</v>
      </c>
      <c r="B65" s="35" t="s">
        <v>141</v>
      </c>
      <c r="C65" s="37" t="s">
        <v>384</v>
      </c>
      <c r="D65" s="37"/>
      <c r="E65" s="35"/>
      <c r="F65" s="37"/>
      <c r="G65" s="35" t="s">
        <v>142</v>
      </c>
      <c r="H65" s="37" t="s">
        <v>177</v>
      </c>
      <c r="I65" s="35"/>
      <c r="J65" s="37" t="s">
        <v>54</v>
      </c>
      <c r="K65" s="35" t="s">
        <v>178</v>
      </c>
      <c r="L65" s="37" t="s">
        <v>145</v>
      </c>
      <c r="M65" s="37" t="s">
        <v>70</v>
      </c>
      <c r="N65" s="35" t="s">
        <v>162</v>
      </c>
      <c r="O65" s="35" t="s">
        <v>163</v>
      </c>
      <c r="P65" s="37">
        <v>1</v>
      </c>
      <c r="Q65" s="37" t="e">
        <f>VLOOKUP(D65,#REF!,9,FALSE)</f>
        <v>#REF!</v>
      </c>
      <c r="R65" s="37" t="s">
        <v>149</v>
      </c>
      <c r="S65" s="35" t="s">
        <v>184</v>
      </c>
      <c r="T65" s="37">
        <v>340</v>
      </c>
      <c r="U65" s="37">
        <v>340</v>
      </c>
      <c r="V65" s="37">
        <v>250</v>
      </c>
      <c r="W65" s="38">
        <f t="shared" si="7"/>
        <v>28900000</v>
      </c>
      <c r="X65" s="38"/>
      <c r="Y65" s="36">
        <v>4.8</v>
      </c>
      <c r="Z65" s="36">
        <v>1.7</v>
      </c>
      <c r="AA65" s="39">
        <v>6.5</v>
      </c>
      <c r="AB65" s="37">
        <v>1000</v>
      </c>
      <c r="AC65" s="35">
        <v>1000</v>
      </c>
      <c r="AD65" s="36">
        <v>130</v>
      </c>
      <c r="AE65" s="35">
        <f t="shared" si="8"/>
        <v>130000000</v>
      </c>
      <c r="AF65" s="37">
        <v>13</v>
      </c>
      <c r="AG65" s="37">
        <v>9</v>
      </c>
      <c r="AH65" s="37">
        <v>4</v>
      </c>
      <c r="AI65" s="37" t="s">
        <v>180</v>
      </c>
      <c r="AJ65" s="40">
        <f t="shared" si="3"/>
        <v>1000</v>
      </c>
      <c r="AK65" s="40">
        <f t="shared" si="3"/>
        <v>1000</v>
      </c>
      <c r="AL65" s="40">
        <f t="shared" si="4"/>
        <v>1130</v>
      </c>
      <c r="AM65" s="26">
        <f t="shared" si="5"/>
        <v>1130000000</v>
      </c>
      <c r="AN65" s="37" t="s">
        <v>152</v>
      </c>
      <c r="AO65" s="37" t="s">
        <v>153</v>
      </c>
      <c r="AP65" s="35"/>
      <c r="AQ65" s="35"/>
      <c r="AR65" s="37"/>
      <c r="AS65" s="35"/>
      <c r="AT65" s="37">
        <v>432</v>
      </c>
      <c r="AU65" s="41">
        <f t="shared" si="0"/>
        <v>12484800000</v>
      </c>
      <c r="AV65" s="42">
        <f t="shared" si="1"/>
        <v>2808</v>
      </c>
      <c r="AW65" s="36" t="s">
        <v>164</v>
      </c>
    </row>
    <row r="66" spans="1:49" hidden="1" x14ac:dyDescent="0.2">
      <c r="A66" s="35" t="s">
        <v>140</v>
      </c>
      <c r="B66" s="35" t="s">
        <v>141</v>
      </c>
      <c r="C66" s="67" t="s">
        <v>385</v>
      </c>
      <c r="D66" s="37"/>
      <c r="E66" s="35"/>
      <c r="F66" s="37"/>
      <c r="G66" s="35" t="s">
        <v>142</v>
      </c>
      <c r="H66" s="37" t="s">
        <v>143</v>
      </c>
      <c r="I66" s="35"/>
      <c r="J66" s="37" t="s">
        <v>54</v>
      </c>
      <c r="K66" s="35" t="s">
        <v>144</v>
      </c>
      <c r="L66" s="37" t="s">
        <v>145</v>
      </c>
      <c r="M66" s="37" t="s">
        <v>72</v>
      </c>
      <c r="N66" s="35" t="s">
        <v>147</v>
      </c>
      <c r="O66" s="35" t="s">
        <v>148</v>
      </c>
      <c r="P66" s="37">
        <v>3</v>
      </c>
      <c r="Q66" s="37" t="e">
        <f>VLOOKUP(D66,#REF!,9,FALSE)</f>
        <v>#REF!</v>
      </c>
      <c r="R66" s="37" t="s">
        <v>149</v>
      </c>
      <c r="S66" s="35" t="s">
        <v>182</v>
      </c>
      <c r="T66" s="37">
        <v>340</v>
      </c>
      <c r="U66" s="37">
        <v>340</v>
      </c>
      <c r="V66" s="37">
        <v>210</v>
      </c>
      <c r="W66" s="38">
        <f t="shared" si="7"/>
        <v>24276000</v>
      </c>
      <c r="X66" s="38"/>
      <c r="Y66" s="36">
        <v>3.0659999999999998</v>
      </c>
      <c r="Z66" s="36">
        <v>2.63</v>
      </c>
      <c r="AA66" s="39">
        <v>11.827999999999999</v>
      </c>
      <c r="AB66" s="37">
        <v>1000</v>
      </c>
      <c r="AC66" s="35">
        <v>1000</v>
      </c>
      <c r="AD66" s="36">
        <v>130</v>
      </c>
      <c r="AE66" s="35">
        <f t="shared" si="8"/>
        <v>130000000</v>
      </c>
      <c r="AF66" s="37">
        <v>13</v>
      </c>
      <c r="AG66" s="37">
        <v>9</v>
      </c>
      <c r="AH66" s="37">
        <v>4</v>
      </c>
      <c r="AI66" s="37" t="s">
        <v>180</v>
      </c>
      <c r="AJ66" s="40">
        <f t="shared" si="3"/>
        <v>1000</v>
      </c>
      <c r="AK66" s="40">
        <f t="shared" si="3"/>
        <v>1000</v>
      </c>
      <c r="AL66" s="40">
        <f t="shared" si="4"/>
        <v>970</v>
      </c>
      <c r="AM66" s="26">
        <f t="shared" si="5"/>
        <v>970000000</v>
      </c>
      <c r="AN66" s="37" t="s">
        <v>152</v>
      </c>
      <c r="AO66" s="37" t="s">
        <v>153</v>
      </c>
      <c r="AP66" s="35"/>
      <c r="AQ66" s="35"/>
      <c r="AR66" s="37"/>
      <c r="AS66" s="35"/>
      <c r="AT66" s="37">
        <v>396</v>
      </c>
      <c r="AU66" s="41">
        <f t="shared" si="0"/>
        <v>9613296000</v>
      </c>
      <c r="AV66" s="42">
        <f t="shared" si="1"/>
        <v>4683.8879999999999</v>
      </c>
      <c r="AW66" s="36" t="s">
        <v>154</v>
      </c>
    </row>
    <row r="67" spans="1:49" hidden="1" x14ac:dyDescent="0.2">
      <c r="A67" s="35" t="s">
        <v>140</v>
      </c>
      <c r="B67" s="35" t="s">
        <v>141</v>
      </c>
      <c r="C67" s="37" t="s">
        <v>385</v>
      </c>
      <c r="D67" s="37"/>
      <c r="E67" s="35"/>
      <c r="F67" s="37"/>
      <c r="G67" s="35" t="s">
        <v>142</v>
      </c>
      <c r="H67" s="37" t="s">
        <v>143</v>
      </c>
      <c r="I67" s="35"/>
      <c r="J67" s="37" t="s">
        <v>54</v>
      </c>
      <c r="K67" s="35" t="s">
        <v>144</v>
      </c>
      <c r="L67" s="37" t="s">
        <v>145</v>
      </c>
      <c r="M67" s="37" t="s">
        <v>64</v>
      </c>
      <c r="N67" s="35" t="s">
        <v>171</v>
      </c>
      <c r="O67" s="35" t="s">
        <v>172</v>
      </c>
      <c r="P67" s="37">
        <v>3</v>
      </c>
      <c r="Q67" s="37" t="e">
        <f>VLOOKUP(D67,#REF!,9,FALSE)</f>
        <v>#REF!</v>
      </c>
      <c r="R67" s="37" t="s">
        <v>149</v>
      </c>
      <c r="S67" s="35" t="s">
        <v>182</v>
      </c>
      <c r="T67" s="37">
        <v>340</v>
      </c>
      <c r="U67" s="37">
        <v>340</v>
      </c>
      <c r="V67" s="37">
        <v>210</v>
      </c>
      <c r="W67" s="38">
        <f t="shared" si="7"/>
        <v>24276000</v>
      </c>
      <c r="X67" s="38"/>
      <c r="Y67" s="36">
        <v>3.0659999999999998</v>
      </c>
      <c r="Z67" s="36">
        <v>2.63</v>
      </c>
      <c r="AA67" s="39">
        <v>11.827999999999999</v>
      </c>
      <c r="AB67" s="37">
        <v>1000</v>
      </c>
      <c r="AC67" s="35">
        <v>1000</v>
      </c>
      <c r="AD67" s="36">
        <v>130</v>
      </c>
      <c r="AE67" s="35">
        <f t="shared" si="8"/>
        <v>130000000</v>
      </c>
      <c r="AF67" s="37">
        <v>13</v>
      </c>
      <c r="AG67" s="37">
        <v>9</v>
      </c>
      <c r="AH67" s="37">
        <v>4</v>
      </c>
      <c r="AI67" s="37" t="s">
        <v>180</v>
      </c>
      <c r="AJ67" s="40">
        <f t="shared" si="3"/>
        <v>1000</v>
      </c>
      <c r="AK67" s="40">
        <f t="shared" si="3"/>
        <v>1000</v>
      </c>
      <c r="AL67" s="40">
        <f t="shared" si="4"/>
        <v>970</v>
      </c>
      <c r="AM67" s="26">
        <f t="shared" si="5"/>
        <v>970000000</v>
      </c>
      <c r="AN67" s="37" t="s">
        <v>152</v>
      </c>
      <c r="AO67" s="37" t="s">
        <v>153</v>
      </c>
      <c r="AP67" s="35"/>
      <c r="AQ67" s="35"/>
      <c r="AR67" s="37"/>
      <c r="AS67" s="35"/>
      <c r="AT67" s="37">
        <v>1008</v>
      </c>
      <c r="AU67" s="41">
        <f t="shared" si="0"/>
        <v>24470208000</v>
      </c>
      <c r="AV67" s="42">
        <f t="shared" si="1"/>
        <v>11922.624</v>
      </c>
      <c r="AW67" s="36" t="s">
        <v>173</v>
      </c>
    </row>
    <row r="68" spans="1:49" x14ac:dyDescent="0.2">
      <c r="A68" s="35" t="s">
        <v>140</v>
      </c>
      <c r="B68" s="35" t="s">
        <v>141</v>
      </c>
      <c r="C68" s="67" t="s">
        <v>386</v>
      </c>
      <c r="D68" s="37"/>
      <c r="E68" s="35"/>
      <c r="F68" s="37"/>
      <c r="G68" s="35" t="s">
        <v>142</v>
      </c>
      <c r="H68" s="37" t="s">
        <v>177</v>
      </c>
      <c r="I68" s="35"/>
      <c r="J68" s="37" t="s">
        <v>54</v>
      </c>
      <c r="K68" s="35" t="s">
        <v>178</v>
      </c>
      <c r="L68" s="37" t="s">
        <v>145</v>
      </c>
      <c r="M68" s="37" t="s">
        <v>58</v>
      </c>
      <c r="N68" s="35" t="s">
        <v>156</v>
      </c>
      <c r="O68" s="35" t="s">
        <v>157</v>
      </c>
      <c r="P68" s="37">
        <v>2</v>
      </c>
      <c r="Q68" s="37" t="e">
        <f>VLOOKUP(D68,#REF!,9,FALSE)</f>
        <v>#REF!</v>
      </c>
      <c r="R68" s="37" t="s">
        <v>149</v>
      </c>
      <c r="S68" s="35" t="s">
        <v>193</v>
      </c>
      <c r="T68" s="37">
        <v>340</v>
      </c>
      <c r="U68" s="37">
        <v>340</v>
      </c>
      <c r="V68" s="37">
        <v>260</v>
      </c>
      <c r="W68" s="38">
        <f t="shared" ref="W68:W71" si="13">T68/1000*U68/1000*V68/1000</f>
        <v>3.0055999999999999E-2</v>
      </c>
      <c r="X68" s="38"/>
      <c r="Y68" s="36">
        <v>3.5</v>
      </c>
      <c r="Z68" s="36">
        <v>2.6</v>
      </c>
      <c r="AA68" s="39">
        <v>10</v>
      </c>
      <c r="AB68" s="37">
        <v>1000</v>
      </c>
      <c r="AC68" s="35">
        <v>1000</v>
      </c>
      <c r="AD68" s="36">
        <v>130</v>
      </c>
      <c r="AE68" s="35">
        <f t="shared" si="8"/>
        <v>130000000</v>
      </c>
      <c r="AF68" s="37">
        <v>13</v>
      </c>
      <c r="AG68" s="37">
        <v>9</v>
      </c>
      <c r="AH68" s="37">
        <v>4</v>
      </c>
      <c r="AI68" s="37" t="s">
        <v>180</v>
      </c>
      <c r="AJ68" s="40">
        <f t="shared" si="3"/>
        <v>1000</v>
      </c>
      <c r="AK68" s="40">
        <f t="shared" si="3"/>
        <v>1000</v>
      </c>
      <c r="AL68" s="40">
        <f t="shared" si="4"/>
        <v>1170</v>
      </c>
      <c r="AM68" s="26">
        <f t="shared" si="5"/>
        <v>1170000000</v>
      </c>
      <c r="AN68" s="37" t="s">
        <v>152</v>
      </c>
      <c r="AO68" s="37" t="s">
        <v>153</v>
      </c>
      <c r="AP68" s="35"/>
      <c r="AQ68" s="35"/>
      <c r="AR68" s="37"/>
      <c r="AS68" s="35"/>
      <c r="AT68" s="37">
        <v>2016</v>
      </c>
      <c r="AU68" s="41">
        <f t="shared" si="0"/>
        <v>60.592895999999996</v>
      </c>
      <c r="AV68" s="42">
        <f t="shared" si="1"/>
        <v>20160</v>
      </c>
      <c r="AW68" s="36" t="s">
        <v>158</v>
      </c>
    </row>
    <row r="69" spans="1:49" x14ac:dyDescent="0.2">
      <c r="A69" s="35" t="s">
        <v>140</v>
      </c>
      <c r="B69" s="35" t="s">
        <v>141</v>
      </c>
      <c r="C69" s="67" t="s">
        <v>387</v>
      </c>
      <c r="D69" s="37"/>
      <c r="E69" s="35"/>
      <c r="F69" s="37"/>
      <c r="G69" s="35" t="s">
        <v>142</v>
      </c>
      <c r="H69" s="37" t="s">
        <v>177</v>
      </c>
      <c r="I69" s="35"/>
      <c r="J69" s="37" t="s">
        <v>54</v>
      </c>
      <c r="K69" s="35" t="s">
        <v>178</v>
      </c>
      <c r="L69" s="37" t="s">
        <v>145</v>
      </c>
      <c r="M69" s="37" t="s">
        <v>58</v>
      </c>
      <c r="N69" s="35" t="s">
        <v>156</v>
      </c>
      <c r="O69" s="35" t="s">
        <v>157</v>
      </c>
      <c r="P69" s="37">
        <v>2</v>
      </c>
      <c r="Q69" s="37" t="e">
        <f>VLOOKUP(D69,#REF!,9,FALSE)</f>
        <v>#REF!</v>
      </c>
      <c r="R69" s="37" t="s">
        <v>149</v>
      </c>
      <c r="S69" s="35" t="s">
        <v>193</v>
      </c>
      <c r="T69" s="37">
        <v>340</v>
      </c>
      <c r="U69" s="37">
        <v>340</v>
      </c>
      <c r="V69" s="37">
        <v>250</v>
      </c>
      <c r="W69" s="38">
        <f t="shared" si="13"/>
        <v>2.8900000000000002E-2</v>
      </c>
      <c r="X69" s="38"/>
      <c r="Y69" s="36">
        <v>4.1500000000000004</v>
      </c>
      <c r="Z69" s="36">
        <v>2.2000000000000002</v>
      </c>
      <c r="AA69" s="39">
        <v>10</v>
      </c>
      <c r="AB69" s="37">
        <v>1000</v>
      </c>
      <c r="AC69" s="35">
        <v>1000</v>
      </c>
      <c r="AD69" s="36">
        <v>130</v>
      </c>
      <c r="AE69" s="35">
        <f t="shared" si="8"/>
        <v>130000000</v>
      </c>
      <c r="AF69" s="37">
        <v>13</v>
      </c>
      <c r="AG69" s="37">
        <v>9</v>
      </c>
      <c r="AH69" s="37">
        <v>4</v>
      </c>
      <c r="AI69" s="37" t="s">
        <v>180</v>
      </c>
      <c r="AJ69" s="40">
        <f t="shared" si="3"/>
        <v>1000</v>
      </c>
      <c r="AK69" s="40">
        <f t="shared" si="3"/>
        <v>1000</v>
      </c>
      <c r="AL69" s="40">
        <f t="shared" si="4"/>
        <v>1130</v>
      </c>
      <c r="AM69" s="26">
        <f t="shared" si="5"/>
        <v>1130000000</v>
      </c>
      <c r="AN69" s="37" t="s">
        <v>152</v>
      </c>
      <c r="AO69" s="37" t="s">
        <v>153</v>
      </c>
      <c r="AP69" s="35"/>
      <c r="AQ69" s="35"/>
      <c r="AR69" s="37"/>
      <c r="AS69" s="35"/>
      <c r="AT69" s="37">
        <v>396</v>
      </c>
      <c r="AU69" s="41">
        <f t="shared" ref="AU69:AU132" si="14">W69*AT69</f>
        <v>11.444400000000002</v>
      </c>
      <c r="AV69" s="42">
        <f t="shared" ref="AV69:AV132" si="15">AA69*AT69</f>
        <v>3960</v>
      </c>
      <c r="AW69" s="36" t="s">
        <v>158</v>
      </c>
    </row>
    <row r="70" spans="1:49" x14ac:dyDescent="0.2">
      <c r="A70" s="35" t="s">
        <v>140</v>
      </c>
      <c r="B70" s="35" t="s">
        <v>141</v>
      </c>
      <c r="C70" s="37" t="s">
        <v>331</v>
      </c>
      <c r="D70" s="37"/>
      <c r="E70" s="35"/>
      <c r="F70" s="37"/>
      <c r="G70" s="35" t="s">
        <v>142</v>
      </c>
      <c r="H70" s="37" t="s">
        <v>177</v>
      </c>
      <c r="I70" s="35"/>
      <c r="J70" s="37" t="s">
        <v>54</v>
      </c>
      <c r="K70" s="35" t="s">
        <v>178</v>
      </c>
      <c r="L70" s="37" t="s">
        <v>145</v>
      </c>
      <c r="M70" s="37" t="s">
        <v>187</v>
      </c>
      <c r="N70" s="35" t="s">
        <v>156</v>
      </c>
      <c r="O70" s="35" t="s">
        <v>156</v>
      </c>
      <c r="P70" s="37">
        <v>30</v>
      </c>
      <c r="Q70" s="37" t="e">
        <f>VLOOKUP(D70,#REF!,9,FALSE)</f>
        <v>#REF!</v>
      </c>
      <c r="R70" s="37" t="s">
        <v>194</v>
      </c>
      <c r="S70" s="35" t="s">
        <v>195</v>
      </c>
      <c r="T70" s="37">
        <v>720</v>
      </c>
      <c r="U70" s="37">
        <v>1190</v>
      </c>
      <c r="V70" s="37">
        <v>450</v>
      </c>
      <c r="W70" s="38">
        <f t="shared" si="13"/>
        <v>0.38556000000000001</v>
      </c>
      <c r="X70" s="38"/>
      <c r="Y70" s="36">
        <v>3.54</v>
      </c>
      <c r="Z70" s="36">
        <v>100</v>
      </c>
      <c r="AA70" s="39">
        <v>206.2</v>
      </c>
      <c r="AB70" s="37">
        <v>1000</v>
      </c>
      <c r="AC70" s="35">
        <v>1000</v>
      </c>
      <c r="AD70" s="36">
        <v>130</v>
      </c>
      <c r="AE70" s="35">
        <f t="shared" si="8"/>
        <v>130000000</v>
      </c>
      <c r="AF70" s="37">
        <v>13</v>
      </c>
      <c r="AG70" s="37">
        <v>1</v>
      </c>
      <c r="AH70" s="37">
        <v>3</v>
      </c>
      <c r="AI70" s="37" t="s">
        <v>151</v>
      </c>
      <c r="AJ70" s="40">
        <f>T70*AG70</f>
        <v>720</v>
      </c>
      <c r="AK70" s="40">
        <f>U70</f>
        <v>1190</v>
      </c>
      <c r="AL70" s="40">
        <f>(V70*AH70)</f>
        <v>1350</v>
      </c>
      <c r="AM70" s="26">
        <f t="shared" ref="AM70:AM133" si="16">AJ70*AK70*AL70</f>
        <v>1156680000</v>
      </c>
      <c r="AN70" s="37" t="s">
        <v>152</v>
      </c>
      <c r="AO70" s="37" t="s">
        <v>153</v>
      </c>
      <c r="AP70" s="35"/>
      <c r="AQ70" s="35"/>
      <c r="AR70" s="37"/>
      <c r="AS70" s="35"/>
      <c r="AT70" s="37">
        <v>2</v>
      </c>
      <c r="AU70" s="41">
        <f t="shared" si="14"/>
        <v>0.77112000000000003</v>
      </c>
      <c r="AV70" s="42">
        <f t="shared" si="15"/>
        <v>412.4</v>
      </c>
      <c r="AW70" s="36" t="s">
        <v>158</v>
      </c>
    </row>
    <row r="71" spans="1:49" x14ac:dyDescent="0.2">
      <c r="A71" s="35" t="s">
        <v>140</v>
      </c>
      <c r="B71" s="35" t="s">
        <v>141</v>
      </c>
      <c r="C71" s="37" t="s">
        <v>332</v>
      </c>
      <c r="D71" s="37"/>
      <c r="E71" s="35"/>
      <c r="F71" s="37"/>
      <c r="G71" s="35" t="s">
        <v>142</v>
      </c>
      <c r="H71" s="37" t="s">
        <v>177</v>
      </c>
      <c r="I71" s="35"/>
      <c r="J71" s="37" t="s">
        <v>54</v>
      </c>
      <c r="K71" s="35" t="s">
        <v>178</v>
      </c>
      <c r="L71" s="37" t="s">
        <v>145</v>
      </c>
      <c r="M71" s="37" t="s">
        <v>187</v>
      </c>
      <c r="N71" s="35" t="s">
        <v>156</v>
      </c>
      <c r="O71" s="35" t="s">
        <v>156</v>
      </c>
      <c r="P71" s="37">
        <v>30</v>
      </c>
      <c r="Q71" s="37" t="e">
        <f>VLOOKUP(D71,#REF!,9,FALSE)</f>
        <v>#REF!</v>
      </c>
      <c r="R71" s="37" t="s">
        <v>194</v>
      </c>
      <c r="S71" s="35" t="s">
        <v>195</v>
      </c>
      <c r="T71" s="37">
        <v>720</v>
      </c>
      <c r="U71" s="37">
        <v>1190</v>
      </c>
      <c r="V71" s="37">
        <v>450</v>
      </c>
      <c r="W71" s="38">
        <f t="shared" si="13"/>
        <v>0.38556000000000001</v>
      </c>
      <c r="X71" s="38"/>
      <c r="Y71" s="36">
        <v>3.54</v>
      </c>
      <c r="Z71" s="36">
        <v>100</v>
      </c>
      <c r="AA71" s="39">
        <v>206.2</v>
      </c>
      <c r="AB71" s="37">
        <v>1000</v>
      </c>
      <c r="AC71" s="35">
        <v>1000</v>
      </c>
      <c r="AD71" s="36">
        <v>130</v>
      </c>
      <c r="AE71" s="35">
        <f t="shared" si="8"/>
        <v>130000000</v>
      </c>
      <c r="AF71" s="37">
        <v>13</v>
      </c>
      <c r="AG71" s="37">
        <v>1</v>
      </c>
      <c r="AH71" s="37">
        <v>3</v>
      </c>
      <c r="AI71" s="37" t="s">
        <v>151</v>
      </c>
      <c r="AJ71" s="40">
        <f>T71*AG71</f>
        <v>720</v>
      </c>
      <c r="AK71" s="40">
        <f>U71</f>
        <v>1190</v>
      </c>
      <c r="AL71" s="40">
        <f>(V71*AH71)</f>
        <v>1350</v>
      </c>
      <c r="AM71" s="26">
        <f t="shared" si="16"/>
        <v>1156680000</v>
      </c>
      <c r="AN71" s="37" t="s">
        <v>152</v>
      </c>
      <c r="AO71" s="37" t="s">
        <v>153</v>
      </c>
      <c r="AP71" s="35"/>
      <c r="AQ71" s="35"/>
      <c r="AR71" s="37"/>
      <c r="AS71" s="35"/>
      <c r="AT71" s="37">
        <v>164</v>
      </c>
      <c r="AU71" s="41">
        <f t="shared" si="14"/>
        <v>63.231840000000005</v>
      </c>
      <c r="AV71" s="42">
        <f t="shared" si="15"/>
        <v>33816.799999999996</v>
      </c>
      <c r="AW71" s="36" t="s">
        <v>158</v>
      </c>
    </row>
    <row r="72" spans="1:49" hidden="1" x14ac:dyDescent="0.2">
      <c r="A72" s="35" t="s">
        <v>140</v>
      </c>
      <c r="B72" s="35" t="s">
        <v>141</v>
      </c>
      <c r="C72" s="67" t="s">
        <v>388</v>
      </c>
      <c r="D72" s="37"/>
      <c r="E72" s="35"/>
      <c r="F72" s="37"/>
      <c r="G72" s="35" t="s">
        <v>142</v>
      </c>
      <c r="H72" s="37" t="s">
        <v>143</v>
      </c>
      <c r="I72" s="35"/>
      <c r="J72" s="37" t="s">
        <v>54</v>
      </c>
      <c r="K72" s="35" t="s">
        <v>144</v>
      </c>
      <c r="L72" s="37" t="s">
        <v>145</v>
      </c>
      <c r="M72" s="37" t="s">
        <v>146</v>
      </c>
      <c r="N72" s="35" t="s">
        <v>147</v>
      </c>
      <c r="O72" s="35" t="s">
        <v>148</v>
      </c>
      <c r="P72" s="37">
        <v>4</v>
      </c>
      <c r="Q72" s="37" t="e">
        <f>VLOOKUP(D72,#REF!,9,FALSE)</f>
        <v>#REF!</v>
      </c>
      <c r="R72" s="37" t="s">
        <v>149</v>
      </c>
      <c r="S72" s="35" t="s">
        <v>193</v>
      </c>
      <c r="T72" s="37">
        <v>340</v>
      </c>
      <c r="U72" s="37">
        <v>340</v>
      </c>
      <c r="V72" s="37">
        <v>250</v>
      </c>
      <c r="W72" s="38">
        <f t="shared" ref="W72:W134" si="17">T72*U72*V72</f>
        <v>28900000</v>
      </c>
      <c r="X72" s="38"/>
      <c r="Y72" s="36">
        <v>2</v>
      </c>
      <c r="Z72" s="36">
        <v>2</v>
      </c>
      <c r="AA72" s="39">
        <v>10</v>
      </c>
      <c r="AB72" s="37">
        <v>1000</v>
      </c>
      <c r="AC72" s="35">
        <v>1000</v>
      </c>
      <c r="AD72" s="36">
        <v>130</v>
      </c>
      <c r="AE72" s="35">
        <f t="shared" si="8"/>
        <v>130000000</v>
      </c>
      <c r="AF72" s="37">
        <v>13</v>
      </c>
      <c r="AG72" s="37">
        <v>9</v>
      </c>
      <c r="AH72" s="37">
        <v>4</v>
      </c>
      <c r="AI72" s="37" t="s">
        <v>151</v>
      </c>
      <c r="AJ72" s="40">
        <f t="shared" ref="AJ72:AK133" si="18">AB72</f>
        <v>1000</v>
      </c>
      <c r="AK72" s="40">
        <f t="shared" si="18"/>
        <v>1000</v>
      </c>
      <c r="AL72" s="40">
        <f t="shared" ref="AL72:AL135" si="19">(V72*AH72)+AD72</f>
        <v>1130</v>
      </c>
      <c r="AM72" s="26">
        <f t="shared" si="16"/>
        <v>1130000000</v>
      </c>
      <c r="AN72" s="37" t="s">
        <v>152</v>
      </c>
      <c r="AO72" s="37" t="s">
        <v>153</v>
      </c>
      <c r="AP72" s="35"/>
      <c r="AQ72" s="35"/>
      <c r="AR72" s="37"/>
      <c r="AS72" s="35"/>
      <c r="AT72" s="37">
        <v>144</v>
      </c>
      <c r="AU72" s="41">
        <f t="shared" si="14"/>
        <v>4161600000</v>
      </c>
      <c r="AV72" s="42">
        <f t="shared" si="15"/>
        <v>1440</v>
      </c>
      <c r="AW72" s="36" t="s">
        <v>154</v>
      </c>
    </row>
    <row r="73" spans="1:49" hidden="1" x14ac:dyDescent="0.2">
      <c r="A73" s="35" t="s">
        <v>140</v>
      </c>
      <c r="B73" s="35" t="s">
        <v>141</v>
      </c>
      <c r="C73" s="67" t="s">
        <v>389</v>
      </c>
      <c r="D73" s="37"/>
      <c r="E73" s="35"/>
      <c r="F73" s="37"/>
      <c r="G73" s="35" t="s">
        <v>142</v>
      </c>
      <c r="H73" s="37" t="s">
        <v>143</v>
      </c>
      <c r="I73" s="35"/>
      <c r="J73" s="37" t="s">
        <v>54</v>
      </c>
      <c r="K73" s="35" t="s">
        <v>144</v>
      </c>
      <c r="L73" s="37" t="s">
        <v>145</v>
      </c>
      <c r="M73" s="37" t="s">
        <v>165</v>
      </c>
      <c r="N73" s="35" t="s">
        <v>166</v>
      </c>
      <c r="O73" s="35" t="s">
        <v>167</v>
      </c>
      <c r="P73" s="37">
        <v>1</v>
      </c>
      <c r="Q73" s="37" t="e">
        <f>VLOOKUP(D73,#REF!,9,FALSE)</f>
        <v>#REF!</v>
      </c>
      <c r="R73" s="37" t="s">
        <v>149</v>
      </c>
      <c r="S73" s="35" t="s">
        <v>182</v>
      </c>
      <c r="T73" s="37">
        <v>340</v>
      </c>
      <c r="U73" s="37">
        <v>340</v>
      </c>
      <c r="V73" s="37">
        <v>200</v>
      </c>
      <c r="W73" s="38">
        <f t="shared" si="17"/>
        <v>23120000</v>
      </c>
      <c r="X73" s="38"/>
      <c r="Y73" s="36">
        <v>6.3</v>
      </c>
      <c r="Z73" s="36">
        <v>1.7</v>
      </c>
      <c r="AA73" s="39">
        <v>8</v>
      </c>
      <c r="AB73" s="37">
        <v>1000</v>
      </c>
      <c r="AC73" s="35">
        <v>1000</v>
      </c>
      <c r="AD73" s="36">
        <v>130</v>
      </c>
      <c r="AE73" s="35">
        <f t="shared" si="8"/>
        <v>130000000</v>
      </c>
      <c r="AF73" s="37">
        <v>13</v>
      </c>
      <c r="AG73" s="37">
        <v>9</v>
      </c>
      <c r="AH73" s="37">
        <v>5</v>
      </c>
      <c r="AI73" s="37" t="s">
        <v>180</v>
      </c>
      <c r="AJ73" s="40">
        <f t="shared" si="18"/>
        <v>1000</v>
      </c>
      <c r="AK73" s="40">
        <f t="shared" si="18"/>
        <v>1000</v>
      </c>
      <c r="AL73" s="40">
        <f t="shared" si="19"/>
        <v>1130</v>
      </c>
      <c r="AM73" s="26">
        <f t="shared" si="16"/>
        <v>1130000000</v>
      </c>
      <c r="AN73" s="37" t="s">
        <v>152</v>
      </c>
      <c r="AO73" s="37" t="s">
        <v>153</v>
      </c>
      <c r="AP73" s="35"/>
      <c r="AQ73" s="35"/>
      <c r="AR73" s="37"/>
      <c r="AS73" s="35"/>
      <c r="AT73" s="37">
        <v>9135</v>
      </c>
      <c r="AU73" s="41">
        <f t="shared" si="14"/>
        <v>211201200000</v>
      </c>
      <c r="AV73" s="42">
        <f t="shared" si="15"/>
        <v>73080</v>
      </c>
      <c r="AW73" s="36" t="s">
        <v>168</v>
      </c>
    </row>
    <row r="74" spans="1:49" hidden="1" x14ac:dyDescent="0.2">
      <c r="A74" s="35" t="s">
        <v>140</v>
      </c>
      <c r="B74" s="35" t="s">
        <v>141</v>
      </c>
      <c r="C74" s="67" t="s">
        <v>390</v>
      </c>
      <c r="D74" s="37"/>
      <c r="E74" s="35"/>
      <c r="F74" s="37"/>
      <c r="G74" s="35" t="s">
        <v>142</v>
      </c>
      <c r="H74" s="37" t="s">
        <v>143</v>
      </c>
      <c r="I74" s="35"/>
      <c r="J74" s="37" t="s">
        <v>54</v>
      </c>
      <c r="K74" s="35" t="s">
        <v>144</v>
      </c>
      <c r="L74" s="37" t="s">
        <v>145</v>
      </c>
      <c r="M74" s="37" t="s">
        <v>165</v>
      </c>
      <c r="N74" s="35" t="s">
        <v>166</v>
      </c>
      <c r="O74" s="35" t="s">
        <v>167</v>
      </c>
      <c r="P74" s="37">
        <v>1</v>
      </c>
      <c r="Q74" s="37" t="e">
        <f>VLOOKUP(D74,#REF!,9,FALSE)</f>
        <v>#REF!</v>
      </c>
      <c r="R74" s="37" t="s">
        <v>149</v>
      </c>
      <c r="S74" s="35" t="s">
        <v>182</v>
      </c>
      <c r="T74" s="37">
        <v>340</v>
      </c>
      <c r="U74" s="37">
        <v>340</v>
      </c>
      <c r="V74" s="37">
        <v>200</v>
      </c>
      <c r="W74" s="38">
        <f t="shared" si="17"/>
        <v>23120000</v>
      </c>
      <c r="X74" s="38"/>
      <c r="Y74" s="36">
        <v>6.3</v>
      </c>
      <c r="Z74" s="36">
        <v>1.7</v>
      </c>
      <c r="AA74" s="39">
        <v>8</v>
      </c>
      <c r="AB74" s="37">
        <v>1000</v>
      </c>
      <c r="AC74" s="35">
        <v>1000</v>
      </c>
      <c r="AD74" s="36">
        <v>130</v>
      </c>
      <c r="AE74" s="35">
        <f t="shared" si="8"/>
        <v>130000000</v>
      </c>
      <c r="AF74" s="37">
        <v>13</v>
      </c>
      <c r="AG74" s="37">
        <v>9</v>
      </c>
      <c r="AH74" s="37">
        <v>5</v>
      </c>
      <c r="AI74" s="37" t="s">
        <v>180</v>
      </c>
      <c r="AJ74" s="40">
        <f t="shared" si="18"/>
        <v>1000</v>
      </c>
      <c r="AK74" s="40">
        <f t="shared" si="18"/>
        <v>1000</v>
      </c>
      <c r="AL74" s="40">
        <f t="shared" si="19"/>
        <v>1130</v>
      </c>
      <c r="AM74" s="26">
        <f t="shared" si="16"/>
        <v>1130000000</v>
      </c>
      <c r="AN74" s="37" t="s">
        <v>152</v>
      </c>
      <c r="AO74" s="37" t="s">
        <v>153</v>
      </c>
      <c r="AP74" s="35"/>
      <c r="AQ74" s="35"/>
      <c r="AR74" s="37"/>
      <c r="AS74" s="35"/>
      <c r="AT74" s="37">
        <v>675</v>
      </c>
      <c r="AU74" s="41">
        <f t="shared" si="14"/>
        <v>15606000000</v>
      </c>
      <c r="AV74" s="42">
        <f t="shared" si="15"/>
        <v>5400</v>
      </c>
      <c r="AW74" s="36" t="s">
        <v>168</v>
      </c>
    </row>
    <row r="75" spans="1:49" x14ac:dyDescent="0.2">
      <c r="A75" s="35" t="s">
        <v>140</v>
      </c>
      <c r="B75" s="35" t="s">
        <v>141</v>
      </c>
      <c r="C75" s="67" t="s">
        <v>391</v>
      </c>
      <c r="D75" s="37"/>
      <c r="E75" s="35"/>
      <c r="F75" s="37"/>
      <c r="G75" s="35" t="s">
        <v>142</v>
      </c>
      <c r="H75" s="37" t="s">
        <v>177</v>
      </c>
      <c r="I75" s="35"/>
      <c r="J75" s="37" t="s">
        <v>54</v>
      </c>
      <c r="K75" s="35" t="s">
        <v>178</v>
      </c>
      <c r="L75" s="37" t="s">
        <v>145</v>
      </c>
      <c r="M75" s="37" t="s">
        <v>60</v>
      </c>
      <c r="N75" s="35" t="s">
        <v>156</v>
      </c>
      <c r="O75" s="35" t="s">
        <v>157</v>
      </c>
      <c r="P75" s="37">
        <v>1</v>
      </c>
      <c r="Q75" s="37" t="e">
        <f>VLOOKUP(D75,#REF!,9,FALSE)</f>
        <v>#REF!</v>
      </c>
      <c r="R75" s="37" t="s">
        <v>149</v>
      </c>
      <c r="S75" s="35" t="s">
        <v>182</v>
      </c>
      <c r="T75" s="37">
        <v>340</v>
      </c>
      <c r="U75" s="37">
        <v>340</v>
      </c>
      <c r="V75" s="37">
        <v>200</v>
      </c>
      <c r="W75" s="38">
        <f t="shared" ref="W75:W76" si="20">T75/1000*U75/1000*V75/1000</f>
        <v>2.3120000000000002E-2</v>
      </c>
      <c r="X75" s="38"/>
      <c r="Y75" s="36">
        <v>3.2919999999999998</v>
      </c>
      <c r="Z75" s="36">
        <v>2.13</v>
      </c>
      <c r="AA75" s="39">
        <v>5.4219999999999997</v>
      </c>
      <c r="AB75" s="37">
        <v>1000</v>
      </c>
      <c r="AC75" s="35">
        <v>1000</v>
      </c>
      <c r="AD75" s="36">
        <v>130</v>
      </c>
      <c r="AE75" s="35">
        <f t="shared" si="8"/>
        <v>130000000</v>
      </c>
      <c r="AF75" s="37">
        <v>13</v>
      </c>
      <c r="AG75" s="37">
        <v>9</v>
      </c>
      <c r="AH75" s="37">
        <v>5</v>
      </c>
      <c r="AI75" s="37" t="s">
        <v>151</v>
      </c>
      <c r="AJ75" s="40">
        <f t="shared" si="18"/>
        <v>1000</v>
      </c>
      <c r="AK75" s="40">
        <f t="shared" si="18"/>
        <v>1000</v>
      </c>
      <c r="AL75" s="40">
        <f t="shared" si="19"/>
        <v>1130</v>
      </c>
      <c r="AM75" s="26">
        <f t="shared" si="16"/>
        <v>1130000000</v>
      </c>
      <c r="AN75" s="37" t="s">
        <v>152</v>
      </c>
      <c r="AO75" s="37" t="s">
        <v>153</v>
      </c>
      <c r="AP75" s="35"/>
      <c r="AQ75" s="35"/>
      <c r="AR75" s="37"/>
      <c r="AS75" s="35"/>
      <c r="AT75" s="37">
        <v>1080</v>
      </c>
      <c r="AU75" s="41">
        <f t="shared" si="14"/>
        <v>24.969600000000003</v>
      </c>
      <c r="AV75" s="42">
        <f t="shared" si="15"/>
        <v>5855.7599999999993</v>
      </c>
      <c r="AW75" s="36" t="s">
        <v>158</v>
      </c>
    </row>
    <row r="76" spans="1:49" x14ac:dyDescent="0.2">
      <c r="A76" s="35" t="s">
        <v>140</v>
      </c>
      <c r="B76" s="35" t="s">
        <v>141</v>
      </c>
      <c r="C76" s="67" t="s">
        <v>392</v>
      </c>
      <c r="D76" s="37"/>
      <c r="E76" s="35"/>
      <c r="F76" s="37"/>
      <c r="G76" s="35" t="s">
        <v>142</v>
      </c>
      <c r="H76" s="37" t="s">
        <v>177</v>
      </c>
      <c r="I76" s="35"/>
      <c r="J76" s="37" t="s">
        <v>54</v>
      </c>
      <c r="K76" s="35" t="s">
        <v>178</v>
      </c>
      <c r="L76" s="37" t="s">
        <v>145</v>
      </c>
      <c r="M76" s="37" t="s">
        <v>60</v>
      </c>
      <c r="N76" s="35" t="s">
        <v>156</v>
      </c>
      <c r="O76" s="35" t="s">
        <v>157</v>
      </c>
      <c r="P76" s="37">
        <v>1</v>
      </c>
      <c r="Q76" s="37" t="e">
        <f>VLOOKUP(D76,#REF!,9,FALSE)</f>
        <v>#REF!</v>
      </c>
      <c r="R76" s="37" t="s">
        <v>149</v>
      </c>
      <c r="S76" s="35" t="s">
        <v>182</v>
      </c>
      <c r="T76" s="37">
        <v>340</v>
      </c>
      <c r="U76" s="37">
        <v>340</v>
      </c>
      <c r="V76" s="37">
        <v>200</v>
      </c>
      <c r="W76" s="38">
        <f t="shared" si="20"/>
        <v>2.3120000000000002E-2</v>
      </c>
      <c r="X76" s="38"/>
      <c r="Y76" s="36">
        <v>3.2650000000000001</v>
      </c>
      <c r="Z76" s="36">
        <v>2.13</v>
      </c>
      <c r="AA76" s="39">
        <v>5.3949999999999996</v>
      </c>
      <c r="AB76" s="37">
        <v>1000</v>
      </c>
      <c r="AC76" s="35">
        <v>1000</v>
      </c>
      <c r="AD76" s="36">
        <v>130</v>
      </c>
      <c r="AE76" s="35">
        <f t="shared" si="8"/>
        <v>130000000</v>
      </c>
      <c r="AF76" s="37">
        <v>13</v>
      </c>
      <c r="AG76" s="37">
        <v>9</v>
      </c>
      <c r="AH76" s="37">
        <v>5</v>
      </c>
      <c r="AI76" s="37" t="s">
        <v>151</v>
      </c>
      <c r="AJ76" s="40">
        <f t="shared" si="18"/>
        <v>1000</v>
      </c>
      <c r="AK76" s="40">
        <f t="shared" si="18"/>
        <v>1000</v>
      </c>
      <c r="AL76" s="40">
        <f t="shared" si="19"/>
        <v>1130</v>
      </c>
      <c r="AM76" s="26">
        <f t="shared" si="16"/>
        <v>1130000000</v>
      </c>
      <c r="AN76" s="37" t="s">
        <v>152</v>
      </c>
      <c r="AO76" s="37" t="s">
        <v>153</v>
      </c>
      <c r="AP76" s="35"/>
      <c r="AQ76" s="35"/>
      <c r="AR76" s="37"/>
      <c r="AS76" s="35"/>
      <c r="AT76" s="37">
        <v>504</v>
      </c>
      <c r="AU76" s="41">
        <f t="shared" si="14"/>
        <v>11.652480000000001</v>
      </c>
      <c r="AV76" s="42">
        <f t="shared" si="15"/>
        <v>2719.08</v>
      </c>
      <c r="AW76" s="36" t="s">
        <v>158</v>
      </c>
    </row>
    <row r="77" spans="1:49" hidden="1" x14ac:dyDescent="0.2">
      <c r="A77" s="35" t="s">
        <v>140</v>
      </c>
      <c r="B77" s="35" t="s">
        <v>141</v>
      </c>
      <c r="C77" s="67" t="s">
        <v>393</v>
      </c>
      <c r="D77" s="37"/>
      <c r="E77" s="35"/>
      <c r="F77" s="37"/>
      <c r="G77" s="35" t="s">
        <v>142</v>
      </c>
      <c r="H77" s="37" t="s">
        <v>177</v>
      </c>
      <c r="I77" s="35"/>
      <c r="J77" s="37" t="s">
        <v>54</v>
      </c>
      <c r="K77" s="35" t="s">
        <v>178</v>
      </c>
      <c r="L77" s="37" t="s">
        <v>145</v>
      </c>
      <c r="M77" s="37" t="s">
        <v>66</v>
      </c>
      <c r="N77" s="35" t="s">
        <v>169</v>
      </c>
      <c r="O77" s="35" t="s">
        <v>170</v>
      </c>
      <c r="P77" s="37">
        <v>1</v>
      </c>
      <c r="Q77" s="37" t="e">
        <f>VLOOKUP(D77,#REF!,9,FALSE)</f>
        <v>#REF!</v>
      </c>
      <c r="R77" s="37" t="s">
        <v>149</v>
      </c>
      <c r="S77" s="35" t="s">
        <v>196</v>
      </c>
      <c r="T77" s="37">
        <v>335</v>
      </c>
      <c r="U77" s="37">
        <v>335</v>
      </c>
      <c r="V77" s="37">
        <v>149</v>
      </c>
      <c r="W77" s="38">
        <f t="shared" si="17"/>
        <v>16721525</v>
      </c>
      <c r="X77" s="38"/>
      <c r="Y77" s="36">
        <v>4</v>
      </c>
      <c r="Z77" s="36">
        <v>2</v>
      </c>
      <c r="AA77" s="39">
        <v>6</v>
      </c>
      <c r="AB77" s="37">
        <v>1000</v>
      </c>
      <c r="AC77" s="35">
        <v>1000</v>
      </c>
      <c r="AD77" s="36">
        <v>130</v>
      </c>
      <c r="AE77" s="35">
        <f t="shared" si="8"/>
        <v>130000000</v>
      </c>
      <c r="AF77" s="37">
        <v>13</v>
      </c>
      <c r="AG77" s="37">
        <v>9</v>
      </c>
      <c r="AH77" s="37">
        <v>4</v>
      </c>
      <c r="AI77" s="37" t="s">
        <v>180</v>
      </c>
      <c r="AJ77" s="40">
        <f t="shared" si="18"/>
        <v>1000</v>
      </c>
      <c r="AK77" s="40">
        <f t="shared" si="18"/>
        <v>1000</v>
      </c>
      <c r="AL77" s="40">
        <f t="shared" si="19"/>
        <v>726</v>
      </c>
      <c r="AM77" s="26">
        <f t="shared" si="16"/>
        <v>726000000</v>
      </c>
      <c r="AN77" s="37" t="s">
        <v>152</v>
      </c>
      <c r="AO77" s="37" t="s">
        <v>153</v>
      </c>
      <c r="AP77" s="35"/>
      <c r="AQ77" s="35"/>
      <c r="AR77" s="37"/>
      <c r="AS77" s="35"/>
      <c r="AT77" s="37">
        <v>972</v>
      </c>
      <c r="AU77" s="41">
        <f t="shared" si="14"/>
        <v>16253322300</v>
      </c>
      <c r="AV77" s="42">
        <f t="shared" si="15"/>
        <v>5832</v>
      </c>
      <c r="AW77" s="36" t="s">
        <v>161</v>
      </c>
    </row>
    <row r="78" spans="1:49" hidden="1" x14ac:dyDescent="0.2">
      <c r="A78" s="35" t="s">
        <v>140</v>
      </c>
      <c r="B78" s="35" t="s">
        <v>141</v>
      </c>
      <c r="C78" s="67" t="s">
        <v>394</v>
      </c>
      <c r="D78" s="37"/>
      <c r="E78" s="35"/>
      <c r="F78" s="37"/>
      <c r="G78" s="35" t="s">
        <v>142</v>
      </c>
      <c r="H78" s="37" t="s">
        <v>177</v>
      </c>
      <c r="I78" s="35"/>
      <c r="J78" s="37" t="s">
        <v>54</v>
      </c>
      <c r="K78" s="35" t="s">
        <v>178</v>
      </c>
      <c r="L78" s="37" t="s">
        <v>145</v>
      </c>
      <c r="M78" s="37" t="s">
        <v>66</v>
      </c>
      <c r="N78" s="35" t="s">
        <v>169</v>
      </c>
      <c r="O78" s="35" t="s">
        <v>170</v>
      </c>
      <c r="P78" s="37">
        <v>1</v>
      </c>
      <c r="Q78" s="37" t="e">
        <f>VLOOKUP(D78,#REF!,9,FALSE)</f>
        <v>#REF!</v>
      </c>
      <c r="R78" s="37" t="s">
        <v>149</v>
      </c>
      <c r="S78" s="35" t="s">
        <v>196</v>
      </c>
      <c r="T78" s="37">
        <v>335</v>
      </c>
      <c r="U78" s="37">
        <v>335</v>
      </c>
      <c r="V78" s="37">
        <v>149</v>
      </c>
      <c r="W78" s="38">
        <f t="shared" si="17"/>
        <v>16721525</v>
      </c>
      <c r="X78" s="38"/>
      <c r="Y78" s="36">
        <v>4</v>
      </c>
      <c r="Z78" s="36">
        <v>2</v>
      </c>
      <c r="AA78" s="39">
        <v>6</v>
      </c>
      <c r="AB78" s="37">
        <v>1000</v>
      </c>
      <c r="AC78" s="35">
        <v>1000</v>
      </c>
      <c r="AD78" s="36">
        <v>130</v>
      </c>
      <c r="AE78" s="35">
        <f t="shared" si="8"/>
        <v>130000000</v>
      </c>
      <c r="AF78" s="37">
        <v>13</v>
      </c>
      <c r="AG78" s="37">
        <v>9</v>
      </c>
      <c r="AH78" s="37">
        <v>5</v>
      </c>
      <c r="AI78" s="37" t="s">
        <v>180</v>
      </c>
      <c r="AJ78" s="40">
        <f t="shared" si="18"/>
        <v>1000</v>
      </c>
      <c r="AK78" s="40">
        <f t="shared" si="18"/>
        <v>1000</v>
      </c>
      <c r="AL78" s="40">
        <f t="shared" si="19"/>
        <v>875</v>
      </c>
      <c r="AM78" s="26">
        <f t="shared" si="16"/>
        <v>875000000</v>
      </c>
      <c r="AN78" s="37" t="s">
        <v>152</v>
      </c>
      <c r="AO78" s="37" t="s">
        <v>153</v>
      </c>
      <c r="AP78" s="35"/>
      <c r="AQ78" s="35"/>
      <c r="AR78" s="37"/>
      <c r="AS78" s="35"/>
      <c r="AT78" s="37">
        <v>675</v>
      </c>
      <c r="AU78" s="41">
        <f t="shared" si="14"/>
        <v>11287029375</v>
      </c>
      <c r="AV78" s="42">
        <f t="shared" si="15"/>
        <v>4050</v>
      </c>
      <c r="AW78" s="36" t="s">
        <v>161</v>
      </c>
    </row>
    <row r="79" spans="1:49" hidden="1" x14ac:dyDescent="0.2">
      <c r="A79" s="35" t="s">
        <v>140</v>
      </c>
      <c r="B79" s="35" t="s">
        <v>141</v>
      </c>
      <c r="C79" s="67" t="s">
        <v>395</v>
      </c>
      <c r="D79" s="37"/>
      <c r="E79" s="35"/>
      <c r="F79" s="37"/>
      <c r="G79" s="35" t="s">
        <v>142</v>
      </c>
      <c r="H79" s="37" t="s">
        <v>143</v>
      </c>
      <c r="I79" s="35"/>
      <c r="J79" s="37" t="s">
        <v>54</v>
      </c>
      <c r="K79" s="35" t="s">
        <v>144</v>
      </c>
      <c r="L79" s="37" t="s">
        <v>145</v>
      </c>
      <c r="M79" s="37" t="s">
        <v>64</v>
      </c>
      <c r="N79" s="35" t="s">
        <v>171</v>
      </c>
      <c r="O79" s="35" t="s">
        <v>172</v>
      </c>
      <c r="P79" s="37">
        <v>6</v>
      </c>
      <c r="Q79" s="37" t="e">
        <f>VLOOKUP(D79,#REF!,9,FALSE)</f>
        <v>#REF!</v>
      </c>
      <c r="R79" s="37" t="s">
        <v>149</v>
      </c>
      <c r="S79" s="35" t="s">
        <v>182</v>
      </c>
      <c r="T79" s="37">
        <v>340</v>
      </c>
      <c r="U79" s="37">
        <v>340</v>
      </c>
      <c r="V79" s="37">
        <v>200</v>
      </c>
      <c r="W79" s="38">
        <f t="shared" si="17"/>
        <v>23120000</v>
      </c>
      <c r="X79" s="38"/>
      <c r="Y79" s="36">
        <v>1.1100000000000001</v>
      </c>
      <c r="Z79" s="36">
        <v>3.5</v>
      </c>
      <c r="AA79" s="39">
        <v>10.16</v>
      </c>
      <c r="AB79" s="37">
        <v>1000</v>
      </c>
      <c r="AC79" s="35">
        <v>1000</v>
      </c>
      <c r="AD79" s="36">
        <v>130</v>
      </c>
      <c r="AE79" s="35">
        <f t="shared" si="8"/>
        <v>130000000</v>
      </c>
      <c r="AF79" s="37">
        <v>13</v>
      </c>
      <c r="AG79" s="37">
        <v>9</v>
      </c>
      <c r="AH79" s="37">
        <v>4</v>
      </c>
      <c r="AI79" s="37" t="s">
        <v>180</v>
      </c>
      <c r="AJ79" s="40">
        <f t="shared" si="18"/>
        <v>1000</v>
      </c>
      <c r="AK79" s="40">
        <f t="shared" si="18"/>
        <v>1000</v>
      </c>
      <c r="AL79" s="40">
        <f t="shared" si="19"/>
        <v>930</v>
      </c>
      <c r="AM79" s="26">
        <f t="shared" si="16"/>
        <v>930000000</v>
      </c>
      <c r="AN79" s="37" t="s">
        <v>152</v>
      </c>
      <c r="AO79" s="37" t="s">
        <v>153</v>
      </c>
      <c r="AP79" s="35"/>
      <c r="AQ79" s="35"/>
      <c r="AR79" s="37"/>
      <c r="AS79" s="35"/>
      <c r="AT79" s="37">
        <v>252</v>
      </c>
      <c r="AU79" s="41">
        <f t="shared" si="14"/>
        <v>5826240000</v>
      </c>
      <c r="AV79" s="42">
        <f t="shared" si="15"/>
        <v>2560.3200000000002</v>
      </c>
      <c r="AW79" s="36" t="s">
        <v>173</v>
      </c>
    </row>
    <row r="80" spans="1:49" hidden="1" x14ac:dyDescent="0.2">
      <c r="A80" s="35" t="s">
        <v>140</v>
      </c>
      <c r="B80" s="35" t="s">
        <v>141</v>
      </c>
      <c r="C80" s="37" t="s">
        <v>395</v>
      </c>
      <c r="D80" s="37"/>
      <c r="E80" s="35"/>
      <c r="F80" s="37"/>
      <c r="G80" s="35" t="s">
        <v>142</v>
      </c>
      <c r="H80" s="37" t="s">
        <v>143</v>
      </c>
      <c r="I80" s="35"/>
      <c r="J80" s="37" t="s">
        <v>54</v>
      </c>
      <c r="K80" s="35" t="s">
        <v>144</v>
      </c>
      <c r="L80" s="37" t="s">
        <v>145</v>
      </c>
      <c r="M80" s="37" t="s">
        <v>7</v>
      </c>
      <c r="N80" s="35" t="s">
        <v>171</v>
      </c>
      <c r="O80" s="35" t="s">
        <v>172</v>
      </c>
      <c r="P80" s="37">
        <v>6</v>
      </c>
      <c r="Q80" s="37" t="e">
        <f>VLOOKUP(D80,#REF!,9,FALSE)</f>
        <v>#REF!</v>
      </c>
      <c r="R80" s="37" t="s">
        <v>149</v>
      </c>
      <c r="S80" s="35" t="s">
        <v>182</v>
      </c>
      <c r="T80" s="37">
        <v>340</v>
      </c>
      <c r="U80" s="37">
        <v>340</v>
      </c>
      <c r="V80" s="37">
        <v>200</v>
      </c>
      <c r="W80" s="38">
        <f t="shared" si="17"/>
        <v>23120000</v>
      </c>
      <c r="X80" s="38"/>
      <c r="Y80" s="36">
        <v>1.1100000000000001</v>
      </c>
      <c r="Z80" s="36">
        <v>3.5</v>
      </c>
      <c r="AA80" s="39">
        <v>10.16</v>
      </c>
      <c r="AB80" s="37">
        <v>1000</v>
      </c>
      <c r="AC80" s="35">
        <v>1000</v>
      </c>
      <c r="AD80" s="36">
        <v>130</v>
      </c>
      <c r="AE80" s="35">
        <f t="shared" si="8"/>
        <v>130000000</v>
      </c>
      <c r="AF80" s="37">
        <v>13</v>
      </c>
      <c r="AG80" s="37">
        <v>9</v>
      </c>
      <c r="AH80" s="37">
        <v>5</v>
      </c>
      <c r="AI80" s="37" t="s">
        <v>151</v>
      </c>
      <c r="AJ80" s="40">
        <f t="shared" si="18"/>
        <v>1000</v>
      </c>
      <c r="AK80" s="40">
        <f t="shared" si="18"/>
        <v>1000</v>
      </c>
      <c r="AL80" s="40">
        <f t="shared" si="19"/>
        <v>1130</v>
      </c>
      <c r="AM80" s="26">
        <f t="shared" si="16"/>
        <v>1130000000</v>
      </c>
      <c r="AN80" s="37" t="s">
        <v>152</v>
      </c>
      <c r="AO80" s="37" t="s">
        <v>153</v>
      </c>
      <c r="AP80" s="35"/>
      <c r="AQ80" s="35"/>
      <c r="AR80" s="37"/>
      <c r="AS80" s="35"/>
      <c r="AT80" s="37">
        <v>121</v>
      </c>
      <c r="AU80" s="41">
        <f t="shared" si="14"/>
        <v>2797520000</v>
      </c>
      <c r="AV80" s="42">
        <f t="shared" si="15"/>
        <v>1229.3600000000001</v>
      </c>
      <c r="AW80" s="36" t="s">
        <v>173</v>
      </c>
    </row>
    <row r="81" spans="1:49" hidden="1" x14ac:dyDescent="0.2">
      <c r="A81" s="35" t="s">
        <v>140</v>
      </c>
      <c r="B81" s="35" t="s">
        <v>141</v>
      </c>
      <c r="C81" s="67" t="s">
        <v>396</v>
      </c>
      <c r="D81" s="37"/>
      <c r="E81" s="35"/>
      <c r="F81" s="37"/>
      <c r="G81" s="35" t="s">
        <v>142</v>
      </c>
      <c r="H81" s="37" t="s">
        <v>143</v>
      </c>
      <c r="I81" s="35"/>
      <c r="J81" s="37" t="s">
        <v>54</v>
      </c>
      <c r="K81" s="35" t="s">
        <v>144</v>
      </c>
      <c r="L81" s="37" t="s">
        <v>145</v>
      </c>
      <c r="M81" s="37" t="s">
        <v>78</v>
      </c>
      <c r="N81" s="35" t="s">
        <v>174</v>
      </c>
      <c r="O81" s="35" t="s">
        <v>175</v>
      </c>
      <c r="P81" s="37">
        <v>28</v>
      </c>
      <c r="Q81" s="37" t="e">
        <f>VLOOKUP(D81,#REF!,9,FALSE)</f>
        <v>#REF!</v>
      </c>
      <c r="R81" s="37" t="s">
        <v>149</v>
      </c>
      <c r="S81" s="35" t="s">
        <v>182</v>
      </c>
      <c r="T81" s="37">
        <v>340</v>
      </c>
      <c r="U81" s="37">
        <v>340</v>
      </c>
      <c r="V81" s="37">
        <v>200</v>
      </c>
      <c r="W81" s="38">
        <f t="shared" si="17"/>
        <v>23120000</v>
      </c>
      <c r="X81" s="38"/>
      <c r="Y81" s="36">
        <v>8.5000000000000006E-2</v>
      </c>
      <c r="Z81" s="36">
        <v>1.8</v>
      </c>
      <c r="AA81" s="39">
        <v>4.1800000000000006</v>
      </c>
      <c r="AB81" s="37">
        <v>1000</v>
      </c>
      <c r="AC81" s="35">
        <v>1000</v>
      </c>
      <c r="AD81" s="36">
        <v>130</v>
      </c>
      <c r="AE81" s="35">
        <f t="shared" si="8"/>
        <v>130000000</v>
      </c>
      <c r="AF81" s="37">
        <v>13</v>
      </c>
      <c r="AG81" s="37">
        <v>9</v>
      </c>
      <c r="AH81" s="37">
        <v>5</v>
      </c>
      <c r="AI81" s="37" t="s">
        <v>151</v>
      </c>
      <c r="AJ81" s="40">
        <f t="shared" si="18"/>
        <v>1000</v>
      </c>
      <c r="AK81" s="40">
        <f t="shared" si="18"/>
        <v>1000</v>
      </c>
      <c r="AL81" s="40">
        <f t="shared" si="19"/>
        <v>1130</v>
      </c>
      <c r="AM81" s="26">
        <f t="shared" si="16"/>
        <v>1130000000</v>
      </c>
      <c r="AN81" s="37" t="s">
        <v>152</v>
      </c>
      <c r="AO81" s="37" t="s">
        <v>153</v>
      </c>
      <c r="AP81" s="35"/>
      <c r="AQ81" s="35"/>
      <c r="AR81" s="37"/>
      <c r="AS81" s="35"/>
      <c r="AT81" s="37">
        <v>88</v>
      </c>
      <c r="AU81" s="41">
        <f t="shared" si="14"/>
        <v>2034560000</v>
      </c>
      <c r="AV81" s="42">
        <f t="shared" si="15"/>
        <v>367.84000000000003</v>
      </c>
      <c r="AW81" s="36" t="s">
        <v>176</v>
      </c>
    </row>
    <row r="82" spans="1:49" hidden="1" x14ac:dyDescent="0.2">
      <c r="A82" s="35" t="s">
        <v>140</v>
      </c>
      <c r="B82" s="35" t="s">
        <v>141</v>
      </c>
      <c r="C82" s="67" t="s">
        <v>397</v>
      </c>
      <c r="D82" s="37"/>
      <c r="E82" s="35"/>
      <c r="F82" s="37"/>
      <c r="G82" s="35" t="s">
        <v>142</v>
      </c>
      <c r="H82" s="37" t="s">
        <v>143</v>
      </c>
      <c r="I82" s="35"/>
      <c r="J82" s="37" t="s">
        <v>54</v>
      </c>
      <c r="K82" s="35" t="s">
        <v>144</v>
      </c>
      <c r="L82" s="37" t="s">
        <v>145</v>
      </c>
      <c r="M82" s="37" t="s">
        <v>78</v>
      </c>
      <c r="N82" s="35" t="s">
        <v>174</v>
      </c>
      <c r="O82" s="35" t="s">
        <v>175</v>
      </c>
      <c r="P82" s="37">
        <v>28</v>
      </c>
      <c r="Q82" s="37" t="e">
        <f>VLOOKUP(D82,#REF!,9,FALSE)</f>
        <v>#REF!</v>
      </c>
      <c r="R82" s="37" t="s">
        <v>149</v>
      </c>
      <c r="S82" s="35" t="s">
        <v>197</v>
      </c>
      <c r="T82" s="37">
        <v>340</v>
      </c>
      <c r="U82" s="37">
        <v>340</v>
      </c>
      <c r="V82" s="37">
        <v>200</v>
      </c>
      <c r="W82" s="38">
        <f t="shared" si="17"/>
        <v>23120000</v>
      </c>
      <c r="X82" s="38"/>
      <c r="Y82" s="36">
        <v>8.5000000000000006E-2</v>
      </c>
      <c r="Z82" s="36">
        <v>1.8</v>
      </c>
      <c r="AA82" s="39">
        <v>4.1800000000000006</v>
      </c>
      <c r="AB82" s="37">
        <v>1000</v>
      </c>
      <c r="AC82" s="35">
        <v>1000</v>
      </c>
      <c r="AD82" s="36">
        <v>130</v>
      </c>
      <c r="AE82" s="35">
        <f t="shared" si="8"/>
        <v>130000000</v>
      </c>
      <c r="AF82" s="37">
        <v>13</v>
      </c>
      <c r="AG82" s="37">
        <v>9</v>
      </c>
      <c r="AH82" s="37">
        <v>5</v>
      </c>
      <c r="AI82" s="37" t="s">
        <v>151</v>
      </c>
      <c r="AJ82" s="40">
        <f t="shared" si="18"/>
        <v>1000</v>
      </c>
      <c r="AK82" s="40">
        <f t="shared" si="18"/>
        <v>1000</v>
      </c>
      <c r="AL82" s="40">
        <f t="shared" si="19"/>
        <v>1130</v>
      </c>
      <c r="AM82" s="26">
        <f t="shared" si="16"/>
        <v>1130000000</v>
      </c>
      <c r="AN82" s="37" t="s">
        <v>152</v>
      </c>
      <c r="AO82" s="37" t="s">
        <v>153</v>
      </c>
      <c r="AP82" s="35"/>
      <c r="AQ82" s="35"/>
      <c r="AR82" s="37"/>
      <c r="AS82" s="35"/>
      <c r="AT82" s="37">
        <v>153</v>
      </c>
      <c r="AU82" s="41">
        <f t="shared" si="14"/>
        <v>3537360000</v>
      </c>
      <c r="AV82" s="42">
        <f t="shared" si="15"/>
        <v>639.54000000000008</v>
      </c>
      <c r="AW82" s="36" t="s">
        <v>176</v>
      </c>
    </row>
    <row r="83" spans="1:49" hidden="1" x14ac:dyDescent="0.2">
      <c r="A83" s="35" t="s">
        <v>140</v>
      </c>
      <c r="B83" s="35" t="s">
        <v>141</v>
      </c>
      <c r="C83" s="37" t="s">
        <v>397</v>
      </c>
      <c r="D83" s="37"/>
      <c r="E83" s="35"/>
      <c r="F83" s="37"/>
      <c r="G83" s="35" t="s">
        <v>142</v>
      </c>
      <c r="H83" s="37" t="s">
        <v>143</v>
      </c>
      <c r="I83" s="35"/>
      <c r="J83" s="37" t="s">
        <v>54</v>
      </c>
      <c r="K83" s="35" t="s">
        <v>144</v>
      </c>
      <c r="L83" s="37" t="s">
        <v>145</v>
      </c>
      <c r="M83" s="37" t="s">
        <v>79</v>
      </c>
      <c r="N83" s="35" t="s">
        <v>174</v>
      </c>
      <c r="O83" s="35" t="s">
        <v>175</v>
      </c>
      <c r="P83" s="37">
        <v>28</v>
      </c>
      <c r="Q83" s="37" t="e">
        <f>VLOOKUP(D83,#REF!,9,FALSE)</f>
        <v>#REF!</v>
      </c>
      <c r="R83" s="37" t="s">
        <v>149</v>
      </c>
      <c r="S83" s="35" t="s">
        <v>197</v>
      </c>
      <c r="T83" s="37">
        <v>340</v>
      </c>
      <c r="U83" s="37">
        <v>340</v>
      </c>
      <c r="V83" s="37">
        <v>200</v>
      </c>
      <c r="W83" s="38">
        <f t="shared" si="17"/>
        <v>23120000</v>
      </c>
      <c r="X83" s="38"/>
      <c r="Y83" s="36">
        <v>8.5000000000000006E-2</v>
      </c>
      <c r="Z83" s="36">
        <v>1.8</v>
      </c>
      <c r="AA83" s="39">
        <v>4.1800000000000006</v>
      </c>
      <c r="AB83" s="37">
        <v>1000</v>
      </c>
      <c r="AC83" s="35">
        <v>1000</v>
      </c>
      <c r="AD83" s="36">
        <v>130</v>
      </c>
      <c r="AE83" s="35">
        <f t="shared" si="8"/>
        <v>130000000</v>
      </c>
      <c r="AF83" s="37">
        <v>13</v>
      </c>
      <c r="AG83" s="37">
        <v>9</v>
      </c>
      <c r="AH83" s="37">
        <v>5</v>
      </c>
      <c r="AI83" s="37" t="s">
        <v>151</v>
      </c>
      <c r="AJ83" s="40">
        <f t="shared" si="18"/>
        <v>1000</v>
      </c>
      <c r="AK83" s="40">
        <f t="shared" si="18"/>
        <v>1000</v>
      </c>
      <c r="AL83" s="40">
        <f t="shared" si="19"/>
        <v>1130</v>
      </c>
      <c r="AM83" s="26">
        <f t="shared" si="16"/>
        <v>1130000000</v>
      </c>
      <c r="AN83" s="37" t="s">
        <v>152</v>
      </c>
      <c r="AO83" s="37" t="s">
        <v>153</v>
      </c>
      <c r="AP83" s="35"/>
      <c r="AQ83" s="35"/>
      <c r="AR83" s="37"/>
      <c r="AS83" s="35"/>
      <c r="AT83" s="37">
        <v>43</v>
      </c>
      <c r="AU83" s="41">
        <f t="shared" si="14"/>
        <v>994160000</v>
      </c>
      <c r="AV83" s="42">
        <f t="shared" si="15"/>
        <v>179.74000000000004</v>
      </c>
      <c r="AW83" s="36" t="s">
        <v>176</v>
      </c>
    </row>
    <row r="84" spans="1:49" hidden="1" x14ac:dyDescent="0.2">
      <c r="A84" s="35" t="s">
        <v>140</v>
      </c>
      <c r="B84" s="35" t="s">
        <v>141</v>
      </c>
      <c r="C84" s="67" t="s">
        <v>398</v>
      </c>
      <c r="D84" s="37"/>
      <c r="E84" s="35"/>
      <c r="F84" s="37"/>
      <c r="G84" s="35" t="s">
        <v>142</v>
      </c>
      <c r="H84" s="37" t="s">
        <v>143</v>
      </c>
      <c r="I84" s="35"/>
      <c r="J84" s="37" t="s">
        <v>54</v>
      </c>
      <c r="K84" s="35" t="s">
        <v>144</v>
      </c>
      <c r="L84" s="37" t="s">
        <v>145</v>
      </c>
      <c r="M84" s="37" t="s">
        <v>165</v>
      </c>
      <c r="N84" s="35" t="s">
        <v>166</v>
      </c>
      <c r="O84" s="35" t="s">
        <v>167</v>
      </c>
      <c r="P84" s="37">
        <v>16</v>
      </c>
      <c r="Q84" s="37" t="e">
        <f>VLOOKUP(D84,#REF!,9,FALSE)</f>
        <v>#REF!</v>
      </c>
      <c r="R84" s="37" t="s">
        <v>149</v>
      </c>
      <c r="S84" s="35" t="s">
        <v>182</v>
      </c>
      <c r="T84" s="37">
        <v>340</v>
      </c>
      <c r="U84" s="37">
        <v>340</v>
      </c>
      <c r="V84" s="37">
        <v>200</v>
      </c>
      <c r="W84" s="38">
        <f t="shared" si="17"/>
        <v>23120000</v>
      </c>
      <c r="X84" s="38"/>
      <c r="Y84" s="36">
        <v>0.7</v>
      </c>
      <c r="Z84" s="36">
        <v>2</v>
      </c>
      <c r="AA84" s="39">
        <v>13.2</v>
      </c>
      <c r="AB84" s="37">
        <v>1000</v>
      </c>
      <c r="AC84" s="35">
        <v>1000</v>
      </c>
      <c r="AD84" s="36">
        <v>130</v>
      </c>
      <c r="AE84" s="35">
        <f t="shared" si="8"/>
        <v>130000000</v>
      </c>
      <c r="AF84" s="37">
        <v>13</v>
      </c>
      <c r="AG84" s="37">
        <v>9</v>
      </c>
      <c r="AH84" s="37">
        <v>5</v>
      </c>
      <c r="AI84" s="37" t="s">
        <v>151</v>
      </c>
      <c r="AJ84" s="40">
        <f t="shared" si="18"/>
        <v>1000</v>
      </c>
      <c r="AK84" s="40">
        <f t="shared" si="18"/>
        <v>1000</v>
      </c>
      <c r="AL84" s="40">
        <f t="shared" si="19"/>
        <v>1130</v>
      </c>
      <c r="AM84" s="26">
        <f t="shared" si="16"/>
        <v>1130000000</v>
      </c>
      <c r="AN84" s="37" t="s">
        <v>152</v>
      </c>
      <c r="AO84" s="37" t="s">
        <v>153</v>
      </c>
      <c r="AP84" s="35"/>
      <c r="AQ84" s="35"/>
      <c r="AR84" s="37"/>
      <c r="AS84" s="35"/>
      <c r="AT84" s="37">
        <v>171</v>
      </c>
      <c r="AU84" s="41">
        <f t="shared" si="14"/>
        <v>3953520000</v>
      </c>
      <c r="AV84" s="42">
        <f t="shared" si="15"/>
        <v>2257.1999999999998</v>
      </c>
      <c r="AW84" s="36" t="s">
        <v>168</v>
      </c>
    </row>
    <row r="85" spans="1:49" hidden="1" x14ac:dyDescent="0.2">
      <c r="A85" s="35" t="s">
        <v>140</v>
      </c>
      <c r="B85" s="35" t="s">
        <v>141</v>
      </c>
      <c r="C85" s="67" t="s">
        <v>399</v>
      </c>
      <c r="D85" s="37"/>
      <c r="E85" s="35"/>
      <c r="F85" s="37"/>
      <c r="G85" s="35" t="s">
        <v>142</v>
      </c>
      <c r="H85" s="37" t="s">
        <v>143</v>
      </c>
      <c r="I85" s="35"/>
      <c r="J85" s="37" t="s">
        <v>54</v>
      </c>
      <c r="K85" s="35" t="s">
        <v>144</v>
      </c>
      <c r="L85" s="37" t="s">
        <v>145</v>
      </c>
      <c r="M85" s="37" t="s">
        <v>165</v>
      </c>
      <c r="N85" s="35" t="s">
        <v>166</v>
      </c>
      <c r="O85" s="35" t="s">
        <v>167</v>
      </c>
      <c r="P85" s="37">
        <v>18</v>
      </c>
      <c r="Q85" s="37" t="e">
        <f>VLOOKUP(D85,#REF!,9,FALSE)</f>
        <v>#REF!</v>
      </c>
      <c r="R85" s="37" t="s">
        <v>149</v>
      </c>
      <c r="S85" s="35" t="s">
        <v>197</v>
      </c>
      <c r="T85" s="37">
        <v>340</v>
      </c>
      <c r="U85" s="37">
        <v>340</v>
      </c>
      <c r="V85" s="37">
        <v>200</v>
      </c>
      <c r="W85" s="38">
        <f t="shared" si="17"/>
        <v>23120000</v>
      </c>
      <c r="X85" s="38"/>
      <c r="Y85" s="36">
        <v>0.6</v>
      </c>
      <c r="Z85" s="36">
        <v>2</v>
      </c>
      <c r="AA85" s="39">
        <v>12.799999999999999</v>
      </c>
      <c r="AB85" s="37">
        <v>1000</v>
      </c>
      <c r="AC85" s="35">
        <v>1000</v>
      </c>
      <c r="AD85" s="36">
        <v>130</v>
      </c>
      <c r="AE85" s="35">
        <f t="shared" si="8"/>
        <v>130000000</v>
      </c>
      <c r="AF85" s="37">
        <v>13</v>
      </c>
      <c r="AG85" s="37">
        <v>9</v>
      </c>
      <c r="AH85" s="37">
        <v>5</v>
      </c>
      <c r="AI85" s="37" t="s">
        <v>151</v>
      </c>
      <c r="AJ85" s="40">
        <f t="shared" si="18"/>
        <v>1000</v>
      </c>
      <c r="AK85" s="40">
        <f t="shared" si="18"/>
        <v>1000</v>
      </c>
      <c r="AL85" s="40">
        <f t="shared" si="19"/>
        <v>1130</v>
      </c>
      <c r="AM85" s="26">
        <f t="shared" si="16"/>
        <v>1130000000</v>
      </c>
      <c r="AN85" s="37" t="s">
        <v>152</v>
      </c>
      <c r="AO85" s="37" t="s">
        <v>153</v>
      </c>
      <c r="AP85" s="35"/>
      <c r="AQ85" s="35"/>
      <c r="AR85" s="37"/>
      <c r="AS85" s="35"/>
      <c r="AT85" s="37">
        <v>16</v>
      </c>
      <c r="AU85" s="41">
        <f t="shared" si="14"/>
        <v>369920000</v>
      </c>
      <c r="AV85" s="42">
        <f t="shared" si="15"/>
        <v>204.79999999999998</v>
      </c>
      <c r="AW85" s="36" t="s">
        <v>168</v>
      </c>
    </row>
    <row r="86" spans="1:49" x14ac:dyDescent="0.2">
      <c r="A86" s="35" t="s">
        <v>140</v>
      </c>
      <c r="B86" s="35" t="s">
        <v>141</v>
      </c>
      <c r="C86" s="67" t="s">
        <v>400</v>
      </c>
      <c r="D86" s="37"/>
      <c r="E86" s="35"/>
      <c r="F86" s="37"/>
      <c r="G86" s="35" t="s">
        <v>142</v>
      </c>
      <c r="H86" s="37" t="s">
        <v>177</v>
      </c>
      <c r="I86" s="35"/>
      <c r="J86" s="37" t="s">
        <v>54</v>
      </c>
      <c r="K86" s="35" t="s">
        <v>178</v>
      </c>
      <c r="L86" s="37" t="s">
        <v>145</v>
      </c>
      <c r="M86" s="37" t="s">
        <v>65</v>
      </c>
      <c r="N86" s="35" t="s">
        <v>156</v>
      </c>
      <c r="O86" s="35" t="s">
        <v>157</v>
      </c>
      <c r="P86" s="37">
        <v>3</v>
      </c>
      <c r="Q86" s="37" t="e">
        <f>VLOOKUP(D86,#REF!,9,FALSE)</f>
        <v>#REF!</v>
      </c>
      <c r="R86" s="37" t="s">
        <v>149</v>
      </c>
      <c r="S86" s="35" t="s">
        <v>182</v>
      </c>
      <c r="T86" s="37">
        <v>340</v>
      </c>
      <c r="U86" s="37">
        <v>340</v>
      </c>
      <c r="V86" s="37">
        <v>200</v>
      </c>
      <c r="W86" s="38">
        <f t="shared" ref="W86:W96" si="21">T86/1000*U86/1000*V86/1000</f>
        <v>2.3120000000000002E-2</v>
      </c>
      <c r="X86" s="38"/>
      <c r="Y86" s="36">
        <v>1.5</v>
      </c>
      <c r="Z86" s="36">
        <v>1.8</v>
      </c>
      <c r="AA86" s="39">
        <v>6.3</v>
      </c>
      <c r="AB86" s="37">
        <v>1000</v>
      </c>
      <c r="AC86" s="35">
        <v>1000</v>
      </c>
      <c r="AD86" s="36">
        <v>130</v>
      </c>
      <c r="AE86" s="35">
        <f t="shared" si="8"/>
        <v>130000000</v>
      </c>
      <c r="AF86" s="37">
        <v>13</v>
      </c>
      <c r="AG86" s="37">
        <v>9</v>
      </c>
      <c r="AH86" s="37">
        <v>4</v>
      </c>
      <c r="AI86" s="37" t="s">
        <v>180</v>
      </c>
      <c r="AJ86" s="40">
        <f t="shared" si="18"/>
        <v>1000</v>
      </c>
      <c r="AK86" s="40">
        <f t="shared" si="18"/>
        <v>1000</v>
      </c>
      <c r="AL86" s="40">
        <f t="shared" si="19"/>
        <v>930</v>
      </c>
      <c r="AM86" s="26">
        <f t="shared" si="16"/>
        <v>930000000</v>
      </c>
      <c r="AN86" s="37" t="s">
        <v>152</v>
      </c>
      <c r="AO86" s="37" t="s">
        <v>153</v>
      </c>
      <c r="AP86" s="35"/>
      <c r="AQ86" s="35"/>
      <c r="AR86" s="37"/>
      <c r="AS86" s="35"/>
      <c r="AT86" s="37">
        <v>108</v>
      </c>
      <c r="AU86" s="41">
        <f t="shared" si="14"/>
        <v>2.4969600000000001</v>
      </c>
      <c r="AV86" s="42">
        <f t="shared" si="15"/>
        <v>680.4</v>
      </c>
      <c r="AW86" s="36" t="s">
        <v>158</v>
      </c>
    </row>
    <row r="87" spans="1:49" x14ac:dyDescent="0.2">
      <c r="A87" s="35" t="s">
        <v>140</v>
      </c>
      <c r="B87" s="35" t="s">
        <v>141</v>
      </c>
      <c r="C87" s="67" t="s">
        <v>401</v>
      </c>
      <c r="D87" s="37"/>
      <c r="E87" s="35"/>
      <c r="F87" s="37"/>
      <c r="G87" s="35" t="s">
        <v>142</v>
      </c>
      <c r="H87" s="37" t="s">
        <v>177</v>
      </c>
      <c r="I87" s="35"/>
      <c r="J87" s="37" t="s">
        <v>54</v>
      </c>
      <c r="K87" s="35" t="s">
        <v>178</v>
      </c>
      <c r="L87" s="37" t="s">
        <v>145</v>
      </c>
      <c r="M87" s="37" t="s">
        <v>65</v>
      </c>
      <c r="N87" s="35" t="s">
        <v>156</v>
      </c>
      <c r="O87" s="35" t="s">
        <v>157</v>
      </c>
      <c r="P87" s="37">
        <v>3</v>
      </c>
      <c r="Q87" s="37" t="e">
        <f>VLOOKUP(D87,#REF!,9,FALSE)</f>
        <v>#REF!</v>
      </c>
      <c r="R87" s="37" t="s">
        <v>149</v>
      </c>
      <c r="S87" s="35" t="s">
        <v>182</v>
      </c>
      <c r="T87" s="37">
        <v>340</v>
      </c>
      <c r="U87" s="37">
        <v>340</v>
      </c>
      <c r="V87" s="37">
        <v>200</v>
      </c>
      <c r="W87" s="38">
        <f t="shared" si="21"/>
        <v>2.3120000000000002E-2</v>
      </c>
      <c r="X87" s="38"/>
      <c r="Y87" s="36">
        <v>1.5</v>
      </c>
      <c r="Z87" s="36">
        <v>1.8</v>
      </c>
      <c r="AA87" s="39">
        <v>6.3</v>
      </c>
      <c r="AB87" s="37">
        <v>1000</v>
      </c>
      <c r="AC87" s="35">
        <v>1000</v>
      </c>
      <c r="AD87" s="36">
        <v>130</v>
      </c>
      <c r="AE87" s="35">
        <f t="shared" si="8"/>
        <v>130000000</v>
      </c>
      <c r="AF87" s="37">
        <v>13</v>
      </c>
      <c r="AG87" s="37">
        <v>9</v>
      </c>
      <c r="AH87" s="37">
        <v>4</v>
      </c>
      <c r="AI87" s="37" t="s">
        <v>180</v>
      </c>
      <c r="AJ87" s="40">
        <f t="shared" si="18"/>
        <v>1000</v>
      </c>
      <c r="AK87" s="40">
        <f t="shared" si="18"/>
        <v>1000</v>
      </c>
      <c r="AL87" s="40">
        <f t="shared" si="19"/>
        <v>930</v>
      </c>
      <c r="AM87" s="26">
        <f t="shared" si="16"/>
        <v>930000000</v>
      </c>
      <c r="AN87" s="37" t="s">
        <v>152</v>
      </c>
      <c r="AO87" s="37" t="s">
        <v>153</v>
      </c>
      <c r="AP87" s="35"/>
      <c r="AQ87" s="35"/>
      <c r="AR87" s="37"/>
      <c r="AS87" s="35"/>
      <c r="AT87" s="37">
        <v>504</v>
      </c>
      <c r="AU87" s="41">
        <f t="shared" si="14"/>
        <v>11.652480000000001</v>
      </c>
      <c r="AV87" s="42">
        <f t="shared" si="15"/>
        <v>3175.2</v>
      </c>
      <c r="AW87" s="36" t="s">
        <v>158</v>
      </c>
    </row>
    <row r="88" spans="1:49" x14ac:dyDescent="0.2">
      <c r="A88" s="35" t="s">
        <v>140</v>
      </c>
      <c r="B88" s="35" t="s">
        <v>141</v>
      </c>
      <c r="C88" s="67" t="s">
        <v>402</v>
      </c>
      <c r="D88" s="37"/>
      <c r="E88" s="35"/>
      <c r="F88" s="37"/>
      <c r="G88" s="35" t="s">
        <v>142</v>
      </c>
      <c r="H88" s="37" t="s">
        <v>177</v>
      </c>
      <c r="I88" s="35"/>
      <c r="J88" s="37" t="s">
        <v>54</v>
      </c>
      <c r="K88" s="35" t="s">
        <v>178</v>
      </c>
      <c r="L88" s="37" t="s">
        <v>145</v>
      </c>
      <c r="M88" s="37" t="s">
        <v>65</v>
      </c>
      <c r="N88" s="35" t="s">
        <v>156</v>
      </c>
      <c r="O88" s="35" t="s">
        <v>157</v>
      </c>
      <c r="P88" s="37">
        <v>3</v>
      </c>
      <c r="Q88" s="37" t="e">
        <f>VLOOKUP(D88,#REF!,9,FALSE)</f>
        <v>#REF!</v>
      </c>
      <c r="R88" s="37" t="s">
        <v>149</v>
      </c>
      <c r="S88" s="35" t="s">
        <v>182</v>
      </c>
      <c r="T88" s="37">
        <v>340</v>
      </c>
      <c r="U88" s="37">
        <v>340</v>
      </c>
      <c r="V88" s="37">
        <v>200</v>
      </c>
      <c r="W88" s="38">
        <f t="shared" si="21"/>
        <v>2.3120000000000002E-2</v>
      </c>
      <c r="X88" s="38"/>
      <c r="Y88" s="36">
        <v>1.5</v>
      </c>
      <c r="Z88" s="36">
        <v>1.8</v>
      </c>
      <c r="AA88" s="39">
        <v>8</v>
      </c>
      <c r="AB88" s="37">
        <v>1000</v>
      </c>
      <c r="AC88" s="35">
        <v>1000</v>
      </c>
      <c r="AD88" s="36">
        <v>130</v>
      </c>
      <c r="AE88" s="35">
        <f t="shared" si="8"/>
        <v>130000000</v>
      </c>
      <c r="AF88" s="37">
        <v>13</v>
      </c>
      <c r="AG88" s="37">
        <v>9</v>
      </c>
      <c r="AH88" s="37">
        <v>4</v>
      </c>
      <c r="AI88" s="37" t="s">
        <v>180</v>
      </c>
      <c r="AJ88" s="40">
        <f t="shared" si="18"/>
        <v>1000</v>
      </c>
      <c r="AK88" s="40">
        <f t="shared" si="18"/>
        <v>1000</v>
      </c>
      <c r="AL88" s="40">
        <f t="shared" si="19"/>
        <v>930</v>
      </c>
      <c r="AM88" s="26">
        <f t="shared" si="16"/>
        <v>930000000</v>
      </c>
      <c r="AN88" s="37" t="s">
        <v>152</v>
      </c>
      <c r="AO88" s="37" t="s">
        <v>153</v>
      </c>
      <c r="AP88" s="35"/>
      <c r="AQ88" s="35"/>
      <c r="AR88" s="37"/>
      <c r="AS88" s="35"/>
      <c r="AT88" s="37">
        <v>180</v>
      </c>
      <c r="AU88" s="41">
        <f t="shared" si="14"/>
        <v>4.1616</v>
      </c>
      <c r="AV88" s="42">
        <f t="shared" si="15"/>
        <v>1440</v>
      </c>
      <c r="AW88" s="36" t="s">
        <v>158</v>
      </c>
    </row>
    <row r="89" spans="1:49" x14ac:dyDescent="0.2">
      <c r="A89" s="35" t="s">
        <v>140</v>
      </c>
      <c r="B89" s="35" t="s">
        <v>141</v>
      </c>
      <c r="C89" s="67" t="s">
        <v>403</v>
      </c>
      <c r="D89" s="37"/>
      <c r="E89" s="35"/>
      <c r="F89" s="37"/>
      <c r="G89" s="35" t="s">
        <v>142</v>
      </c>
      <c r="H89" s="37" t="s">
        <v>177</v>
      </c>
      <c r="I89" s="35"/>
      <c r="J89" s="37" t="s">
        <v>54</v>
      </c>
      <c r="K89" s="35" t="s">
        <v>178</v>
      </c>
      <c r="L89" s="37" t="s">
        <v>145</v>
      </c>
      <c r="M89" s="37" t="s">
        <v>65</v>
      </c>
      <c r="N89" s="35" t="s">
        <v>156</v>
      </c>
      <c r="O89" s="35" t="s">
        <v>157</v>
      </c>
      <c r="P89" s="37">
        <v>3</v>
      </c>
      <c r="Q89" s="37" t="e">
        <f>VLOOKUP(D89,#REF!,9,FALSE)</f>
        <v>#REF!</v>
      </c>
      <c r="R89" s="37" t="s">
        <v>149</v>
      </c>
      <c r="S89" s="35" t="s">
        <v>182</v>
      </c>
      <c r="T89" s="37">
        <v>340</v>
      </c>
      <c r="U89" s="37">
        <v>340</v>
      </c>
      <c r="V89" s="37">
        <v>200</v>
      </c>
      <c r="W89" s="38">
        <f t="shared" si="21"/>
        <v>2.3120000000000002E-2</v>
      </c>
      <c r="X89" s="38"/>
      <c r="Y89" s="36">
        <v>1.44</v>
      </c>
      <c r="Z89" s="36">
        <v>1.8</v>
      </c>
      <c r="AA89" s="39">
        <v>6.12</v>
      </c>
      <c r="AB89" s="37">
        <v>1000</v>
      </c>
      <c r="AC89" s="35">
        <v>1000</v>
      </c>
      <c r="AD89" s="36">
        <v>130</v>
      </c>
      <c r="AE89" s="35">
        <f t="shared" si="8"/>
        <v>130000000</v>
      </c>
      <c r="AF89" s="37">
        <v>13</v>
      </c>
      <c r="AG89" s="37">
        <v>9</v>
      </c>
      <c r="AH89" s="37">
        <v>4</v>
      </c>
      <c r="AI89" s="37" t="s">
        <v>180</v>
      </c>
      <c r="AJ89" s="40">
        <f t="shared" si="18"/>
        <v>1000</v>
      </c>
      <c r="AK89" s="40">
        <f t="shared" si="18"/>
        <v>1000</v>
      </c>
      <c r="AL89" s="40">
        <f t="shared" si="19"/>
        <v>930</v>
      </c>
      <c r="AM89" s="26">
        <f t="shared" si="16"/>
        <v>930000000</v>
      </c>
      <c r="AN89" s="37" t="s">
        <v>152</v>
      </c>
      <c r="AO89" s="37" t="s">
        <v>153</v>
      </c>
      <c r="AP89" s="35"/>
      <c r="AQ89" s="35"/>
      <c r="AR89" s="37"/>
      <c r="AS89" s="35"/>
      <c r="AT89" s="37">
        <v>540</v>
      </c>
      <c r="AU89" s="41">
        <f t="shared" si="14"/>
        <v>12.484800000000002</v>
      </c>
      <c r="AV89" s="42">
        <f t="shared" si="15"/>
        <v>3304.8</v>
      </c>
      <c r="AW89" s="36" t="s">
        <v>158</v>
      </c>
    </row>
    <row r="90" spans="1:49" x14ac:dyDescent="0.2">
      <c r="A90" s="35" t="s">
        <v>140</v>
      </c>
      <c r="B90" s="35" t="s">
        <v>141</v>
      </c>
      <c r="C90" s="67" t="s">
        <v>404</v>
      </c>
      <c r="D90" s="37"/>
      <c r="E90" s="35"/>
      <c r="F90" s="37"/>
      <c r="G90" s="35" t="s">
        <v>142</v>
      </c>
      <c r="H90" s="37" t="s">
        <v>177</v>
      </c>
      <c r="I90" s="35"/>
      <c r="J90" s="37" t="s">
        <v>54</v>
      </c>
      <c r="K90" s="35" t="s">
        <v>178</v>
      </c>
      <c r="L90" s="37" t="s">
        <v>145</v>
      </c>
      <c r="M90" s="37" t="s">
        <v>65</v>
      </c>
      <c r="N90" s="35" t="s">
        <v>156</v>
      </c>
      <c r="O90" s="35" t="s">
        <v>157</v>
      </c>
      <c r="P90" s="37">
        <v>3</v>
      </c>
      <c r="Q90" s="37" t="e">
        <f>VLOOKUP(D90,#REF!,9,FALSE)</f>
        <v>#REF!</v>
      </c>
      <c r="R90" s="37" t="s">
        <v>149</v>
      </c>
      <c r="S90" s="35" t="s">
        <v>182</v>
      </c>
      <c r="T90" s="37">
        <v>340</v>
      </c>
      <c r="U90" s="37">
        <v>340</v>
      </c>
      <c r="V90" s="37">
        <v>200</v>
      </c>
      <c r="W90" s="38">
        <f t="shared" si="21"/>
        <v>2.3120000000000002E-2</v>
      </c>
      <c r="X90" s="38"/>
      <c r="Y90" s="36">
        <v>1.476</v>
      </c>
      <c r="Z90" s="36">
        <v>1.8</v>
      </c>
      <c r="AA90" s="39">
        <v>6.2279999999999998</v>
      </c>
      <c r="AB90" s="37">
        <v>1000</v>
      </c>
      <c r="AC90" s="35">
        <v>1000</v>
      </c>
      <c r="AD90" s="36">
        <v>130</v>
      </c>
      <c r="AE90" s="35">
        <f t="shared" si="8"/>
        <v>130000000</v>
      </c>
      <c r="AF90" s="37">
        <v>13</v>
      </c>
      <c r="AG90" s="37">
        <v>9</v>
      </c>
      <c r="AH90" s="37">
        <v>4</v>
      </c>
      <c r="AI90" s="37" t="s">
        <v>180</v>
      </c>
      <c r="AJ90" s="40">
        <f t="shared" si="18"/>
        <v>1000</v>
      </c>
      <c r="AK90" s="40">
        <f t="shared" si="18"/>
        <v>1000</v>
      </c>
      <c r="AL90" s="40">
        <f t="shared" si="19"/>
        <v>930</v>
      </c>
      <c r="AM90" s="26">
        <f t="shared" si="16"/>
        <v>930000000</v>
      </c>
      <c r="AN90" s="37" t="s">
        <v>152</v>
      </c>
      <c r="AO90" s="37" t="s">
        <v>153</v>
      </c>
      <c r="AP90" s="35"/>
      <c r="AQ90" s="35"/>
      <c r="AR90" s="37"/>
      <c r="AS90" s="35"/>
      <c r="AT90" s="37">
        <v>288</v>
      </c>
      <c r="AU90" s="41">
        <f t="shared" si="14"/>
        <v>6.6585600000000005</v>
      </c>
      <c r="AV90" s="42">
        <f t="shared" si="15"/>
        <v>1793.664</v>
      </c>
      <c r="AW90" s="36" t="s">
        <v>158</v>
      </c>
    </row>
    <row r="91" spans="1:49" x14ac:dyDescent="0.2">
      <c r="A91" s="35" t="s">
        <v>140</v>
      </c>
      <c r="B91" s="35" t="s">
        <v>141</v>
      </c>
      <c r="C91" s="67" t="s">
        <v>405</v>
      </c>
      <c r="D91" s="37"/>
      <c r="E91" s="35"/>
      <c r="F91" s="37"/>
      <c r="G91" s="35" t="s">
        <v>142</v>
      </c>
      <c r="H91" s="37" t="s">
        <v>177</v>
      </c>
      <c r="I91" s="35"/>
      <c r="J91" s="37" t="s">
        <v>54</v>
      </c>
      <c r="K91" s="35" t="s">
        <v>178</v>
      </c>
      <c r="L91" s="37" t="s">
        <v>145</v>
      </c>
      <c r="M91" s="37" t="s">
        <v>65</v>
      </c>
      <c r="N91" s="35" t="s">
        <v>156</v>
      </c>
      <c r="O91" s="35" t="s">
        <v>157</v>
      </c>
      <c r="P91" s="37">
        <v>3</v>
      </c>
      <c r="Q91" s="37" t="e">
        <f>VLOOKUP(D91,#REF!,9,FALSE)</f>
        <v>#REF!</v>
      </c>
      <c r="R91" s="37" t="s">
        <v>149</v>
      </c>
      <c r="S91" s="35" t="s">
        <v>182</v>
      </c>
      <c r="T91" s="37">
        <v>340</v>
      </c>
      <c r="U91" s="37">
        <v>340</v>
      </c>
      <c r="V91" s="37">
        <v>200</v>
      </c>
      <c r="W91" s="38">
        <f t="shared" si="21"/>
        <v>2.3120000000000002E-2</v>
      </c>
      <c r="X91" s="38"/>
      <c r="Y91" s="36">
        <v>1.534</v>
      </c>
      <c r="Z91" s="36">
        <v>1.8</v>
      </c>
      <c r="AA91" s="39">
        <v>6.4020000000000001</v>
      </c>
      <c r="AB91" s="37">
        <v>1000</v>
      </c>
      <c r="AC91" s="35">
        <v>1000</v>
      </c>
      <c r="AD91" s="36">
        <v>130</v>
      </c>
      <c r="AE91" s="35">
        <f t="shared" si="8"/>
        <v>130000000</v>
      </c>
      <c r="AF91" s="37">
        <v>13</v>
      </c>
      <c r="AG91" s="37">
        <v>9</v>
      </c>
      <c r="AH91" s="37">
        <v>4</v>
      </c>
      <c r="AI91" s="37" t="s">
        <v>180</v>
      </c>
      <c r="AJ91" s="40">
        <f t="shared" si="18"/>
        <v>1000</v>
      </c>
      <c r="AK91" s="40">
        <f t="shared" si="18"/>
        <v>1000</v>
      </c>
      <c r="AL91" s="40">
        <f t="shared" si="19"/>
        <v>930</v>
      </c>
      <c r="AM91" s="26">
        <f t="shared" si="16"/>
        <v>930000000</v>
      </c>
      <c r="AN91" s="37" t="s">
        <v>152</v>
      </c>
      <c r="AO91" s="37" t="s">
        <v>153</v>
      </c>
      <c r="AP91" s="35"/>
      <c r="AQ91" s="35"/>
      <c r="AR91" s="37"/>
      <c r="AS91" s="35"/>
      <c r="AT91" s="37">
        <v>1080</v>
      </c>
      <c r="AU91" s="41">
        <f t="shared" si="14"/>
        <v>24.969600000000003</v>
      </c>
      <c r="AV91" s="42">
        <f t="shared" si="15"/>
        <v>6914.16</v>
      </c>
      <c r="AW91" s="36" t="s">
        <v>158</v>
      </c>
    </row>
    <row r="92" spans="1:49" x14ac:dyDescent="0.2">
      <c r="A92" s="35" t="s">
        <v>140</v>
      </c>
      <c r="B92" s="35" t="s">
        <v>141</v>
      </c>
      <c r="C92" s="67" t="s">
        <v>406</v>
      </c>
      <c r="D92" s="37"/>
      <c r="E92" s="35"/>
      <c r="F92" s="37"/>
      <c r="G92" s="35" t="s">
        <v>142</v>
      </c>
      <c r="H92" s="37" t="s">
        <v>177</v>
      </c>
      <c r="I92" s="35"/>
      <c r="J92" s="37" t="s">
        <v>54</v>
      </c>
      <c r="K92" s="35" t="s">
        <v>178</v>
      </c>
      <c r="L92" s="37" t="s">
        <v>145</v>
      </c>
      <c r="M92" s="37" t="s">
        <v>65</v>
      </c>
      <c r="N92" s="35" t="s">
        <v>156</v>
      </c>
      <c r="O92" s="35" t="s">
        <v>157</v>
      </c>
      <c r="P92" s="37">
        <v>3</v>
      </c>
      <c r="Q92" s="37" t="e">
        <f>VLOOKUP(D92,#REF!,9,FALSE)</f>
        <v>#REF!</v>
      </c>
      <c r="R92" s="37" t="s">
        <v>149</v>
      </c>
      <c r="S92" s="35" t="s">
        <v>182</v>
      </c>
      <c r="T92" s="37">
        <v>340</v>
      </c>
      <c r="U92" s="37">
        <v>340</v>
      </c>
      <c r="V92" s="37">
        <v>200</v>
      </c>
      <c r="W92" s="38">
        <f t="shared" si="21"/>
        <v>2.3120000000000002E-2</v>
      </c>
      <c r="X92" s="38"/>
      <c r="Y92" s="36">
        <v>1.44</v>
      </c>
      <c r="Z92" s="36">
        <v>1.8</v>
      </c>
      <c r="AA92" s="39">
        <v>6.12</v>
      </c>
      <c r="AB92" s="37">
        <v>1000</v>
      </c>
      <c r="AC92" s="35">
        <v>1000</v>
      </c>
      <c r="AD92" s="36">
        <v>130</v>
      </c>
      <c r="AE92" s="35">
        <f t="shared" ref="AE92:AE155" si="22">AB92*AC92*AD92</f>
        <v>130000000</v>
      </c>
      <c r="AF92" s="37">
        <v>13</v>
      </c>
      <c r="AG92" s="37">
        <v>9</v>
      </c>
      <c r="AH92" s="37">
        <v>4</v>
      </c>
      <c r="AI92" s="37" t="s">
        <v>180</v>
      </c>
      <c r="AJ92" s="40">
        <f t="shared" si="18"/>
        <v>1000</v>
      </c>
      <c r="AK92" s="40">
        <f t="shared" si="18"/>
        <v>1000</v>
      </c>
      <c r="AL92" s="40">
        <f t="shared" si="19"/>
        <v>930</v>
      </c>
      <c r="AM92" s="26">
        <f t="shared" si="16"/>
        <v>930000000</v>
      </c>
      <c r="AN92" s="37" t="s">
        <v>152</v>
      </c>
      <c r="AO92" s="37" t="s">
        <v>153</v>
      </c>
      <c r="AP92" s="35"/>
      <c r="AQ92" s="35"/>
      <c r="AR92" s="37"/>
      <c r="AS92" s="35"/>
      <c r="AT92" s="37">
        <v>648</v>
      </c>
      <c r="AU92" s="41">
        <f t="shared" si="14"/>
        <v>14.981760000000001</v>
      </c>
      <c r="AV92" s="42">
        <f t="shared" si="15"/>
        <v>3965.76</v>
      </c>
      <c r="AW92" s="36" t="s">
        <v>158</v>
      </c>
    </row>
    <row r="93" spans="1:49" x14ac:dyDescent="0.2">
      <c r="A93" s="35" t="s">
        <v>140</v>
      </c>
      <c r="B93" s="35" t="s">
        <v>141</v>
      </c>
      <c r="C93" s="67" t="s">
        <v>407</v>
      </c>
      <c r="D93" s="37"/>
      <c r="E93" s="35"/>
      <c r="F93" s="37"/>
      <c r="G93" s="35" t="s">
        <v>142</v>
      </c>
      <c r="H93" s="37" t="s">
        <v>177</v>
      </c>
      <c r="I93" s="35"/>
      <c r="J93" s="37" t="s">
        <v>54</v>
      </c>
      <c r="K93" s="35" t="s">
        <v>178</v>
      </c>
      <c r="L93" s="37" t="s">
        <v>145</v>
      </c>
      <c r="M93" s="37" t="s">
        <v>65</v>
      </c>
      <c r="N93" s="35" t="s">
        <v>156</v>
      </c>
      <c r="O93" s="35" t="s">
        <v>157</v>
      </c>
      <c r="P93" s="37">
        <v>3</v>
      </c>
      <c r="Q93" s="37" t="e">
        <f>VLOOKUP(D93,#REF!,9,FALSE)</f>
        <v>#REF!</v>
      </c>
      <c r="R93" s="37" t="s">
        <v>149</v>
      </c>
      <c r="S93" s="35" t="s">
        <v>182</v>
      </c>
      <c r="T93" s="37">
        <v>340</v>
      </c>
      <c r="U93" s="37">
        <v>340</v>
      </c>
      <c r="V93" s="37">
        <v>200</v>
      </c>
      <c r="W93" s="38">
        <f t="shared" si="21"/>
        <v>2.3120000000000002E-2</v>
      </c>
      <c r="X93" s="38"/>
      <c r="Y93" s="36">
        <v>1.44</v>
      </c>
      <c r="Z93" s="36">
        <v>1.8</v>
      </c>
      <c r="AA93" s="39">
        <v>6.12</v>
      </c>
      <c r="AB93" s="37">
        <v>1000</v>
      </c>
      <c r="AC93" s="35">
        <v>1000</v>
      </c>
      <c r="AD93" s="36">
        <v>130</v>
      </c>
      <c r="AE93" s="35">
        <f t="shared" si="22"/>
        <v>130000000</v>
      </c>
      <c r="AF93" s="37">
        <v>13</v>
      </c>
      <c r="AG93" s="37">
        <v>9</v>
      </c>
      <c r="AH93" s="37">
        <v>4</v>
      </c>
      <c r="AI93" s="37" t="s">
        <v>180</v>
      </c>
      <c r="AJ93" s="40">
        <f t="shared" si="18"/>
        <v>1000</v>
      </c>
      <c r="AK93" s="40">
        <f t="shared" si="18"/>
        <v>1000</v>
      </c>
      <c r="AL93" s="40">
        <f t="shared" si="19"/>
        <v>930</v>
      </c>
      <c r="AM93" s="26">
        <f t="shared" si="16"/>
        <v>930000000</v>
      </c>
      <c r="AN93" s="37" t="s">
        <v>152</v>
      </c>
      <c r="AO93" s="37" t="s">
        <v>153</v>
      </c>
      <c r="AP93" s="35"/>
      <c r="AQ93" s="35"/>
      <c r="AR93" s="37"/>
      <c r="AS93" s="35"/>
      <c r="AT93" s="37">
        <v>2196</v>
      </c>
      <c r="AU93" s="41">
        <f t="shared" si="14"/>
        <v>50.771520000000002</v>
      </c>
      <c r="AV93" s="42">
        <f t="shared" si="15"/>
        <v>13439.52</v>
      </c>
      <c r="AW93" s="36" t="s">
        <v>158</v>
      </c>
    </row>
    <row r="94" spans="1:49" x14ac:dyDescent="0.2">
      <c r="A94" s="35" t="s">
        <v>140</v>
      </c>
      <c r="B94" s="35" t="s">
        <v>141</v>
      </c>
      <c r="C94" s="67" t="s">
        <v>408</v>
      </c>
      <c r="D94" s="37"/>
      <c r="E94" s="35"/>
      <c r="F94" s="37"/>
      <c r="G94" s="35" t="s">
        <v>142</v>
      </c>
      <c r="H94" s="37" t="s">
        <v>177</v>
      </c>
      <c r="I94" s="35"/>
      <c r="J94" s="37" t="s">
        <v>54</v>
      </c>
      <c r="K94" s="35" t="s">
        <v>178</v>
      </c>
      <c r="L94" s="37" t="s">
        <v>145</v>
      </c>
      <c r="M94" s="37" t="s">
        <v>65</v>
      </c>
      <c r="N94" s="35" t="s">
        <v>156</v>
      </c>
      <c r="O94" s="35" t="s">
        <v>157</v>
      </c>
      <c r="P94" s="37">
        <v>3</v>
      </c>
      <c r="Q94" s="37" t="e">
        <f>VLOOKUP(D94,#REF!,9,FALSE)</f>
        <v>#REF!</v>
      </c>
      <c r="R94" s="37" t="s">
        <v>149</v>
      </c>
      <c r="S94" s="35" t="s">
        <v>182</v>
      </c>
      <c r="T94" s="37">
        <v>340</v>
      </c>
      <c r="U94" s="37">
        <v>340</v>
      </c>
      <c r="V94" s="37">
        <v>200</v>
      </c>
      <c r="W94" s="38">
        <f t="shared" si="21"/>
        <v>2.3120000000000002E-2</v>
      </c>
      <c r="X94" s="38"/>
      <c r="Y94" s="36">
        <v>1.2509999999999999</v>
      </c>
      <c r="Z94" s="36">
        <v>1.88</v>
      </c>
      <c r="AA94" s="39">
        <v>5.6329999999999991</v>
      </c>
      <c r="AB94" s="37">
        <v>1000</v>
      </c>
      <c r="AC94" s="35">
        <v>1000</v>
      </c>
      <c r="AD94" s="36">
        <v>130</v>
      </c>
      <c r="AE94" s="35">
        <f t="shared" si="22"/>
        <v>130000000</v>
      </c>
      <c r="AF94" s="37">
        <v>13</v>
      </c>
      <c r="AG94" s="37">
        <v>9</v>
      </c>
      <c r="AH94" s="37">
        <v>4</v>
      </c>
      <c r="AI94" s="37" t="s">
        <v>180</v>
      </c>
      <c r="AJ94" s="40">
        <f t="shared" si="18"/>
        <v>1000</v>
      </c>
      <c r="AK94" s="40">
        <f t="shared" si="18"/>
        <v>1000</v>
      </c>
      <c r="AL94" s="40">
        <f t="shared" si="19"/>
        <v>930</v>
      </c>
      <c r="AM94" s="26">
        <f t="shared" si="16"/>
        <v>930000000</v>
      </c>
      <c r="AN94" s="37" t="s">
        <v>152</v>
      </c>
      <c r="AO94" s="37" t="s">
        <v>153</v>
      </c>
      <c r="AP94" s="35"/>
      <c r="AQ94" s="35"/>
      <c r="AR94" s="37"/>
      <c r="AS94" s="35"/>
      <c r="AT94" s="37">
        <v>252</v>
      </c>
      <c r="AU94" s="41">
        <f t="shared" si="14"/>
        <v>5.8262400000000003</v>
      </c>
      <c r="AV94" s="42">
        <f t="shared" si="15"/>
        <v>1419.5159999999998</v>
      </c>
      <c r="AW94" s="36" t="s">
        <v>158</v>
      </c>
    </row>
    <row r="95" spans="1:49" x14ac:dyDescent="0.2">
      <c r="A95" s="35" t="s">
        <v>140</v>
      </c>
      <c r="B95" s="35" t="s">
        <v>141</v>
      </c>
      <c r="C95" s="67" t="s">
        <v>409</v>
      </c>
      <c r="D95" s="37"/>
      <c r="E95" s="35"/>
      <c r="F95" s="37"/>
      <c r="G95" s="35" t="s">
        <v>142</v>
      </c>
      <c r="H95" s="37" t="s">
        <v>177</v>
      </c>
      <c r="I95" s="35"/>
      <c r="J95" s="37" t="s">
        <v>54</v>
      </c>
      <c r="K95" s="35" t="s">
        <v>178</v>
      </c>
      <c r="L95" s="37" t="s">
        <v>145</v>
      </c>
      <c r="M95" s="37" t="s">
        <v>65</v>
      </c>
      <c r="N95" s="35" t="s">
        <v>156</v>
      </c>
      <c r="O95" s="35" t="s">
        <v>157</v>
      </c>
      <c r="P95" s="37">
        <v>3</v>
      </c>
      <c r="Q95" s="37" t="e">
        <f>VLOOKUP(D95,#REF!,9,FALSE)</f>
        <v>#REF!</v>
      </c>
      <c r="R95" s="37" t="s">
        <v>149</v>
      </c>
      <c r="S95" s="35" t="s">
        <v>182</v>
      </c>
      <c r="T95" s="37">
        <v>340</v>
      </c>
      <c r="U95" s="37">
        <v>340</v>
      </c>
      <c r="V95" s="37">
        <v>200</v>
      </c>
      <c r="W95" s="38">
        <f t="shared" si="21"/>
        <v>2.3120000000000002E-2</v>
      </c>
      <c r="X95" s="38"/>
      <c r="Y95" s="36">
        <v>1.22</v>
      </c>
      <c r="Z95" s="36">
        <v>1.75</v>
      </c>
      <c r="AA95" s="39">
        <v>5.41</v>
      </c>
      <c r="AB95" s="37">
        <v>1000</v>
      </c>
      <c r="AC95" s="35">
        <v>1000</v>
      </c>
      <c r="AD95" s="36">
        <v>130</v>
      </c>
      <c r="AE95" s="35">
        <f t="shared" si="22"/>
        <v>130000000</v>
      </c>
      <c r="AF95" s="37">
        <v>13</v>
      </c>
      <c r="AG95" s="37">
        <v>9</v>
      </c>
      <c r="AH95" s="37">
        <v>4</v>
      </c>
      <c r="AI95" s="37" t="s">
        <v>180</v>
      </c>
      <c r="AJ95" s="40">
        <f t="shared" si="18"/>
        <v>1000</v>
      </c>
      <c r="AK95" s="40">
        <f t="shared" si="18"/>
        <v>1000</v>
      </c>
      <c r="AL95" s="40">
        <f t="shared" si="19"/>
        <v>930</v>
      </c>
      <c r="AM95" s="26">
        <f t="shared" si="16"/>
        <v>930000000</v>
      </c>
      <c r="AN95" s="37" t="s">
        <v>152</v>
      </c>
      <c r="AO95" s="37" t="s">
        <v>153</v>
      </c>
      <c r="AP95" s="35"/>
      <c r="AQ95" s="35"/>
      <c r="AR95" s="37"/>
      <c r="AS95" s="35"/>
      <c r="AT95" s="37">
        <v>1944</v>
      </c>
      <c r="AU95" s="41">
        <f t="shared" si="14"/>
        <v>44.945280000000004</v>
      </c>
      <c r="AV95" s="42">
        <f t="shared" si="15"/>
        <v>10517.04</v>
      </c>
      <c r="AW95" s="36" t="s">
        <v>158</v>
      </c>
    </row>
    <row r="96" spans="1:49" x14ac:dyDescent="0.2">
      <c r="A96" s="35" t="s">
        <v>140</v>
      </c>
      <c r="B96" s="35" t="s">
        <v>141</v>
      </c>
      <c r="C96" s="67" t="s">
        <v>410</v>
      </c>
      <c r="D96" s="37"/>
      <c r="E96" s="35"/>
      <c r="F96" s="37"/>
      <c r="G96" s="35" t="s">
        <v>142</v>
      </c>
      <c r="H96" s="37" t="s">
        <v>177</v>
      </c>
      <c r="I96" s="35"/>
      <c r="J96" s="37" t="s">
        <v>54</v>
      </c>
      <c r="K96" s="35" t="s">
        <v>178</v>
      </c>
      <c r="L96" s="37" t="s">
        <v>145</v>
      </c>
      <c r="M96" s="37" t="s">
        <v>65</v>
      </c>
      <c r="N96" s="35" t="s">
        <v>156</v>
      </c>
      <c r="O96" s="35" t="s">
        <v>157</v>
      </c>
      <c r="P96" s="37">
        <v>3</v>
      </c>
      <c r="Q96" s="37" t="e">
        <f>VLOOKUP(D96,#REF!,9,FALSE)</f>
        <v>#REF!</v>
      </c>
      <c r="R96" s="37" t="s">
        <v>149</v>
      </c>
      <c r="S96" s="35" t="s">
        <v>182</v>
      </c>
      <c r="T96" s="37">
        <v>340</v>
      </c>
      <c r="U96" s="37">
        <v>340</v>
      </c>
      <c r="V96" s="37">
        <v>200</v>
      </c>
      <c r="W96" s="38">
        <f t="shared" si="21"/>
        <v>2.3120000000000002E-2</v>
      </c>
      <c r="X96" s="38"/>
      <c r="Y96" s="36">
        <v>1.5880000000000001</v>
      </c>
      <c r="Z96" s="36">
        <v>1.8879999999999999</v>
      </c>
      <c r="AA96" s="39">
        <v>6.6520000000000001</v>
      </c>
      <c r="AB96" s="37">
        <v>1000</v>
      </c>
      <c r="AC96" s="35">
        <v>1000</v>
      </c>
      <c r="AD96" s="36">
        <v>130</v>
      </c>
      <c r="AE96" s="35">
        <f t="shared" si="22"/>
        <v>130000000</v>
      </c>
      <c r="AF96" s="37">
        <v>13</v>
      </c>
      <c r="AG96" s="37">
        <v>9</v>
      </c>
      <c r="AH96" s="37">
        <v>4</v>
      </c>
      <c r="AI96" s="37" t="s">
        <v>180</v>
      </c>
      <c r="AJ96" s="40">
        <f t="shared" si="18"/>
        <v>1000</v>
      </c>
      <c r="AK96" s="40">
        <f t="shared" si="18"/>
        <v>1000</v>
      </c>
      <c r="AL96" s="40">
        <f t="shared" si="19"/>
        <v>930</v>
      </c>
      <c r="AM96" s="26">
        <f t="shared" si="16"/>
        <v>930000000</v>
      </c>
      <c r="AN96" s="37" t="s">
        <v>152</v>
      </c>
      <c r="AO96" s="37" t="s">
        <v>153</v>
      </c>
      <c r="AP96" s="35"/>
      <c r="AQ96" s="35"/>
      <c r="AR96" s="37"/>
      <c r="AS96" s="35"/>
      <c r="AT96" s="37">
        <v>144</v>
      </c>
      <c r="AU96" s="41">
        <f t="shared" si="14"/>
        <v>3.3292800000000002</v>
      </c>
      <c r="AV96" s="42">
        <f t="shared" si="15"/>
        <v>957.88800000000003</v>
      </c>
      <c r="AW96" s="36" t="s">
        <v>158</v>
      </c>
    </row>
    <row r="97" spans="1:49" hidden="1" x14ac:dyDescent="0.2">
      <c r="A97" s="35" t="s">
        <v>140</v>
      </c>
      <c r="B97" s="35" t="s">
        <v>141</v>
      </c>
      <c r="C97" s="67" t="s">
        <v>411</v>
      </c>
      <c r="D97" s="37"/>
      <c r="E97" s="35"/>
      <c r="F97" s="37"/>
      <c r="G97" s="35" t="s">
        <v>142</v>
      </c>
      <c r="H97" s="37" t="s">
        <v>143</v>
      </c>
      <c r="I97" s="35"/>
      <c r="J97" s="37" t="s">
        <v>54</v>
      </c>
      <c r="K97" s="35" t="s">
        <v>144</v>
      </c>
      <c r="L97" s="37" t="s">
        <v>145</v>
      </c>
      <c r="M97" s="37" t="s">
        <v>165</v>
      </c>
      <c r="N97" s="35" t="s">
        <v>166</v>
      </c>
      <c r="O97" s="35" t="s">
        <v>167</v>
      </c>
      <c r="P97" s="37">
        <v>8</v>
      </c>
      <c r="Q97" s="37" t="e">
        <f>VLOOKUP(D97,#REF!,9,FALSE)</f>
        <v>#REF!</v>
      </c>
      <c r="R97" s="37" t="s">
        <v>149</v>
      </c>
      <c r="S97" s="35" t="s">
        <v>182</v>
      </c>
      <c r="T97" s="37">
        <v>340</v>
      </c>
      <c r="U97" s="37">
        <v>340</v>
      </c>
      <c r="V97" s="37">
        <v>200</v>
      </c>
      <c r="W97" s="38">
        <f t="shared" si="17"/>
        <v>23120000</v>
      </c>
      <c r="X97" s="38"/>
      <c r="Y97" s="36">
        <v>1</v>
      </c>
      <c r="Z97" s="36">
        <v>2</v>
      </c>
      <c r="AA97" s="39">
        <v>10</v>
      </c>
      <c r="AB97" s="37">
        <v>1000</v>
      </c>
      <c r="AC97" s="35">
        <v>1000</v>
      </c>
      <c r="AD97" s="36">
        <v>130</v>
      </c>
      <c r="AE97" s="35">
        <f t="shared" si="22"/>
        <v>130000000</v>
      </c>
      <c r="AF97" s="37">
        <v>13</v>
      </c>
      <c r="AG97" s="37">
        <v>9</v>
      </c>
      <c r="AH97" s="37">
        <v>4</v>
      </c>
      <c r="AI97" s="37" t="s">
        <v>180</v>
      </c>
      <c r="AJ97" s="40">
        <f t="shared" si="18"/>
        <v>1000</v>
      </c>
      <c r="AK97" s="40">
        <f t="shared" si="18"/>
        <v>1000</v>
      </c>
      <c r="AL97" s="40">
        <f t="shared" si="19"/>
        <v>930</v>
      </c>
      <c r="AM97" s="26">
        <f t="shared" si="16"/>
        <v>930000000</v>
      </c>
      <c r="AN97" s="37" t="s">
        <v>152</v>
      </c>
      <c r="AO97" s="37" t="s">
        <v>153</v>
      </c>
      <c r="AP97" s="35"/>
      <c r="AQ97" s="35"/>
      <c r="AR97" s="37"/>
      <c r="AS97" s="35"/>
      <c r="AT97" s="37">
        <v>1872</v>
      </c>
      <c r="AU97" s="41">
        <f t="shared" si="14"/>
        <v>43280640000</v>
      </c>
      <c r="AV97" s="42">
        <f t="shared" si="15"/>
        <v>18720</v>
      </c>
      <c r="AW97" s="36" t="s">
        <v>168</v>
      </c>
    </row>
    <row r="98" spans="1:49" x14ac:dyDescent="0.2">
      <c r="A98" s="35" t="s">
        <v>140</v>
      </c>
      <c r="B98" s="35" t="s">
        <v>141</v>
      </c>
      <c r="C98" s="67" t="s">
        <v>412</v>
      </c>
      <c r="D98" s="37"/>
      <c r="E98" s="35"/>
      <c r="F98" s="37"/>
      <c r="G98" s="35" t="s">
        <v>142</v>
      </c>
      <c r="H98" s="37" t="s">
        <v>177</v>
      </c>
      <c r="I98" s="35"/>
      <c r="J98" s="37" t="s">
        <v>54</v>
      </c>
      <c r="K98" s="35" t="s">
        <v>178</v>
      </c>
      <c r="L98" s="37" t="s">
        <v>145</v>
      </c>
      <c r="M98" s="37" t="s">
        <v>65</v>
      </c>
      <c r="N98" s="35" t="s">
        <v>156</v>
      </c>
      <c r="O98" s="35" t="s">
        <v>157</v>
      </c>
      <c r="P98" s="37">
        <v>4</v>
      </c>
      <c r="Q98" s="37" t="e">
        <f>VLOOKUP(D98,#REF!,9,FALSE)</f>
        <v>#REF!</v>
      </c>
      <c r="R98" s="37" t="s">
        <v>149</v>
      </c>
      <c r="S98" s="35" t="s">
        <v>184</v>
      </c>
      <c r="T98" s="37">
        <v>340</v>
      </c>
      <c r="U98" s="37">
        <v>340</v>
      </c>
      <c r="V98" s="37">
        <v>250</v>
      </c>
      <c r="W98" s="38">
        <f>T98/1000*U98/1000*V98/1000</f>
        <v>2.8900000000000002E-2</v>
      </c>
      <c r="X98" s="38"/>
      <c r="Y98" s="36">
        <v>2</v>
      </c>
      <c r="Z98" s="36">
        <v>2</v>
      </c>
      <c r="AA98" s="39">
        <v>10</v>
      </c>
      <c r="AB98" s="37">
        <v>1000</v>
      </c>
      <c r="AC98" s="35">
        <v>1000</v>
      </c>
      <c r="AD98" s="36">
        <v>130</v>
      </c>
      <c r="AE98" s="35">
        <f t="shared" si="22"/>
        <v>130000000</v>
      </c>
      <c r="AF98" s="37">
        <v>13</v>
      </c>
      <c r="AG98" s="37">
        <v>9</v>
      </c>
      <c r="AH98" s="37">
        <v>3</v>
      </c>
      <c r="AI98" s="37" t="s">
        <v>180</v>
      </c>
      <c r="AJ98" s="40">
        <f t="shared" si="18"/>
        <v>1000</v>
      </c>
      <c r="AK98" s="40">
        <f t="shared" si="18"/>
        <v>1000</v>
      </c>
      <c r="AL98" s="40">
        <f t="shared" si="19"/>
        <v>880</v>
      </c>
      <c r="AM98" s="26">
        <f t="shared" si="16"/>
        <v>880000000</v>
      </c>
      <c r="AN98" s="37" t="s">
        <v>152</v>
      </c>
      <c r="AO98" s="37" t="s">
        <v>153</v>
      </c>
      <c r="AP98" s="35"/>
      <c r="AQ98" s="35"/>
      <c r="AR98" s="37"/>
      <c r="AS98" s="35"/>
      <c r="AT98" s="37">
        <v>648</v>
      </c>
      <c r="AU98" s="41">
        <f t="shared" si="14"/>
        <v>18.7272</v>
      </c>
      <c r="AV98" s="42">
        <f t="shared" si="15"/>
        <v>6480</v>
      </c>
      <c r="AW98" s="36" t="s">
        <v>158</v>
      </c>
    </row>
    <row r="99" spans="1:49" hidden="1" x14ac:dyDescent="0.2">
      <c r="A99" s="35" t="s">
        <v>140</v>
      </c>
      <c r="B99" s="35" t="s">
        <v>141</v>
      </c>
      <c r="C99" s="37" t="s">
        <v>412</v>
      </c>
      <c r="D99" s="37"/>
      <c r="E99" s="35"/>
      <c r="F99" s="37"/>
      <c r="G99" s="35" t="s">
        <v>142</v>
      </c>
      <c r="H99" s="37" t="s">
        <v>177</v>
      </c>
      <c r="I99" s="35"/>
      <c r="J99" s="37" t="s">
        <v>54</v>
      </c>
      <c r="K99" s="35" t="s">
        <v>178</v>
      </c>
      <c r="L99" s="37" t="s">
        <v>145</v>
      </c>
      <c r="M99" s="37" t="s">
        <v>4</v>
      </c>
      <c r="N99" s="35" t="s">
        <v>169</v>
      </c>
      <c r="O99" s="35" t="s">
        <v>169</v>
      </c>
      <c r="P99" s="37">
        <v>4</v>
      </c>
      <c r="Q99" s="37" t="e">
        <f>VLOOKUP(D99,#REF!,9,FALSE)</f>
        <v>#REF!</v>
      </c>
      <c r="R99" s="37" t="s">
        <v>149</v>
      </c>
      <c r="S99" s="35" t="s">
        <v>184</v>
      </c>
      <c r="T99" s="37">
        <v>340</v>
      </c>
      <c r="U99" s="37">
        <v>340</v>
      </c>
      <c r="V99" s="37">
        <v>250</v>
      </c>
      <c r="W99" s="38">
        <f t="shared" si="17"/>
        <v>28900000</v>
      </c>
      <c r="X99" s="38"/>
      <c r="Y99" s="36">
        <v>1.34</v>
      </c>
      <c r="Z99" s="36">
        <v>2.3199999999999998</v>
      </c>
      <c r="AA99" s="39">
        <v>7.68</v>
      </c>
      <c r="AB99" s="37">
        <v>1000</v>
      </c>
      <c r="AC99" s="35">
        <v>1000</v>
      </c>
      <c r="AD99" s="36">
        <v>130</v>
      </c>
      <c r="AE99" s="35">
        <f t="shared" si="22"/>
        <v>130000000</v>
      </c>
      <c r="AF99" s="37">
        <v>13</v>
      </c>
      <c r="AG99" s="37">
        <v>9</v>
      </c>
      <c r="AH99" s="37">
        <v>3</v>
      </c>
      <c r="AI99" s="37" t="s">
        <v>180</v>
      </c>
      <c r="AJ99" s="40">
        <f t="shared" si="18"/>
        <v>1000</v>
      </c>
      <c r="AK99" s="40">
        <f t="shared" si="18"/>
        <v>1000</v>
      </c>
      <c r="AL99" s="40">
        <f t="shared" si="19"/>
        <v>880</v>
      </c>
      <c r="AM99" s="26">
        <f t="shared" si="16"/>
        <v>880000000</v>
      </c>
      <c r="AN99" s="37" t="s">
        <v>152</v>
      </c>
      <c r="AO99" s="37" t="s">
        <v>153</v>
      </c>
      <c r="AP99" s="35"/>
      <c r="AQ99" s="35"/>
      <c r="AR99" s="37"/>
      <c r="AS99" s="35"/>
      <c r="AT99" s="37">
        <v>702</v>
      </c>
      <c r="AU99" s="41">
        <f t="shared" si="14"/>
        <v>20287800000</v>
      </c>
      <c r="AV99" s="42">
        <f t="shared" si="15"/>
        <v>5391.36</v>
      </c>
      <c r="AW99" s="36" t="s">
        <v>198</v>
      </c>
    </row>
    <row r="100" spans="1:49" x14ac:dyDescent="0.2">
      <c r="A100" s="35" t="s">
        <v>140</v>
      </c>
      <c r="B100" s="35" t="s">
        <v>141</v>
      </c>
      <c r="C100" s="67" t="s">
        <v>413</v>
      </c>
      <c r="D100" s="37"/>
      <c r="E100" s="35"/>
      <c r="F100" s="37"/>
      <c r="G100" s="35" t="s">
        <v>142</v>
      </c>
      <c r="H100" s="37" t="s">
        <v>177</v>
      </c>
      <c r="I100" s="35"/>
      <c r="J100" s="37" t="s">
        <v>54</v>
      </c>
      <c r="K100" s="35" t="s">
        <v>178</v>
      </c>
      <c r="L100" s="37" t="s">
        <v>145</v>
      </c>
      <c r="M100" s="37" t="s">
        <v>65</v>
      </c>
      <c r="N100" s="35" t="s">
        <v>156</v>
      </c>
      <c r="O100" s="35" t="s">
        <v>157</v>
      </c>
      <c r="P100" s="37">
        <v>4</v>
      </c>
      <c r="Q100" s="37" t="e">
        <f>VLOOKUP(D100,#REF!,9,FALSE)</f>
        <v>#REF!</v>
      </c>
      <c r="R100" s="37" t="s">
        <v>149</v>
      </c>
      <c r="S100" s="35" t="s">
        <v>184</v>
      </c>
      <c r="T100" s="37">
        <v>340</v>
      </c>
      <c r="U100" s="37">
        <v>340</v>
      </c>
      <c r="V100" s="37">
        <v>250</v>
      </c>
      <c r="W100" s="38">
        <f t="shared" ref="W100:W101" si="23">T100/1000*U100/1000*V100/1000</f>
        <v>2.8900000000000002E-2</v>
      </c>
      <c r="X100" s="38"/>
      <c r="Y100" s="36">
        <v>2</v>
      </c>
      <c r="Z100" s="36">
        <v>2</v>
      </c>
      <c r="AA100" s="39">
        <v>10</v>
      </c>
      <c r="AB100" s="37">
        <v>1000</v>
      </c>
      <c r="AC100" s="35">
        <v>1000</v>
      </c>
      <c r="AD100" s="36">
        <v>130</v>
      </c>
      <c r="AE100" s="35">
        <f t="shared" si="22"/>
        <v>130000000</v>
      </c>
      <c r="AF100" s="37">
        <v>13</v>
      </c>
      <c r="AG100" s="37">
        <v>9</v>
      </c>
      <c r="AH100" s="37">
        <v>3</v>
      </c>
      <c r="AI100" s="37" t="s">
        <v>180</v>
      </c>
      <c r="AJ100" s="40">
        <f t="shared" si="18"/>
        <v>1000</v>
      </c>
      <c r="AK100" s="40">
        <f t="shared" si="18"/>
        <v>1000</v>
      </c>
      <c r="AL100" s="40">
        <f t="shared" si="19"/>
        <v>880</v>
      </c>
      <c r="AM100" s="26">
        <f t="shared" si="16"/>
        <v>880000000</v>
      </c>
      <c r="AN100" s="37" t="s">
        <v>152</v>
      </c>
      <c r="AO100" s="37" t="s">
        <v>153</v>
      </c>
      <c r="AP100" s="35"/>
      <c r="AQ100" s="35"/>
      <c r="AR100" s="37"/>
      <c r="AS100" s="35"/>
      <c r="AT100" s="37">
        <v>945</v>
      </c>
      <c r="AU100" s="41">
        <f t="shared" si="14"/>
        <v>27.310500000000001</v>
      </c>
      <c r="AV100" s="42">
        <f t="shared" si="15"/>
        <v>9450</v>
      </c>
      <c r="AW100" s="36" t="s">
        <v>158</v>
      </c>
    </row>
    <row r="101" spans="1:49" x14ac:dyDescent="0.2">
      <c r="A101" s="35" t="s">
        <v>140</v>
      </c>
      <c r="B101" s="35" t="s">
        <v>141</v>
      </c>
      <c r="C101" s="67" t="s">
        <v>414</v>
      </c>
      <c r="D101" s="37"/>
      <c r="E101" s="35"/>
      <c r="F101" s="37"/>
      <c r="G101" s="35" t="s">
        <v>142</v>
      </c>
      <c r="H101" s="37" t="s">
        <v>177</v>
      </c>
      <c r="I101" s="35"/>
      <c r="J101" s="37" t="s">
        <v>54</v>
      </c>
      <c r="K101" s="35" t="s">
        <v>178</v>
      </c>
      <c r="L101" s="37" t="s">
        <v>145</v>
      </c>
      <c r="M101" s="37" t="s">
        <v>65</v>
      </c>
      <c r="N101" s="35" t="s">
        <v>156</v>
      </c>
      <c r="O101" s="35" t="s">
        <v>157</v>
      </c>
      <c r="P101" s="37">
        <v>4</v>
      </c>
      <c r="Q101" s="37" t="e">
        <f>VLOOKUP(D101,#REF!,9,FALSE)</f>
        <v>#REF!</v>
      </c>
      <c r="R101" s="37" t="s">
        <v>149</v>
      </c>
      <c r="S101" s="35" t="s">
        <v>184</v>
      </c>
      <c r="T101" s="37">
        <v>340</v>
      </c>
      <c r="U101" s="37">
        <v>340</v>
      </c>
      <c r="V101" s="37">
        <v>250</v>
      </c>
      <c r="W101" s="38">
        <f t="shared" si="23"/>
        <v>2.8900000000000002E-2</v>
      </c>
      <c r="X101" s="38"/>
      <c r="Y101" s="36">
        <v>2</v>
      </c>
      <c r="Z101" s="36">
        <v>2</v>
      </c>
      <c r="AA101" s="39">
        <v>10</v>
      </c>
      <c r="AB101" s="37">
        <v>1000</v>
      </c>
      <c r="AC101" s="35">
        <v>1000</v>
      </c>
      <c r="AD101" s="36">
        <v>130</v>
      </c>
      <c r="AE101" s="35">
        <f t="shared" si="22"/>
        <v>130000000</v>
      </c>
      <c r="AF101" s="37">
        <v>13</v>
      </c>
      <c r="AG101" s="37">
        <v>9</v>
      </c>
      <c r="AH101" s="37">
        <v>3</v>
      </c>
      <c r="AI101" s="37" t="s">
        <v>180</v>
      </c>
      <c r="AJ101" s="40">
        <f t="shared" si="18"/>
        <v>1000</v>
      </c>
      <c r="AK101" s="40">
        <f t="shared" si="18"/>
        <v>1000</v>
      </c>
      <c r="AL101" s="40">
        <f t="shared" si="19"/>
        <v>880</v>
      </c>
      <c r="AM101" s="26">
        <f t="shared" si="16"/>
        <v>880000000</v>
      </c>
      <c r="AN101" s="37" t="s">
        <v>152</v>
      </c>
      <c r="AO101" s="37" t="s">
        <v>153</v>
      </c>
      <c r="AP101" s="35"/>
      <c r="AQ101" s="35"/>
      <c r="AR101" s="37"/>
      <c r="AS101" s="35"/>
      <c r="AT101" s="37">
        <v>108</v>
      </c>
      <c r="AU101" s="41">
        <f t="shared" si="14"/>
        <v>3.1212000000000004</v>
      </c>
      <c r="AV101" s="42">
        <f t="shared" si="15"/>
        <v>1080</v>
      </c>
      <c r="AW101" s="36" t="s">
        <v>158</v>
      </c>
    </row>
    <row r="102" spans="1:49" hidden="1" x14ac:dyDescent="0.2">
      <c r="A102" s="35" t="s">
        <v>140</v>
      </c>
      <c r="B102" s="35" t="s">
        <v>141</v>
      </c>
      <c r="C102" s="67" t="s">
        <v>415</v>
      </c>
      <c r="D102" s="37"/>
      <c r="E102" s="35"/>
      <c r="F102" s="37"/>
      <c r="G102" s="35" t="s">
        <v>142</v>
      </c>
      <c r="H102" s="37" t="s">
        <v>143</v>
      </c>
      <c r="I102" s="35"/>
      <c r="J102" s="37" t="s">
        <v>54</v>
      </c>
      <c r="K102" s="35" t="s">
        <v>144</v>
      </c>
      <c r="L102" s="37" t="s">
        <v>145</v>
      </c>
      <c r="M102" s="37" t="s">
        <v>165</v>
      </c>
      <c r="N102" s="35" t="s">
        <v>166</v>
      </c>
      <c r="O102" s="35" t="s">
        <v>167</v>
      </c>
      <c r="P102" s="37">
        <v>3</v>
      </c>
      <c r="Q102" s="37" t="e">
        <f>VLOOKUP(D102,#REF!,9,FALSE)</f>
        <v>#REF!</v>
      </c>
      <c r="R102" s="37" t="s">
        <v>149</v>
      </c>
      <c r="S102" s="35" t="s">
        <v>192</v>
      </c>
      <c r="T102" s="37">
        <v>510</v>
      </c>
      <c r="U102" s="37">
        <v>340</v>
      </c>
      <c r="V102" s="37">
        <v>200</v>
      </c>
      <c r="W102" s="38">
        <f t="shared" si="17"/>
        <v>34680000</v>
      </c>
      <c r="X102" s="38"/>
      <c r="Y102" s="36">
        <v>2</v>
      </c>
      <c r="Z102" s="36">
        <v>2</v>
      </c>
      <c r="AA102" s="39">
        <v>8</v>
      </c>
      <c r="AB102" s="37">
        <v>1000</v>
      </c>
      <c r="AC102" s="35">
        <v>1000</v>
      </c>
      <c r="AD102" s="36">
        <v>130</v>
      </c>
      <c r="AE102" s="35">
        <f t="shared" si="22"/>
        <v>130000000</v>
      </c>
      <c r="AF102" s="37">
        <v>13</v>
      </c>
      <c r="AG102" s="37">
        <v>6</v>
      </c>
      <c r="AH102" s="37">
        <v>5</v>
      </c>
      <c r="AI102" s="37" t="s">
        <v>151</v>
      </c>
      <c r="AJ102" s="40">
        <f t="shared" si="18"/>
        <v>1000</v>
      </c>
      <c r="AK102" s="40">
        <f t="shared" si="18"/>
        <v>1000</v>
      </c>
      <c r="AL102" s="40">
        <f t="shared" si="19"/>
        <v>1130</v>
      </c>
      <c r="AM102" s="26">
        <f t="shared" si="16"/>
        <v>1130000000</v>
      </c>
      <c r="AN102" s="37" t="s">
        <v>152</v>
      </c>
      <c r="AO102" s="37" t="s">
        <v>153</v>
      </c>
      <c r="AP102" s="35"/>
      <c r="AQ102" s="35"/>
      <c r="AR102" s="37"/>
      <c r="AS102" s="35"/>
      <c r="AT102" s="37">
        <v>28</v>
      </c>
      <c r="AU102" s="41">
        <f t="shared" si="14"/>
        <v>971040000</v>
      </c>
      <c r="AV102" s="42">
        <f t="shared" si="15"/>
        <v>224</v>
      </c>
      <c r="AW102" s="36" t="s">
        <v>168</v>
      </c>
    </row>
    <row r="103" spans="1:49" hidden="1" x14ac:dyDescent="0.2">
      <c r="A103" s="35" t="s">
        <v>140</v>
      </c>
      <c r="B103" s="35" t="s">
        <v>141</v>
      </c>
      <c r="C103" s="67" t="s">
        <v>416</v>
      </c>
      <c r="D103" s="37"/>
      <c r="E103" s="35"/>
      <c r="F103" s="37"/>
      <c r="G103" s="35" t="s">
        <v>142</v>
      </c>
      <c r="H103" s="37" t="s">
        <v>143</v>
      </c>
      <c r="I103" s="35"/>
      <c r="J103" s="37" t="s">
        <v>54</v>
      </c>
      <c r="K103" s="35" t="s">
        <v>144</v>
      </c>
      <c r="L103" s="37" t="s">
        <v>145</v>
      </c>
      <c r="M103" s="37" t="s">
        <v>165</v>
      </c>
      <c r="N103" s="35" t="s">
        <v>166</v>
      </c>
      <c r="O103" s="35" t="s">
        <v>167</v>
      </c>
      <c r="P103" s="37">
        <v>3</v>
      </c>
      <c r="Q103" s="37" t="e">
        <f>VLOOKUP(D103,#REF!,9,FALSE)</f>
        <v>#REF!</v>
      </c>
      <c r="R103" s="37" t="s">
        <v>149</v>
      </c>
      <c r="S103" s="35" t="s">
        <v>192</v>
      </c>
      <c r="T103" s="37">
        <v>510</v>
      </c>
      <c r="U103" s="37">
        <v>340</v>
      </c>
      <c r="V103" s="37">
        <v>200</v>
      </c>
      <c r="W103" s="38">
        <f t="shared" si="17"/>
        <v>34680000</v>
      </c>
      <c r="X103" s="38"/>
      <c r="Y103" s="36">
        <v>2</v>
      </c>
      <c r="Z103" s="36">
        <v>2</v>
      </c>
      <c r="AA103" s="39">
        <v>8</v>
      </c>
      <c r="AB103" s="37">
        <v>1000</v>
      </c>
      <c r="AC103" s="35">
        <v>1000</v>
      </c>
      <c r="AD103" s="36">
        <v>130</v>
      </c>
      <c r="AE103" s="35">
        <f t="shared" si="22"/>
        <v>130000000</v>
      </c>
      <c r="AF103" s="37">
        <v>13</v>
      </c>
      <c r="AG103" s="37">
        <v>6</v>
      </c>
      <c r="AH103" s="37">
        <v>5</v>
      </c>
      <c r="AI103" s="37" t="s">
        <v>151</v>
      </c>
      <c r="AJ103" s="40">
        <f t="shared" si="18"/>
        <v>1000</v>
      </c>
      <c r="AK103" s="40">
        <f t="shared" si="18"/>
        <v>1000</v>
      </c>
      <c r="AL103" s="40">
        <f t="shared" si="19"/>
        <v>1130</v>
      </c>
      <c r="AM103" s="26">
        <f t="shared" si="16"/>
        <v>1130000000</v>
      </c>
      <c r="AN103" s="37" t="s">
        <v>152</v>
      </c>
      <c r="AO103" s="37" t="s">
        <v>153</v>
      </c>
      <c r="AP103" s="35"/>
      <c r="AQ103" s="35"/>
      <c r="AR103" s="37"/>
      <c r="AS103" s="35"/>
      <c r="AT103" s="37">
        <v>3</v>
      </c>
      <c r="AU103" s="41">
        <f t="shared" si="14"/>
        <v>104040000</v>
      </c>
      <c r="AV103" s="42">
        <f t="shared" si="15"/>
        <v>24</v>
      </c>
      <c r="AW103" s="36" t="s">
        <v>168</v>
      </c>
    </row>
    <row r="104" spans="1:49" hidden="1" x14ac:dyDescent="0.2">
      <c r="A104" s="35" t="s">
        <v>140</v>
      </c>
      <c r="B104" s="35" t="s">
        <v>141</v>
      </c>
      <c r="C104" s="67" t="s">
        <v>417</v>
      </c>
      <c r="D104" s="37"/>
      <c r="E104" s="35"/>
      <c r="F104" s="37"/>
      <c r="G104" s="35" t="s">
        <v>142</v>
      </c>
      <c r="H104" s="37" t="s">
        <v>143</v>
      </c>
      <c r="I104" s="35"/>
      <c r="J104" s="37" t="s">
        <v>54</v>
      </c>
      <c r="K104" s="35" t="s">
        <v>144</v>
      </c>
      <c r="L104" s="37" t="s">
        <v>145</v>
      </c>
      <c r="M104" s="37" t="s">
        <v>165</v>
      </c>
      <c r="N104" s="35" t="s">
        <v>166</v>
      </c>
      <c r="O104" s="35" t="s">
        <v>167</v>
      </c>
      <c r="P104" s="37">
        <v>6</v>
      </c>
      <c r="Q104" s="37" t="e">
        <f>VLOOKUP(D104,#REF!,9,FALSE)</f>
        <v>#REF!</v>
      </c>
      <c r="R104" s="37" t="s">
        <v>149</v>
      </c>
      <c r="S104" s="35" t="s">
        <v>192</v>
      </c>
      <c r="T104" s="37">
        <v>510</v>
      </c>
      <c r="U104" s="37">
        <v>340</v>
      </c>
      <c r="V104" s="37">
        <v>200</v>
      </c>
      <c r="W104" s="38">
        <f t="shared" si="17"/>
        <v>34680000</v>
      </c>
      <c r="X104" s="38"/>
      <c r="Y104" s="36">
        <v>1.5</v>
      </c>
      <c r="Z104" s="36">
        <v>2</v>
      </c>
      <c r="AA104" s="39">
        <v>11</v>
      </c>
      <c r="AB104" s="37">
        <v>1000</v>
      </c>
      <c r="AC104" s="35">
        <v>1000</v>
      </c>
      <c r="AD104" s="36">
        <v>130</v>
      </c>
      <c r="AE104" s="35">
        <f t="shared" si="22"/>
        <v>130000000</v>
      </c>
      <c r="AF104" s="37">
        <v>13</v>
      </c>
      <c r="AG104" s="37">
        <v>6</v>
      </c>
      <c r="AH104" s="37">
        <v>4</v>
      </c>
      <c r="AI104" s="37" t="s">
        <v>180</v>
      </c>
      <c r="AJ104" s="40">
        <f t="shared" si="18"/>
        <v>1000</v>
      </c>
      <c r="AK104" s="40">
        <f t="shared" si="18"/>
        <v>1000</v>
      </c>
      <c r="AL104" s="40">
        <f t="shared" si="19"/>
        <v>930</v>
      </c>
      <c r="AM104" s="26">
        <f t="shared" si="16"/>
        <v>930000000</v>
      </c>
      <c r="AN104" s="37" t="s">
        <v>152</v>
      </c>
      <c r="AO104" s="37" t="s">
        <v>153</v>
      </c>
      <c r="AP104" s="35"/>
      <c r="AQ104" s="35"/>
      <c r="AR104" s="37"/>
      <c r="AS104" s="35"/>
      <c r="AT104" s="37">
        <v>376</v>
      </c>
      <c r="AU104" s="41">
        <f t="shared" si="14"/>
        <v>13039680000</v>
      </c>
      <c r="AV104" s="42">
        <f t="shared" si="15"/>
        <v>4136</v>
      </c>
      <c r="AW104" s="36" t="s">
        <v>168</v>
      </c>
    </row>
    <row r="105" spans="1:49" hidden="1" x14ac:dyDescent="0.2">
      <c r="A105" s="35" t="s">
        <v>140</v>
      </c>
      <c r="B105" s="35" t="s">
        <v>141</v>
      </c>
      <c r="C105" s="67" t="s">
        <v>418</v>
      </c>
      <c r="D105" s="37"/>
      <c r="E105" s="35"/>
      <c r="F105" s="37"/>
      <c r="G105" s="35" t="s">
        <v>142</v>
      </c>
      <c r="H105" s="37" t="s">
        <v>143</v>
      </c>
      <c r="I105" s="35"/>
      <c r="J105" s="37" t="s">
        <v>54</v>
      </c>
      <c r="K105" s="35" t="s">
        <v>144</v>
      </c>
      <c r="L105" s="37" t="s">
        <v>145</v>
      </c>
      <c r="M105" s="37" t="s">
        <v>165</v>
      </c>
      <c r="N105" s="35" t="s">
        <v>166</v>
      </c>
      <c r="O105" s="35" t="s">
        <v>167</v>
      </c>
      <c r="P105" s="37">
        <v>3</v>
      </c>
      <c r="Q105" s="37" t="e">
        <f>VLOOKUP(D105,#REF!,9,FALSE)</f>
        <v>#REF!</v>
      </c>
      <c r="R105" s="37" t="s">
        <v>149</v>
      </c>
      <c r="S105" s="35" t="s">
        <v>192</v>
      </c>
      <c r="T105" s="37">
        <v>510</v>
      </c>
      <c r="U105" s="37">
        <v>340</v>
      </c>
      <c r="V105" s="37">
        <v>200</v>
      </c>
      <c r="W105" s="38">
        <f t="shared" si="17"/>
        <v>34680000</v>
      </c>
      <c r="X105" s="38"/>
      <c r="Y105" s="36">
        <v>2</v>
      </c>
      <c r="Z105" s="36">
        <v>2</v>
      </c>
      <c r="AA105" s="39">
        <v>8</v>
      </c>
      <c r="AB105" s="37">
        <v>1000</v>
      </c>
      <c r="AC105" s="35">
        <v>1000</v>
      </c>
      <c r="AD105" s="36">
        <v>130</v>
      </c>
      <c r="AE105" s="35">
        <f t="shared" si="22"/>
        <v>130000000</v>
      </c>
      <c r="AF105" s="37">
        <v>13</v>
      </c>
      <c r="AG105" s="37">
        <v>6</v>
      </c>
      <c r="AH105" s="37">
        <v>5</v>
      </c>
      <c r="AI105" s="37" t="s">
        <v>151</v>
      </c>
      <c r="AJ105" s="40">
        <f t="shared" si="18"/>
        <v>1000</v>
      </c>
      <c r="AK105" s="40">
        <f t="shared" si="18"/>
        <v>1000</v>
      </c>
      <c r="AL105" s="40">
        <f t="shared" si="19"/>
        <v>1130</v>
      </c>
      <c r="AM105" s="26">
        <f t="shared" si="16"/>
        <v>1130000000</v>
      </c>
      <c r="AN105" s="37" t="s">
        <v>152</v>
      </c>
      <c r="AO105" s="37" t="s">
        <v>153</v>
      </c>
      <c r="AP105" s="35"/>
      <c r="AQ105" s="35"/>
      <c r="AR105" s="37"/>
      <c r="AS105" s="35"/>
      <c r="AT105" s="37">
        <v>114</v>
      </c>
      <c r="AU105" s="41">
        <f t="shared" si="14"/>
        <v>3953520000</v>
      </c>
      <c r="AV105" s="42">
        <f t="shared" si="15"/>
        <v>912</v>
      </c>
      <c r="AW105" s="36" t="s">
        <v>168</v>
      </c>
    </row>
    <row r="106" spans="1:49" hidden="1" x14ac:dyDescent="0.2">
      <c r="A106" s="35" t="s">
        <v>140</v>
      </c>
      <c r="B106" s="35" t="s">
        <v>141</v>
      </c>
      <c r="C106" s="67" t="s">
        <v>419</v>
      </c>
      <c r="D106" s="37"/>
      <c r="E106" s="35"/>
      <c r="F106" s="37"/>
      <c r="G106" s="35" t="s">
        <v>142</v>
      </c>
      <c r="H106" s="37" t="s">
        <v>143</v>
      </c>
      <c r="I106" s="35"/>
      <c r="J106" s="37" t="s">
        <v>54</v>
      </c>
      <c r="K106" s="35" t="s">
        <v>144</v>
      </c>
      <c r="L106" s="37" t="s">
        <v>145</v>
      </c>
      <c r="M106" s="37" t="s">
        <v>165</v>
      </c>
      <c r="N106" s="35" t="s">
        <v>166</v>
      </c>
      <c r="O106" s="35" t="s">
        <v>167</v>
      </c>
      <c r="P106" s="37">
        <v>3</v>
      </c>
      <c r="Q106" s="37" t="e">
        <f>VLOOKUP(D106,#REF!,9,FALSE)</f>
        <v>#REF!</v>
      </c>
      <c r="R106" s="37" t="s">
        <v>149</v>
      </c>
      <c r="S106" s="35" t="s">
        <v>192</v>
      </c>
      <c r="T106" s="37">
        <v>510</v>
      </c>
      <c r="U106" s="37">
        <v>340</v>
      </c>
      <c r="V106" s="37">
        <v>200</v>
      </c>
      <c r="W106" s="38">
        <f t="shared" si="17"/>
        <v>34680000</v>
      </c>
      <c r="X106" s="38"/>
      <c r="Y106" s="36">
        <v>2</v>
      </c>
      <c r="Z106" s="36">
        <v>2</v>
      </c>
      <c r="AA106" s="39">
        <v>8</v>
      </c>
      <c r="AB106" s="37">
        <v>1000</v>
      </c>
      <c r="AC106" s="35">
        <v>1000</v>
      </c>
      <c r="AD106" s="36">
        <v>130</v>
      </c>
      <c r="AE106" s="35">
        <f t="shared" si="22"/>
        <v>130000000</v>
      </c>
      <c r="AF106" s="37">
        <v>13</v>
      </c>
      <c r="AG106" s="37">
        <v>6</v>
      </c>
      <c r="AH106" s="37">
        <v>5</v>
      </c>
      <c r="AI106" s="37" t="s">
        <v>151</v>
      </c>
      <c r="AJ106" s="40">
        <f t="shared" si="18"/>
        <v>1000</v>
      </c>
      <c r="AK106" s="40">
        <f t="shared" si="18"/>
        <v>1000</v>
      </c>
      <c r="AL106" s="40">
        <f t="shared" si="19"/>
        <v>1130</v>
      </c>
      <c r="AM106" s="26">
        <f t="shared" si="16"/>
        <v>1130000000</v>
      </c>
      <c r="AN106" s="37" t="s">
        <v>152</v>
      </c>
      <c r="AO106" s="37" t="s">
        <v>153</v>
      </c>
      <c r="AP106" s="35"/>
      <c r="AQ106" s="35"/>
      <c r="AR106" s="37"/>
      <c r="AS106" s="35"/>
      <c r="AT106" s="37">
        <v>39</v>
      </c>
      <c r="AU106" s="41">
        <f t="shared" si="14"/>
        <v>1352520000</v>
      </c>
      <c r="AV106" s="42">
        <f t="shared" si="15"/>
        <v>312</v>
      </c>
      <c r="AW106" s="36" t="s">
        <v>168</v>
      </c>
    </row>
    <row r="107" spans="1:49" hidden="1" x14ac:dyDescent="0.2">
      <c r="A107" s="35" t="s">
        <v>140</v>
      </c>
      <c r="B107" s="35" t="s">
        <v>141</v>
      </c>
      <c r="C107" s="67" t="s">
        <v>420</v>
      </c>
      <c r="D107" s="37"/>
      <c r="E107" s="35"/>
      <c r="F107" s="37"/>
      <c r="G107" s="35" t="s">
        <v>142</v>
      </c>
      <c r="H107" s="37" t="s">
        <v>143</v>
      </c>
      <c r="I107" s="35"/>
      <c r="J107" s="37" t="s">
        <v>54</v>
      </c>
      <c r="K107" s="35" t="s">
        <v>144</v>
      </c>
      <c r="L107" s="37" t="s">
        <v>145</v>
      </c>
      <c r="M107" s="37" t="s">
        <v>165</v>
      </c>
      <c r="N107" s="35" t="s">
        <v>166</v>
      </c>
      <c r="O107" s="35" t="s">
        <v>167</v>
      </c>
      <c r="P107" s="37">
        <v>4</v>
      </c>
      <c r="Q107" s="37" t="e">
        <f>VLOOKUP(D107,#REF!,9,FALSE)</f>
        <v>#REF!</v>
      </c>
      <c r="R107" s="37" t="s">
        <v>149</v>
      </c>
      <c r="S107" s="35" t="s">
        <v>192</v>
      </c>
      <c r="T107" s="37">
        <v>510</v>
      </c>
      <c r="U107" s="37">
        <v>340</v>
      </c>
      <c r="V107" s="37">
        <v>200</v>
      </c>
      <c r="W107" s="38">
        <f t="shared" si="17"/>
        <v>34680000</v>
      </c>
      <c r="X107" s="38"/>
      <c r="Y107" s="36">
        <v>2</v>
      </c>
      <c r="Z107" s="36">
        <v>2</v>
      </c>
      <c r="AA107" s="39">
        <v>10</v>
      </c>
      <c r="AB107" s="37">
        <v>1000</v>
      </c>
      <c r="AC107" s="35">
        <v>1000</v>
      </c>
      <c r="AD107" s="36">
        <v>130</v>
      </c>
      <c r="AE107" s="35">
        <f t="shared" si="22"/>
        <v>130000000</v>
      </c>
      <c r="AF107" s="37">
        <v>13</v>
      </c>
      <c r="AG107" s="37">
        <v>6</v>
      </c>
      <c r="AH107" s="37">
        <v>5</v>
      </c>
      <c r="AI107" s="37" t="s">
        <v>151</v>
      </c>
      <c r="AJ107" s="40">
        <f t="shared" si="18"/>
        <v>1000</v>
      </c>
      <c r="AK107" s="40">
        <f t="shared" si="18"/>
        <v>1000</v>
      </c>
      <c r="AL107" s="40">
        <f t="shared" si="19"/>
        <v>1130</v>
      </c>
      <c r="AM107" s="26">
        <f t="shared" si="16"/>
        <v>1130000000</v>
      </c>
      <c r="AN107" s="37" t="s">
        <v>152</v>
      </c>
      <c r="AO107" s="37" t="s">
        <v>153</v>
      </c>
      <c r="AP107" s="35"/>
      <c r="AQ107" s="35"/>
      <c r="AR107" s="37"/>
      <c r="AS107" s="35"/>
      <c r="AT107" s="37">
        <v>5</v>
      </c>
      <c r="AU107" s="41">
        <f t="shared" si="14"/>
        <v>173400000</v>
      </c>
      <c r="AV107" s="42">
        <f t="shared" si="15"/>
        <v>50</v>
      </c>
      <c r="AW107" s="36" t="s">
        <v>168</v>
      </c>
    </row>
    <row r="108" spans="1:49" hidden="1" x14ac:dyDescent="0.2">
      <c r="A108" s="35" t="s">
        <v>140</v>
      </c>
      <c r="B108" s="35" t="s">
        <v>141</v>
      </c>
      <c r="C108" s="67" t="s">
        <v>421</v>
      </c>
      <c r="D108" s="37"/>
      <c r="E108" s="35"/>
      <c r="F108" s="37"/>
      <c r="G108" s="35" t="s">
        <v>142</v>
      </c>
      <c r="H108" s="37" t="s">
        <v>143</v>
      </c>
      <c r="I108" s="35"/>
      <c r="J108" s="37" t="s">
        <v>54</v>
      </c>
      <c r="K108" s="35" t="s">
        <v>144</v>
      </c>
      <c r="L108" s="37" t="s">
        <v>145</v>
      </c>
      <c r="M108" s="37" t="s">
        <v>165</v>
      </c>
      <c r="N108" s="35" t="s">
        <v>166</v>
      </c>
      <c r="O108" s="35" t="s">
        <v>167</v>
      </c>
      <c r="P108" s="37">
        <v>3</v>
      </c>
      <c r="Q108" s="37" t="e">
        <f>VLOOKUP(D108,#REF!,9,FALSE)</f>
        <v>#REF!</v>
      </c>
      <c r="R108" s="37" t="s">
        <v>149</v>
      </c>
      <c r="S108" s="35" t="s">
        <v>192</v>
      </c>
      <c r="T108" s="37">
        <v>510</v>
      </c>
      <c r="U108" s="37">
        <v>340</v>
      </c>
      <c r="V108" s="37">
        <v>200</v>
      </c>
      <c r="W108" s="38">
        <f t="shared" si="17"/>
        <v>34680000</v>
      </c>
      <c r="X108" s="38"/>
      <c r="Y108" s="36">
        <v>2</v>
      </c>
      <c r="Z108" s="36">
        <v>2</v>
      </c>
      <c r="AA108" s="39">
        <v>8</v>
      </c>
      <c r="AB108" s="37">
        <v>1000</v>
      </c>
      <c r="AC108" s="35">
        <v>1000</v>
      </c>
      <c r="AD108" s="36">
        <v>130</v>
      </c>
      <c r="AE108" s="35">
        <f t="shared" si="22"/>
        <v>130000000</v>
      </c>
      <c r="AF108" s="37">
        <v>13</v>
      </c>
      <c r="AG108" s="37">
        <v>6</v>
      </c>
      <c r="AH108" s="37">
        <v>4</v>
      </c>
      <c r="AI108" s="37" t="s">
        <v>180</v>
      </c>
      <c r="AJ108" s="40">
        <f t="shared" si="18"/>
        <v>1000</v>
      </c>
      <c r="AK108" s="40">
        <f t="shared" si="18"/>
        <v>1000</v>
      </c>
      <c r="AL108" s="40">
        <f t="shared" si="19"/>
        <v>930</v>
      </c>
      <c r="AM108" s="26">
        <f t="shared" si="16"/>
        <v>930000000</v>
      </c>
      <c r="AN108" s="37" t="s">
        <v>152</v>
      </c>
      <c r="AO108" s="37" t="s">
        <v>153</v>
      </c>
      <c r="AP108" s="35"/>
      <c r="AQ108" s="35"/>
      <c r="AR108" s="37"/>
      <c r="AS108" s="35"/>
      <c r="AT108" s="37">
        <v>552</v>
      </c>
      <c r="AU108" s="41">
        <f t="shared" si="14"/>
        <v>19143360000</v>
      </c>
      <c r="AV108" s="42">
        <f t="shared" si="15"/>
        <v>4416</v>
      </c>
      <c r="AW108" s="36" t="s">
        <v>168</v>
      </c>
    </row>
    <row r="109" spans="1:49" hidden="1" x14ac:dyDescent="0.2">
      <c r="A109" s="35" t="s">
        <v>140</v>
      </c>
      <c r="B109" s="35" t="s">
        <v>141</v>
      </c>
      <c r="C109" s="67" t="s">
        <v>422</v>
      </c>
      <c r="D109" s="37"/>
      <c r="E109" s="35"/>
      <c r="F109" s="37"/>
      <c r="G109" s="35" t="s">
        <v>142</v>
      </c>
      <c r="H109" s="37" t="s">
        <v>143</v>
      </c>
      <c r="I109" s="35"/>
      <c r="J109" s="37" t="s">
        <v>54</v>
      </c>
      <c r="K109" s="35" t="s">
        <v>144</v>
      </c>
      <c r="L109" s="37" t="s">
        <v>145</v>
      </c>
      <c r="M109" s="37" t="s">
        <v>165</v>
      </c>
      <c r="N109" s="35" t="s">
        <v>166</v>
      </c>
      <c r="O109" s="35" t="s">
        <v>167</v>
      </c>
      <c r="P109" s="37">
        <v>4</v>
      </c>
      <c r="Q109" s="37" t="e">
        <f>VLOOKUP(D109,#REF!,9,FALSE)</f>
        <v>#REF!</v>
      </c>
      <c r="R109" s="37" t="s">
        <v>149</v>
      </c>
      <c r="S109" s="35" t="s">
        <v>192</v>
      </c>
      <c r="T109" s="37">
        <v>510</v>
      </c>
      <c r="U109" s="37">
        <v>340</v>
      </c>
      <c r="V109" s="37">
        <v>200</v>
      </c>
      <c r="W109" s="38">
        <f t="shared" si="17"/>
        <v>34680000</v>
      </c>
      <c r="X109" s="38"/>
      <c r="Y109" s="36">
        <v>2</v>
      </c>
      <c r="Z109" s="36">
        <v>2</v>
      </c>
      <c r="AA109" s="39">
        <v>10</v>
      </c>
      <c r="AB109" s="37">
        <v>1000</v>
      </c>
      <c r="AC109" s="35">
        <v>1000</v>
      </c>
      <c r="AD109" s="36">
        <v>130</v>
      </c>
      <c r="AE109" s="35">
        <f t="shared" si="22"/>
        <v>130000000</v>
      </c>
      <c r="AF109" s="37">
        <v>13</v>
      </c>
      <c r="AG109" s="37">
        <v>6</v>
      </c>
      <c r="AH109" s="37">
        <v>5</v>
      </c>
      <c r="AI109" s="37" t="s">
        <v>151</v>
      </c>
      <c r="AJ109" s="40">
        <f t="shared" si="18"/>
        <v>1000</v>
      </c>
      <c r="AK109" s="40">
        <f t="shared" si="18"/>
        <v>1000</v>
      </c>
      <c r="AL109" s="40">
        <f t="shared" si="19"/>
        <v>1130</v>
      </c>
      <c r="AM109" s="26">
        <f t="shared" si="16"/>
        <v>1130000000</v>
      </c>
      <c r="AN109" s="37" t="s">
        <v>152</v>
      </c>
      <c r="AO109" s="37" t="s">
        <v>153</v>
      </c>
      <c r="AP109" s="35"/>
      <c r="AQ109" s="35"/>
      <c r="AR109" s="37"/>
      <c r="AS109" s="35"/>
      <c r="AT109" s="37">
        <v>79</v>
      </c>
      <c r="AU109" s="41">
        <f t="shared" si="14"/>
        <v>2739720000</v>
      </c>
      <c r="AV109" s="42">
        <f t="shared" si="15"/>
        <v>790</v>
      </c>
      <c r="AW109" s="36" t="s">
        <v>168</v>
      </c>
    </row>
    <row r="110" spans="1:49" hidden="1" x14ac:dyDescent="0.2">
      <c r="A110" s="35" t="s">
        <v>140</v>
      </c>
      <c r="B110" s="35" t="s">
        <v>141</v>
      </c>
      <c r="C110" s="67" t="s">
        <v>423</v>
      </c>
      <c r="D110" s="37"/>
      <c r="E110" s="35"/>
      <c r="F110" s="37"/>
      <c r="G110" s="35" t="s">
        <v>142</v>
      </c>
      <c r="H110" s="37" t="s">
        <v>143</v>
      </c>
      <c r="I110" s="35"/>
      <c r="J110" s="37" t="s">
        <v>54</v>
      </c>
      <c r="K110" s="35" t="s">
        <v>144</v>
      </c>
      <c r="L110" s="37" t="s">
        <v>145</v>
      </c>
      <c r="M110" s="37" t="s">
        <v>165</v>
      </c>
      <c r="N110" s="35" t="s">
        <v>166</v>
      </c>
      <c r="O110" s="35" t="s">
        <v>167</v>
      </c>
      <c r="P110" s="37">
        <v>4</v>
      </c>
      <c r="Q110" s="37" t="e">
        <f>VLOOKUP(D110,#REF!,9,FALSE)</f>
        <v>#REF!</v>
      </c>
      <c r="R110" s="37" t="s">
        <v>149</v>
      </c>
      <c r="S110" s="35" t="s">
        <v>192</v>
      </c>
      <c r="T110" s="37">
        <v>510</v>
      </c>
      <c r="U110" s="37">
        <v>340</v>
      </c>
      <c r="V110" s="37">
        <v>200</v>
      </c>
      <c r="W110" s="38">
        <f t="shared" si="17"/>
        <v>34680000</v>
      </c>
      <c r="X110" s="38"/>
      <c r="Y110" s="36">
        <v>2</v>
      </c>
      <c r="Z110" s="36">
        <v>2</v>
      </c>
      <c r="AA110" s="39">
        <v>10</v>
      </c>
      <c r="AB110" s="37">
        <v>1000</v>
      </c>
      <c r="AC110" s="35">
        <v>1000</v>
      </c>
      <c r="AD110" s="36">
        <v>130</v>
      </c>
      <c r="AE110" s="35">
        <f t="shared" si="22"/>
        <v>130000000</v>
      </c>
      <c r="AF110" s="37">
        <v>13</v>
      </c>
      <c r="AG110" s="37">
        <v>6</v>
      </c>
      <c r="AH110" s="37">
        <v>5</v>
      </c>
      <c r="AI110" s="37" t="s">
        <v>151</v>
      </c>
      <c r="AJ110" s="40">
        <f t="shared" si="18"/>
        <v>1000</v>
      </c>
      <c r="AK110" s="40">
        <f t="shared" si="18"/>
        <v>1000</v>
      </c>
      <c r="AL110" s="40">
        <f t="shared" si="19"/>
        <v>1130</v>
      </c>
      <c r="AM110" s="26">
        <f t="shared" si="16"/>
        <v>1130000000</v>
      </c>
      <c r="AN110" s="37" t="s">
        <v>152</v>
      </c>
      <c r="AO110" s="37" t="s">
        <v>153</v>
      </c>
      <c r="AP110" s="35"/>
      <c r="AQ110" s="35"/>
      <c r="AR110" s="37"/>
      <c r="AS110" s="35"/>
      <c r="AT110" s="37">
        <v>271</v>
      </c>
      <c r="AU110" s="41">
        <f t="shared" si="14"/>
        <v>9398280000</v>
      </c>
      <c r="AV110" s="42">
        <f t="shared" si="15"/>
        <v>2710</v>
      </c>
      <c r="AW110" s="36" t="s">
        <v>168</v>
      </c>
    </row>
    <row r="111" spans="1:49" hidden="1" x14ac:dyDescent="0.2">
      <c r="A111" s="35" t="s">
        <v>140</v>
      </c>
      <c r="B111" s="35" t="s">
        <v>141</v>
      </c>
      <c r="C111" s="67" t="s">
        <v>424</v>
      </c>
      <c r="D111" s="37"/>
      <c r="E111" s="35"/>
      <c r="F111" s="37"/>
      <c r="G111" s="35" t="s">
        <v>142</v>
      </c>
      <c r="H111" s="37" t="s">
        <v>143</v>
      </c>
      <c r="I111" s="35"/>
      <c r="J111" s="37" t="s">
        <v>54</v>
      </c>
      <c r="K111" s="35" t="s">
        <v>144</v>
      </c>
      <c r="L111" s="37" t="s">
        <v>145</v>
      </c>
      <c r="M111" s="37" t="s">
        <v>165</v>
      </c>
      <c r="N111" s="35" t="s">
        <v>166</v>
      </c>
      <c r="O111" s="35" t="s">
        <v>167</v>
      </c>
      <c r="P111" s="37">
        <v>3</v>
      </c>
      <c r="Q111" s="37" t="e">
        <f>VLOOKUP(D111,#REF!,9,FALSE)</f>
        <v>#REF!</v>
      </c>
      <c r="R111" s="37" t="s">
        <v>149</v>
      </c>
      <c r="S111" s="35" t="s">
        <v>192</v>
      </c>
      <c r="T111" s="37">
        <v>510</v>
      </c>
      <c r="U111" s="37">
        <v>340</v>
      </c>
      <c r="V111" s="37">
        <v>200</v>
      </c>
      <c r="W111" s="38">
        <f t="shared" si="17"/>
        <v>34680000</v>
      </c>
      <c r="X111" s="38"/>
      <c r="Y111" s="36">
        <v>2.3199999999999998</v>
      </c>
      <c r="Z111" s="36">
        <v>2.52</v>
      </c>
      <c r="AA111" s="39">
        <v>9.4799999999999986</v>
      </c>
      <c r="AB111" s="37">
        <v>1000</v>
      </c>
      <c r="AC111" s="35">
        <v>1000</v>
      </c>
      <c r="AD111" s="36">
        <v>130</v>
      </c>
      <c r="AE111" s="35">
        <f t="shared" si="22"/>
        <v>130000000</v>
      </c>
      <c r="AF111" s="37">
        <v>13</v>
      </c>
      <c r="AG111" s="37">
        <v>6</v>
      </c>
      <c r="AH111" s="37">
        <v>5</v>
      </c>
      <c r="AI111" s="37" t="s">
        <v>151</v>
      </c>
      <c r="AJ111" s="40">
        <f t="shared" si="18"/>
        <v>1000</v>
      </c>
      <c r="AK111" s="40">
        <f t="shared" si="18"/>
        <v>1000</v>
      </c>
      <c r="AL111" s="40">
        <f t="shared" si="19"/>
        <v>1130</v>
      </c>
      <c r="AM111" s="26">
        <f t="shared" si="16"/>
        <v>1130000000</v>
      </c>
      <c r="AN111" s="37" t="s">
        <v>152</v>
      </c>
      <c r="AO111" s="37" t="s">
        <v>153</v>
      </c>
      <c r="AP111" s="35"/>
      <c r="AQ111" s="35"/>
      <c r="AR111" s="37"/>
      <c r="AS111" s="35"/>
      <c r="AT111" s="37">
        <v>78</v>
      </c>
      <c r="AU111" s="41">
        <f t="shared" si="14"/>
        <v>2705040000</v>
      </c>
      <c r="AV111" s="42">
        <f t="shared" si="15"/>
        <v>739.43999999999994</v>
      </c>
      <c r="AW111" s="36" t="s">
        <v>168</v>
      </c>
    </row>
    <row r="112" spans="1:49" hidden="1" x14ac:dyDescent="0.2">
      <c r="A112" s="35" t="s">
        <v>140</v>
      </c>
      <c r="B112" s="35" t="s">
        <v>141</v>
      </c>
      <c r="C112" s="67" t="s">
        <v>425</v>
      </c>
      <c r="D112" s="37"/>
      <c r="E112" s="35"/>
      <c r="F112" s="37"/>
      <c r="G112" s="35" t="s">
        <v>142</v>
      </c>
      <c r="H112" s="37" t="s">
        <v>143</v>
      </c>
      <c r="I112" s="35"/>
      <c r="J112" s="37" t="s">
        <v>54</v>
      </c>
      <c r="K112" s="35" t="s">
        <v>144</v>
      </c>
      <c r="L112" s="37" t="s">
        <v>145</v>
      </c>
      <c r="M112" s="37" t="s">
        <v>165</v>
      </c>
      <c r="N112" s="35" t="s">
        <v>166</v>
      </c>
      <c r="O112" s="35" t="s">
        <v>167</v>
      </c>
      <c r="P112" s="37">
        <v>3</v>
      </c>
      <c r="Q112" s="37" t="e">
        <f>VLOOKUP(D112,#REF!,9,FALSE)</f>
        <v>#REF!</v>
      </c>
      <c r="R112" s="37" t="s">
        <v>149</v>
      </c>
      <c r="S112" s="35" t="s">
        <v>192</v>
      </c>
      <c r="T112" s="37">
        <v>510</v>
      </c>
      <c r="U112" s="37">
        <v>340</v>
      </c>
      <c r="V112" s="37">
        <v>200</v>
      </c>
      <c r="W112" s="38">
        <f t="shared" si="17"/>
        <v>34680000</v>
      </c>
      <c r="X112" s="38"/>
      <c r="Y112" s="36">
        <v>2.38</v>
      </c>
      <c r="Z112" s="36">
        <v>2.52</v>
      </c>
      <c r="AA112" s="39">
        <v>9.66</v>
      </c>
      <c r="AB112" s="37">
        <v>1000</v>
      </c>
      <c r="AC112" s="35">
        <v>1000</v>
      </c>
      <c r="AD112" s="36">
        <v>130</v>
      </c>
      <c r="AE112" s="35">
        <f t="shared" si="22"/>
        <v>130000000</v>
      </c>
      <c r="AF112" s="37">
        <v>13</v>
      </c>
      <c r="AG112" s="37">
        <v>6</v>
      </c>
      <c r="AH112" s="37">
        <v>5</v>
      </c>
      <c r="AI112" s="37" t="s">
        <v>151</v>
      </c>
      <c r="AJ112" s="40">
        <f t="shared" si="18"/>
        <v>1000</v>
      </c>
      <c r="AK112" s="40">
        <f t="shared" si="18"/>
        <v>1000</v>
      </c>
      <c r="AL112" s="40">
        <f t="shared" si="19"/>
        <v>1130</v>
      </c>
      <c r="AM112" s="26">
        <f t="shared" si="16"/>
        <v>1130000000</v>
      </c>
      <c r="AN112" s="37" t="s">
        <v>152</v>
      </c>
      <c r="AO112" s="37" t="s">
        <v>153</v>
      </c>
      <c r="AP112" s="35"/>
      <c r="AQ112" s="35"/>
      <c r="AR112" s="37"/>
      <c r="AS112" s="35"/>
      <c r="AT112" s="37">
        <v>98</v>
      </c>
      <c r="AU112" s="41">
        <f t="shared" si="14"/>
        <v>3398640000</v>
      </c>
      <c r="AV112" s="42">
        <f t="shared" si="15"/>
        <v>946.68000000000006</v>
      </c>
      <c r="AW112" s="36" t="s">
        <v>168</v>
      </c>
    </row>
    <row r="113" spans="1:49" hidden="1" x14ac:dyDescent="0.2">
      <c r="A113" s="35" t="s">
        <v>140</v>
      </c>
      <c r="B113" s="35" t="s">
        <v>141</v>
      </c>
      <c r="C113" s="67" t="s">
        <v>426</v>
      </c>
      <c r="D113" s="37"/>
      <c r="E113" s="35"/>
      <c r="F113" s="37"/>
      <c r="G113" s="35" t="s">
        <v>142</v>
      </c>
      <c r="H113" s="37" t="s">
        <v>143</v>
      </c>
      <c r="I113" s="35"/>
      <c r="J113" s="37" t="s">
        <v>54</v>
      </c>
      <c r="K113" s="35" t="s">
        <v>144</v>
      </c>
      <c r="L113" s="37" t="s">
        <v>145</v>
      </c>
      <c r="M113" s="37" t="s">
        <v>165</v>
      </c>
      <c r="N113" s="35" t="s">
        <v>166</v>
      </c>
      <c r="O113" s="35" t="s">
        <v>167</v>
      </c>
      <c r="P113" s="37">
        <v>4</v>
      </c>
      <c r="Q113" s="37" t="e">
        <f>VLOOKUP(D113,#REF!,9,FALSE)</f>
        <v>#REF!</v>
      </c>
      <c r="R113" s="37" t="s">
        <v>149</v>
      </c>
      <c r="S113" s="35" t="s">
        <v>192</v>
      </c>
      <c r="T113" s="37">
        <v>510</v>
      </c>
      <c r="U113" s="37">
        <v>340</v>
      </c>
      <c r="V113" s="37">
        <v>220</v>
      </c>
      <c r="W113" s="38">
        <f t="shared" si="17"/>
        <v>38148000</v>
      </c>
      <c r="X113" s="38"/>
      <c r="Y113" s="36">
        <v>2.2799999999999998</v>
      </c>
      <c r="Z113" s="36">
        <v>3.1</v>
      </c>
      <c r="AA113" s="39">
        <v>12.219999999999999</v>
      </c>
      <c r="AB113" s="37">
        <v>1000</v>
      </c>
      <c r="AC113" s="35">
        <v>1000</v>
      </c>
      <c r="AD113" s="36">
        <v>130</v>
      </c>
      <c r="AE113" s="35">
        <f t="shared" si="22"/>
        <v>130000000</v>
      </c>
      <c r="AF113" s="37">
        <v>13</v>
      </c>
      <c r="AG113" s="37">
        <v>6</v>
      </c>
      <c r="AH113" s="37">
        <v>5</v>
      </c>
      <c r="AI113" s="37" t="s">
        <v>151</v>
      </c>
      <c r="AJ113" s="40">
        <f t="shared" si="18"/>
        <v>1000</v>
      </c>
      <c r="AK113" s="40">
        <f t="shared" si="18"/>
        <v>1000</v>
      </c>
      <c r="AL113" s="40">
        <f t="shared" si="19"/>
        <v>1230</v>
      </c>
      <c r="AM113" s="26">
        <f t="shared" si="16"/>
        <v>1230000000</v>
      </c>
      <c r="AN113" s="37" t="s">
        <v>152</v>
      </c>
      <c r="AO113" s="37" t="s">
        <v>153</v>
      </c>
      <c r="AP113" s="35"/>
      <c r="AQ113" s="35"/>
      <c r="AR113" s="37"/>
      <c r="AS113" s="35"/>
      <c r="AT113" s="37">
        <v>131</v>
      </c>
      <c r="AU113" s="41">
        <f t="shared" si="14"/>
        <v>4997388000</v>
      </c>
      <c r="AV113" s="42">
        <f t="shared" si="15"/>
        <v>1600.82</v>
      </c>
      <c r="AW113" s="36" t="s">
        <v>168</v>
      </c>
    </row>
    <row r="114" spans="1:49" hidden="1" x14ac:dyDescent="0.2">
      <c r="A114" s="35" t="s">
        <v>140</v>
      </c>
      <c r="B114" s="35" t="s">
        <v>141</v>
      </c>
      <c r="C114" s="67" t="s">
        <v>427</v>
      </c>
      <c r="D114" s="37"/>
      <c r="E114" s="35"/>
      <c r="F114" s="37"/>
      <c r="G114" s="35" t="s">
        <v>142</v>
      </c>
      <c r="H114" s="37" t="s">
        <v>143</v>
      </c>
      <c r="I114" s="35"/>
      <c r="J114" s="37" t="s">
        <v>54</v>
      </c>
      <c r="K114" s="35" t="s">
        <v>144</v>
      </c>
      <c r="L114" s="37" t="s">
        <v>145</v>
      </c>
      <c r="M114" s="37" t="s">
        <v>165</v>
      </c>
      <c r="N114" s="35" t="s">
        <v>166</v>
      </c>
      <c r="O114" s="35" t="s">
        <v>167</v>
      </c>
      <c r="P114" s="37">
        <v>4</v>
      </c>
      <c r="Q114" s="37" t="e">
        <f>VLOOKUP(D114,#REF!,9,FALSE)</f>
        <v>#REF!</v>
      </c>
      <c r="R114" s="37" t="s">
        <v>149</v>
      </c>
      <c r="S114" s="35" t="s">
        <v>192</v>
      </c>
      <c r="T114" s="37">
        <v>510</v>
      </c>
      <c r="U114" s="37">
        <v>340</v>
      </c>
      <c r="V114" s="37">
        <v>200</v>
      </c>
      <c r="W114" s="38">
        <f t="shared" si="17"/>
        <v>34680000</v>
      </c>
      <c r="X114" s="38"/>
      <c r="Y114" s="36">
        <v>2</v>
      </c>
      <c r="Z114" s="36">
        <v>2</v>
      </c>
      <c r="AA114" s="39">
        <v>10</v>
      </c>
      <c r="AB114" s="37">
        <v>1000</v>
      </c>
      <c r="AC114" s="35">
        <v>1000</v>
      </c>
      <c r="AD114" s="36">
        <v>130</v>
      </c>
      <c r="AE114" s="35">
        <f t="shared" si="22"/>
        <v>130000000</v>
      </c>
      <c r="AF114" s="37">
        <v>13</v>
      </c>
      <c r="AG114" s="37">
        <v>6</v>
      </c>
      <c r="AH114" s="37">
        <v>4</v>
      </c>
      <c r="AI114" s="37" t="s">
        <v>180</v>
      </c>
      <c r="AJ114" s="40">
        <f t="shared" si="18"/>
        <v>1000</v>
      </c>
      <c r="AK114" s="40">
        <f t="shared" si="18"/>
        <v>1000</v>
      </c>
      <c r="AL114" s="40">
        <f t="shared" si="19"/>
        <v>930</v>
      </c>
      <c r="AM114" s="26">
        <f t="shared" si="16"/>
        <v>930000000</v>
      </c>
      <c r="AN114" s="37" t="s">
        <v>152</v>
      </c>
      <c r="AO114" s="37" t="s">
        <v>153</v>
      </c>
      <c r="AP114" s="35"/>
      <c r="AQ114" s="35"/>
      <c r="AR114" s="37"/>
      <c r="AS114" s="35"/>
      <c r="AT114" s="37">
        <v>1056</v>
      </c>
      <c r="AU114" s="41">
        <f t="shared" si="14"/>
        <v>36622080000</v>
      </c>
      <c r="AV114" s="42">
        <f t="shared" si="15"/>
        <v>10560</v>
      </c>
      <c r="AW114" s="36" t="s">
        <v>168</v>
      </c>
    </row>
    <row r="115" spans="1:49" hidden="1" x14ac:dyDescent="0.2">
      <c r="A115" s="35" t="s">
        <v>140</v>
      </c>
      <c r="B115" s="35" t="s">
        <v>141</v>
      </c>
      <c r="C115" s="67" t="s">
        <v>428</v>
      </c>
      <c r="D115" s="37"/>
      <c r="E115" s="35"/>
      <c r="F115" s="37"/>
      <c r="G115" s="35" t="s">
        <v>142</v>
      </c>
      <c r="H115" s="37" t="s">
        <v>143</v>
      </c>
      <c r="I115" s="35"/>
      <c r="J115" s="37" t="s">
        <v>54</v>
      </c>
      <c r="K115" s="35" t="s">
        <v>144</v>
      </c>
      <c r="L115" s="37" t="s">
        <v>145</v>
      </c>
      <c r="M115" s="37" t="s">
        <v>165</v>
      </c>
      <c r="N115" s="35" t="s">
        <v>166</v>
      </c>
      <c r="O115" s="35" t="s">
        <v>167</v>
      </c>
      <c r="P115" s="37">
        <v>3</v>
      </c>
      <c r="Q115" s="37" t="e">
        <f>VLOOKUP(D115,#REF!,9,FALSE)</f>
        <v>#REF!</v>
      </c>
      <c r="R115" s="37" t="s">
        <v>149</v>
      </c>
      <c r="S115" s="35" t="s">
        <v>192</v>
      </c>
      <c r="T115" s="37">
        <v>510</v>
      </c>
      <c r="U115" s="37">
        <v>340</v>
      </c>
      <c r="V115" s="37">
        <v>200</v>
      </c>
      <c r="W115" s="38">
        <f t="shared" si="17"/>
        <v>34680000</v>
      </c>
      <c r="X115" s="38"/>
      <c r="Y115" s="36">
        <v>2</v>
      </c>
      <c r="Z115" s="36">
        <v>2</v>
      </c>
      <c r="AA115" s="39">
        <v>10</v>
      </c>
      <c r="AB115" s="37">
        <v>1000</v>
      </c>
      <c r="AC115" s="35">
        <v>1000</v>
      </c>
      <c r="AD115" s="36">
        <v>130</v>
      </c>
      <c r="AE115" s="35">
        <f t="shared" si="22"/>
        <v>130000000</v>
      </c>
      <c r="AF115" s="37">
        <v>13</v>
      </c>
      <c r="AG115" s="37">
        <v>6</v>
      </c>
      <c r="AH115" s="37">
        <v>5</v>
      </c>
      <c r="AI115" s="37" t="s">
        <v>151</v>
      </c>
      <c r="AJ115" s="40">
        <f t="shared" si="18"/>
        <v>1000</v>
      </c>
      <c r="AK115" s="40">
        <f t="shared" si="18"/>
        <v>1000</v>
      </c>
      <c r="AL115" s="40">
        <f t="shared" si="19"/>
        <v>1130</v>
      </c>
      <c r="AM115" s="26">
        <f t="shared" si="16"/>
        <v>1130000000</v>
      </c>
      <c r="AN115" s="37" t="s">
        <v>152</v>
      </c>
      <c r="AO115" s="37" t="s">
        <v>153</v>
      </c>
      <c r="AP115" s="35"/>
      <c r="AQ115" s="35"/>
      <c r="AR115" s="37"/>
      <c r="AS115" s="35"/>
      <c r="AT115" s="37">
        <v>220</v>
      </c>
      <c r="AU115" s="41">
        <f t="shared" si="14"/>
        <v>7629600000</v>
      </c>
      <c r="AV115" s="42">
        <f t="shared" si="15"/>
        <v>2200</v>
      </c>
      <c r="AW115" s="36" t="s">
        <v>168</v>
      </c>
    </row>
    <row r="116" spans="1:49" hidden="1" x14ac:dyDescent="0.2">
      <c r="A116" s="35" t="s">
        <v>140</v>
      </c>
      <c r="B116" s="35" t="s">
        <v>141</v>
      </c>
      <c r="C116" s="67" t="s">
        <v>429</v>
      </c>
      <c r="D116" s="37"/>
      <c r="E116" s="35"/>
      <c r="F116" s="37"/>
      <c r="G116" s="35" t="s">
        <v>142</v>
      </c>
      <c r="H116" s="37" t="s">
        <v>143</v>
      </c>
      <c r="I116" s="35"/>
      <c r="J116" s="37" t="s">
        <v>54</v>
      </c>
      <c r="K116" s="35" t="s">
        <v>144</v>
      </c>
      <c r="L116" s="37" t="s">
        <v>145</v>
      </c>
      <c r="M116" s="37" t="s">
        <v>165</v>
      </c>
      <c r="N116" s="35" t="s">
        <v>166</v>
      </c>
      <c r="O116" s="35" t="s">
        <v>167</v>
      </c>
      <c r="P116" s="37">
        <v>3</v>
      </c>
      <c r="Q116" s="37" t="e">
        <f>VLOOKUP(D116,#REF!,9,FALSE)</f>
        <v>#REF!</v>
      </c>
      <c r="R116" s="37" t="s">
        <v>149</v>
      </c>
      <c r="S116" s="35" t="s">
        <v>192</v>
      </c>
      <c r="T116" s="37">
        <v>510</v>
      </c>
      <c r="U116" s="37">
        <v>340</v>
      </c>
      <c r="V116" s="37">
        <v>200</v>
      </c>
      <c r="W116" s="38">
        <f t="shared" si="17"/>
        <v>34680000</v>
      </c>
      <c r="X116" s="38"/>
      <c r="Y116" s="36">
        <v>2.38</v>
      </c>
      <c r="Z116" s="36">
        <v>2.52</v>
      </c>
      <c r="AA116" s="39">
        <v>9.66</v>
      </c>
      <c r="AB116" s="37">
        <v>1000</v>
      </c>
      <c r="AC116" s="35">
        <v>1000</v>
      </c>
      <c r="AD116" s="36">
        <v>130</v>
      </c>
      <c r="AE116" s="35">
        <f t="shared" si="22"/>
        <v>130000000</v>
      </c>
      <c r="AF116" s="37">
        <v>13</v>
      </c>
      <c r="AG116" s="37">
        <v>6</v>
      </c>
      <c r="AH116" s="37">
        <v>5</v>
      </c>
      <c r="AI116" s="37" t="s">
        <v>151</v>
      </c>
      <c r="AJ116" s="40">
        <f t="shared" si="18"/>
        <v>1000</v>
      </c>
      <c r="AK116" s="40">
        <f t="shared" si="18"/>
        <v>1000</v>
      </c>
      <c r="AL116" s="40">
        <f t="shared" si="19"/>
        <v>1130</v>
      </c>
      <c r="AM116" s="26">
        <f t="shared" si="16"/>
        <v>1130000000</v>
      </c>
      <c r="AN116" s="37" t="s">
        <v>152</v>
      </c>
      <c r="AO116" s="37" t="s">
        <v>153</v>
      </c>
      <c r="AP116" s="35"/>
      <c r="AQ116" s="35"/>
      <c r="AR116" s="37"/>
      <c r="AS116" s="35"/>
      <c r="AT116" s="37">
        <v>1</v>
      </c>
      <c r="AU116" s="41">
        <f t="shared" si="14"/>
        <v>34680000</v>
      </c>
      <c r="AV116" s="42">
        <f t="shared" si="15"/>
        <v>9.66</v>
      </c>
      <c r="AW116" s="36" t="s">
        <v>168</v>
      </c>
    </row>
    <row r="117" spans="1:49" hidden="1" x14ac:dyDescent="0.2">
      <c r="A117" s="35" t="s">
        <v>140</v>
      </c>
      <c r="B117" s="35" t="s">
        <v>141</v>
      </c>
      <c r="C117" s="67" t="s">
        <v>430</v>
      </c>
      <c r="D117" s="37"/>
      <c r="E117" s="35"/>
      <c r="F117" s="37"/>
      <c r="G117" s="35" t="s">
        <v>142</v>
      </c>
      <c r="H117" s="37" t="s">
        <v>143</v>
      </c>
      <c r="I117" s="35"/>
      <c r="J117" s="37" t="s">
        <v>54</v>
      </c>
      <c r="K117" s="35" t="s">
        <v>144</v>
      </c>
      <c r="L117" s="37" t="s">
        <v>145</v>
      </c>
      <c r="M117" s="37" t="s">
        <v>165</v>
      </c>
      <c r="N117" s="35" t="s">
        <v>166</v>
      </c>
      <c r="O117" s="35" t="s">
        <v>167</v>
      </c>
      <c r="P117" s="37">
        <v>4</v>
      </c>
      <c r="Q117" s="37" t="e">
        <f>VLOOKUP(D117,#REF!,9,FALSE)</f>
        <v>#REF!</v>
      </c>
      <c r="R117" s="37" t="s">
        <v>149</v>
      </c>
      <c r="S117" s="35" t="s">
        <v>192</v>
      </c>
      <c r="T117" s="37">
        <v>510</v>
      </c>
      <c r="U117" s="37">
        <v>340</v>
      </c>
      <c r="V117" s="37">
        <v>200</v>
      </c>
      <c r="W117" s="38">
        <f t="shared" si="17"/>
        <v>34680000</v>
      </c>
      <c r="X117" s="38"/>
      <c r="Y117" s="36">
        <v>2.37</v>
      </c>
      <c r="Z117" s="36">
        <v>2.52</v>
      </c>
      <c r="AA117" s="39">
        <v>9.6300000000000008</v>
      </c>
      <c r="AB117" s="37">
        <v>1000</v>
      </c>
      <c r="AC117" s="35">
        <v>1000</v>
      </c>
      <c r="AD117" s="36">
        <v>130</v>
      </c>
      <c r="AE117" s="35">
        <f t="shared" si="22"/>
        <v>130000000</v>
      </c>
      <c r="AF117" s="37">
        <v>13</v>
      </c>
      <c r="AG117" s="37">
        <v>6</v>
      </c>
      <c r="AH117" s="37">
        <v>5</v>
      </c>
      <c r="AI117" s="37" t="s">
        <v>151</v>
      </c>
      <c r="AJ117" s="40">
        <f t="shared" si="18"/>
        <v>1000</v>
      </c>
      <c r="AK117" s="40">
        <f t="shared" si="18"/>
        <v>1000</v>
      </c>
      <c r="AL117" s="40">
        <f t="shared" si="19"/>
        <v>1130</v>
      </c>
      <c r="AM117" s="26">
        <f t="shared" si="16"/>
        <v>1130000000</v>
      </c>
      <c r="AN117" s="37" t="s">
        <v>152</v>
      </c>
      <c r="AO117" s="37" t="s">
        <v>153</v>
      </c>
      <c r="AP117" s="35"/>
      <c r="AQ117" s="35"/>
      <c r="AR117" s="37"/>
      <c r="AS117" s="35"/>
      <c r="AT117" s="37">
        <v>201</v>
      </c>
      <c r="AU117" s="41">
        <f t="shared" si="14"/>
        <v>6970680000</v>
      </c>
      <c r="AV117" s="42">
        <f t="shared" si="15"/>
        <v>1935.63</v>
      </c>
      <c r="AW117" s="36" t="s">
        <v>168</v>
      </c>
    </row>
    <row r="118" spans="1:49" hidden="1" x14ac:dyDescent="0.2">
      <c r="A118" s="35" t="s">
        <v>140</v>
      </c>
      <c r="B118" s="35" t="s">
        <v>141</v>
      </c>
      <c r="C118" s="67" t="s">
        <v>431</v>
      </c>
      <c r="D118" s="37"/>
      <c r="E118" s="35"/>
      <c r="F118" s="37"/>
      <c r="G118" s="35" t="s">
        <v>142</v>
      </c>
      <c r="H118" s="37" t="s">
        <v>143</v>
      </c>
      <c r="I118" s="35"/>
      <c r="J118" s="37" t="s">
        <v>54</v>
      </c>
      <c r="K118" s="35" t="s">
        <v>144</v>
      </c>
      <c r="L118" s="37" t="s">
        <v>145</v>
      </c>
      <c r="M118" s="37" t="s">
        <v>165</v>
      </c>
      <c r="N118" s="35" t="s">
        <v>166</v>
      </c>
      <c r="O118" s="35" t="s">
        <v>167</v>
      </c>
      <c r="P118" s="37">
        <v>3</v>
      </c>
      <c r="Q118" s="37" t="e">
        <f>VLOOKUP(D118,#REF!,9,FALSE)</f>
        <v>#REF!</v>
      </c>
      <c r="R118" s="37" t="s">
        <v>149</v>
      </c>
      <c r="S118" s="35" t="s">
        <v>192</v>
      </c>
      <c r="T118" s="37">
        <v>510</v>
      </c>
      <c r="U118" s="37">
        <v>340</v>
      </c>
      <c r="V118" s="37">
        <v>200</v>
      </c>
      <c r="W118" s="38">
        <f t="shared" si="17"/>
        <v>34680000</v>
      </c>
      <c r="X118" s="38"/>
      <c r="Y118" s="36">
        <v>2.37</v>
      </c>
      <c r="Z118" s="36">
        <v>2.52</v>
      </c>
      <c r="AA118" s="39">
        <v>9.6300000000000008</v>
      </c>
      <c r="AB118" s="37">
        <v>1000</v>
      </c>
      <c r="AC118" s="35">
        <v>1000</v>
      </c>
      <c r="AD118" s="36">
        <v>130</v>
      </c>
      <c r="AE118" s="35">
        <f t="shared" si="22"/>
        <v>130000000</v>
      </c>
      <c r="AF118" s="37">
        <v>13</v>
      </c>
      <c r="AG118" s="37">
        <v>6</v>
      </c>
      <c r="AH118" s="37">
        <v>5</v>
      </c>
      <c r="AI118" s="37" t="s">
        <v>151</v>
      </c>
      <c r="AJ118" s="40">
        <f t="shared" si="18"/>
        <v>1000</v>
      </c>
      <c r="AK118" s="40">
        <f t="shared" si="18"/>
        <v>1000</v>
      </c>
      <c r="AL118" s="40">
        <f t="shared" si="19"/>
        <v>1130</v>
      </c>
      <c r="AM118" s="26">
        <f t="shared" si="16"/>
        <v>1130000000</v>
      </c>
      <c r="AN118" s="37" t="s">
        <v>152</v>
      </c>
      <c r="AO118" s="37" t="s">
        <v>153</v>
      </c>
      <c r="AP118" s="35"/>
      <c r="AQ118" s="35"/>
      <c r="AR118" s="37"/>
      <c r="AS118" s="35"/>
      <c r="AT118" s="37">
        <v>39</v>
      </c>
      <c r="AU118" s="41">
        <f t="shared" si="14"/>
        <v>1352520000</v>
      </c>
      <c r="AV118" s="42">
        <f t="shared" si="15"/>
        <v>375.57000000000005</v>
      </c>
      <c r="AW118" s="36" t="s">
        <v>168</v>
      </c>
    </row>
    <row r="119" spans="1:49" hidden="1" x14ac:dyDescent="0.2">
      <c r="A119" s="35" t="s">
        <v>140</v>
      </c>
      <c r="B119" s="35" t="s">
        <v>141</v>
      </c>
      <c r="C119" s="67" t="s">
        <v>432</v>
      </c>
      <c r="D119" s="37"/>
      <c r="E119" s="35"/>
      <c r="F119" s="37"/>
      <c r="G119" s="35" t="s">
        <v>142</v>
      </c>
      <c r="H119" s="37" t="s">
        <v>143</v>
      </c>
      <c r="I119" s="35"/>
      <c r="J119" s="37" t="s">
        <v>54</v>
      </c>
      <c r="K119" s="35" t="s">
        <v>144</v>
      </c>
      <c r="L119" s="37" t="s">
        <v>145</v>
      </c>
      <c r="M119" s="37" t="s">
        <v>165</v>
      </c>
      <c r="N119" s="35" t="s">
        <v>166</v>
      </c>
      <c r="O119" s="35" t="s">
        <v>167</v>
      </c>
      <c r="P119" s="37">
        <v>3</v>
      </c>
      <c r="Q119" s="37" t="e">
        <f>VLOOKUP(D119,#REF!,9,FALSE)</f>
        <v>#REF!</v>
      </c>
      <c r="R119" s="37" t="s">
        <v>149</v>
      </c>
      <c r="S119" s="35" t="s">
        <v>192</v>
      </c>
      <c r="T119" s="37">
        <v>510</v>
      </c>
      <c r="U119" s="37">
        <v>340</v>
      </c>
      <c r="V119" s="37">
        <v>200</v>
      </c>
      <c r="W119" s="38">
        <f t="shared" si="17"/>
        <v>34680000</v>
      </c>
      <c r="X119" s="38"/>
      <c r="Y119" s="36">
        <v>2</v>
      </c>
      <c r="Z119" s="36">
        <v>2</v>
      </c>
      <c r="AA119" s="39">
        <v>8</v>
      </c>
      <c r="AB119" s="37">
        <v>1000</v>
      </c>
      <c r="AC119" s="35">
        <v>1000</v>
      </c>
      <c r="AD119" s="36">
        <v>130</v>
      </c>
      <c r="AE119" s="35">
        <f t="shared" si="22"/>
        <v>130000000</v>
      </c>
      <c r="AF119" s="37">
        <v>13</v>
      </c>
      <c r="AG119" s="37">
        <v>6</v>
      </c>
      <c r="AH119" s="37">
        <v>5</v>
      </c>
      <c r="AI119" s="37" t="s">
        <v>151</v>
      </c>
      <c r="AJ119" s="40">
        <f t="shared" si="18"/>
        <v>1000</v>
      </c>
      <c r="AK119" s="40">
        <f t="shared" si="18"/>
        <v>1000</v>
      </c>
      <c r="AL119" s="40">
        <f t="shared" si="19"/>
        <v>1130</v>
      </c>
      <c r="AM119" s="26">
        <f t="shared" si="16"/>
        <v>1130000000</v>
      </c>
      <c r="AN119" s="37" t="s">
        <v>152</v>
      </c>
      <c r="AO119" s="37" t="s">
        <v>153</v>
      </c>
      <c r="AP119" s="35"/>
      <c r="AQ119" s="35"/>
      <c r="AR119" s="37"/>
      <c r="AS119" s="35"/>
      <c r="AT119" s="37">
        <v>21</v>
      </c>
      <c r="AU119" s="41">
        <f t="shared" si="14"/>
        <v>728280000</v>
      </c>
      <c r="AV119" s="42">
        <f t="shared" si="15"/>
        <v>168</v>
      </c>
      <c r="AW119" s="36" t="s">
        <v>168</v>
      </c>
    </row>
    <row r="120" spans="1:49" hidden="1" x14ac:dyDescent="0.2">
      <c r="A120" s="35" t="s">
        <v>140</v>
      </c>
      <c r="B120" s="35" t="s">
        <v>141</v>
      </c>
      <c r="C120" s="67" t="s">
        <v>433</v>
      </c>
      <c r="D120" s="37"/>
      <c r="E120" s="35"/>
      <c r="F120" s="37"/>
      <c r="G120" s="35" t="s">
        <v>142</v>
      </c>
      <c r="H120" s="37" t="s">
        <v>143</v>
      </c>
      <c r="I120" s="35"/>
      <c r="J120" s="37" t="s">
        <v>54</v>
      </c>
      <c r="K120" s="35" t="s">
        <v>144</v>
      </c>
      <c r="L120" s="37" t="s">
        <v>145</v>
      </c>
      <c r="M120" s="37" t="s">
        <v>165</v>
      </c>
      <c r="N120" s="35" t="s">
        <v>166</v>
      </c>
      <c r="O120" s="35" t="s">
        <v>167</v>
      </c>
      <c r="P120" s="37">
        <v>3</v>
      </c>
      <c r="Q120" s="37" t="e">
        <f>VLOOKUP(D120,#REF!,9,FALSE)</f>
        <v>#REF!</v>
      </c>
      <c r="R120" s="37" t="s">
        <v>149</v>
      </c>
      <c r="S120" s="35" t="s">
        <v>192</v>
      </c>
      <c r="T120" s="37">
        <v>510</v>
      </c>
      <c r="U120" s="37">
        <v>340</v>
      </c>
      <c r="V120" s="37">
        <v>200</v>
      </c>
      <c r="W120" s="38">
        <f t="shared" si="17"/>
        <v>34680000</v>
      </c>
      <c r="X120" s="38"/>
      <c r="Y120" s="36">
        <v>2</v>
      </c>
      <c r="Z120" s="36">
        <v>2</v>
      </c>
      <c r="AA120" s="39">
        <v>8</v>
      </c>
      <c r="AB120" s="37">
        <v>1000</v>
      </c>
      <c r="AC120" s="35">
        <v>1000</v>
      </c>
      <c r="AD120" s="36">
        <v>130</v>
      </c>
      <c r="AE120" s="35">
        <f t="shared" si="22"/>
        <v>130000000</v>
      </c>
      <c r="AF120" s="37">
        <v>13</v>
      </c>
      <c r="AG120" s="37">
        <v>6</v>
      </c>
      <c r="AH120" s="37">
        <v>5</v>
      </c>
      <c r="AI120" s="37" t="s">
        <v>151</v>
      </c>
      <c r="AJ120" s="40">
        <f t="shared" si="18"/>
        <v>1000</v>
      </c>
      <c r="AK120" s="40">
        <f t="shared" si="18"/>
        <v>1000</v>
      </c>
      <c r="AL120" s="40">
        <f t="shared" si="19"/>
        <v>1130</v>
      </c>
      <c r="AM120" s="26">
        <f t="shared" si="16"/>
        <v>1130000000</v>
      </c>
      <c r="AN120" s="37" t="s">
        <v>152</v>
      </c>
      <c r="AO120" s="37" t="s">
        <v>153</v>
      </c>
      <c r="AP120" s="35"/>
      <c r="AQ120" s="35"/>
      <c r="AR120" s="37"/>
      <c r="AS120" s="35"/>
      <c r="AT120" s="37">
        <v>72</v>
      </c>
      <c r="AU120" s="41">
        <f t="shared" si="14"/>
        <v>2496960000</v>
      </c>
      <c r="AV120" s="42">
        <f t="shared" si="15"/>
        <v>576</v>
      </c>
      <c r="AW120" s="36" t="s">
        <v>168</v>
      </c>
    </row>
    <row r="121" spans="1:49" x14ac:dyDescent="0.2">
      <c r="A121" s="35" t="s">
        <v>140</v>
      </c>
      <c r="B121" s="35" t="s">
        <v>141</v>
      </c>
      <c r="C121" s="67" t="s">
        <v>434</v>
      </c>
      <c r="D121" s="37"/>
      <c r="E121" s="35"/>
      <c r="F121" s="37"/>
      <c r="G121" s="35" t="s">
        <v>142</v>
      </c>
      <c r="H121" s="37" t="s">
        <v>177</v>
      </c>
      <c r="I121" s="35"/>
      <c r="J121" s="37" t="s">
        <v>54</v>
      </c>
      <c r="K121" s="35" t="s">
        <v>178</v>
      </c>
      <c r="L121" s="37" t="s">
        <v>145</v>
      </c>
      <c r="M121" s="37" t="s">
        <v>65</v>
      </c>
      <c r="N121" s="35" t="s">
        <v>156</v>
      </c>
      <c r="O121" s="35" t="s">
        <v>157</v>
      </c>
      <c r="P121" s="37">
        <v>2</v>
      </c>
      <c r="Q121" s="37" t="e">
        <f>VLOOKUP(D121,#REF!,9,FALSE)</f>
        <v>#REF!</v>
      </c>
      <c r="R121" s="37" t="s">
        <v>149</v>
      </c>
      <c r="S121" s="35" t="s">
        <v>192</v>
      </c>
      <c r="T121" s="37">
        <v>340</v>
      </c>
      <c r="U121" s="37">
        <v>340</v>
      </c>
      <c r="V121" s="37">
        <v>200</v>
      </c>
      <c r="W121" s="38">
        <f t="shared" ref="W121:W124" si="24">T121/1000*U121/1000*V121/1000</f>
        <v>2.3120000000000002E-2</v>
      </c>
      <c r="X121" s="38"/>
      <c r="Y121" s="36">
        <v>2</v>
      </c>
      <c r="Z121" s="36">
        <v>2</v>
      </c>
      <c r="AA121" s="39">
        <v>6</v>
      </c>
      <c r="AB121" s="37">
        <v>1000</v>
      </c>
      <c r="AC121" s="35">
        <v>1000</v>
      </c>
      <c r="AD121" s="36">
        <v>130</v>
      </c>
      <c r="AE121" s="35">
        <f t="shared" si="22"/>
        <v>130000000</v>
      </c>
      <c r="AF121" s="37">
        <v>13</v>
      </c>
      <c r="AG121" s="37">
        <v>9</v>
      </c>
      <c r="AH121" s="37">
        <v>6</v>
      </c>
      <c r="AI121" s="37" t="s">
        <v>180</v>
      </c>
      <c r="AJ121" s="40">
        <f t="shared" si="18"/>
        <v>1000</v>
      </c>
      <c r="AK121" s="40">
        <f t="shared" si="18"/>
        <v>1000</v>
      </c>
      <c r="AL121" s="40">
        <f t="shared" si="19"/>
        <v>1330</v>
      </c>
      <c r="AM121" s="26">
        <f t="shared" si="16"/>
        <v>1330000000</v>
      </c>
      <c r="AN121" s="37" t="s">
        <v>152</v>
      </c>
      <c r="AO121" s="37" t="s">
        <v>153</v>
      </c>
      <c r="AP121" s="35"/>
      <c r="AQ121" s="35"/>
      <c r="AR121" s="37"/>
      <c r="AS121" s="35"/>
      <c r="AT121" s="37">
        <v>1836</v>
      </c>
      <c r="AU121" s="41">
        <f t="shared" si="14"/>
        <v>42.448320000000002</v>
      </c>
      <c r="AV121" s="42">
        <f t="shared" si="15"/>
        <v>11016</v>
      </c>
      <c r="AW121" s="36" t="s">
        <v>158</v>
      </c>
    </row>
    <row r="122" spans="1:49" x14ac:dyDescent="0.2">
      <c r="A122" s="35" t="s">
        <v>140</v>
      </c>
      <c r="B122" s="35" t="s">
        <v>141</v>
      </c>
      <c r="C122" s="67" t="s">
        <v>435</v>
      </c>
      <c r="D122" s="37"/>
      <c r="E122" s="35"/>
      <c r="F122" s="37"/>
      <c r="G122" s="35" t="s">
        <v>142</v>
      </c>
      <c r="H122" s="37" t="s">
        <v>177</v>
      </c>
      <c r="I122" s="35"/>
      <c r="J122" s="37" t="s">
        <v>54</v>
      </c>
      <c r="K122" s="35" t="s">
        <v>178</v>
      </c>
      <c r="L122" s="37" t="s">
        <v>145</v>
      </c>
      <c r="M122" s="37" t="s">
        <v>65</v>
      </c>
      <c r="N122" s="35" t="s">
        <v>156</v>
      </c>
      <c r="O122" s="35" t="s">
        <v>157</v>
      </c>
      <c r="P122" s="37">
        <v>2</v>
      </c>
      <c r="Q122" s="37" t="e">
        <f>VLOOKUP(D122,#REF!,9,FALSE)</f>
        <v>#REF!</v>
      </c>
      <c r="R122" s="37" t="s">
        <v>149</v>
      </c>
      <c r="S122" s="35" t="s">
        <v>192</v>
      </c>
      <c r="T122" s="37">
        <v>340</v>
      </c>
      <c r="U122" s="37">
        <v>340</v>
      </c>
      <c r="V122" s="37">
        <v>200</v>
      </c>
      <c r="W122" s="38">
        <f t="shared" si="24"/>
        <v>2.3120000000000002E-2</v>
      </c>
      <c r="X122" s="38"/>
      <c r="Y122" s="36">
        <v>2</v>
      </c>
      <c r="Z122" s="36">
        <v>2</v>
      </c>
      <c r="AA122" s="39">
        <v>6</v>
      </c>
      <c r="AB122" s="37">
        <v>1000</v>
      </c>
      <c r="AC122" s="35">
        <v>1000</v>
      </c>
      <c r="AD122" s="36">
        <v>130</v>
      </c>
      <c r="AE122" s="35">
        <f t="shared" si="22"/>
        <v>130000000</v>
      </c>
      <c r="AF122" s="37">
        <v>13</v>
      </c>
      <c r="AG122" s="37">
        <v>9</v>
      </c>
      <c r="AH122" s="37">
        <v>6</v>
      </c>
      <c r="AI122" s="37" t="s">
        <v>180</v>
      </c>
      <c r="AJ122" s="40">
        <f t="shared" si="18"/>
        <v>1000</v>
      </c>
      <c r="AK122" s="40">
        <f t="shared" si="18"/>
        <v>1000</v>
      </c>
      <c r="AL122" s="40">
        <f t="shared" si="19"/>
        <v>1330</v>
      </c>
      <c r="AM122" s="26">
        <f t="shared" si="16"/>
        <v>1330000000</v>
      </c>
      <c r="AN122" s="37" t="s">
        <v>152</v>
      </c>
      <c r="AO122" s="37" t="s">
        <v>153</v>
      </c>
      <c r="AP122" s="35"/>
      <c r="AQ122" s="35"/>
      <c r="AR122" s="37"/>
      <c r="AS122" s="35"/>
      <c r="AT122" s="37">
        <v>1242</v>
      </c>
      <c r="AU122" s="41">
        <f t="shared" si="14"/>
        <v>28.715040000000002</v>
      </c>
      <c r="AV122" s="42">
        <f t="shared" si="15"/>
        <v>7452</v>
      </c>
      <c r="AW122" s="36" t="s">
        <v>158</v>
      </c>
    </row>
    <row r="123" spans="1:49" x14ac:dyDescent="0.2">
      <c r="A123" s="35" t="s">
        <v>140</v>
      </c>
      <c r="B123" s="35" t="s">
        <v>141</v>
      </c>
      <c r="C123" s="67" t="s">
        <v>436</v>
      </c>
      <c r="D123" s="37"/>
      <c r="E123" s="35"/>
      <c r="F123" s="37"/>
      <c r="G123" s="35" t="s">
        <v>142</v>
      </c>
      <c r="H123" s="37" t="s">
        <v>177</v>
      </c>
      <c r="I123" s="35"/>
      <c r="J123" s="37" t="s">
        <v>54</v>
      </c>
      <c r="K123" s="35" t="s">
        <v>178</v>
      </c>
      <c r="L123" s="37" t="s">
        <v>145</v>
      </c>
      <c r="M123" s="37" t="s">
        <v>65</v>
      </c>
      <c r="N123" s="35" t="s">
        <v>156</v>
      </c>
      <c r="O123" s="35" t="s">
        <v>157</v>
      </c>
      <c r="P123" s="37">
        <v>2</v>
      </c>
      <c r="Q123" s="37" t="e">
        <f>VLOOKUP(D123,#REF!,9,FALSE)</f>
        <v>#REF!</v>
      </c>
      <c r="R123" s="37" t="s">
        <v>149</v>
      </c>
      <c r="S123" s="35" t="s">
        <v>192</v>
      </c>
      <c r="T123" s="37">
        <v>340</v>
      </c>
      <c r="U123" s="37">
        <v>340</v>
      </c>
      <c r="V123" s="37">
        <v>200</v>
      </c>
      <c r="W123" s="38">
        <f t="shared" si="24"/>
        <v>2.3120000000000002E-2</v>
      </c>
      <c r="X123" s="38"/>
      <c r="Y123" s="36">
        <v>2</v>
      </c>
      <c r="Z123" s="36">
        <v>2</v>
      </c>
      <c r="AA123" s="39">
        <v>6</v>
      </c>
      <c r="AB123" s="37">
        <v>1000</v>
      </c>
      <c r="AC123" s="35">
        <v>1000</v>
      </c>
      <c r="AD123" s="36">
        <v>130</v>
      </c>
      <c r="AE123" s="35">
        <f t="shared" si="22"/>
        <v>130000000</v>
      </c>
      <c r="AF123" s="37">
        <v>13</v>
      </c>
      <c r="AG123" s="37">
        <v>9</v>
      </c>
      <c r="AH123" s="37">
        <v>6</v>
      </c>
      <c r="AI123" s="37" t="s">
        <v>180</v>
      </c>
      <c r="AJ123" s="40">
        <f t="shared" si="18"/>
        <v>1000</v>
      </c>
      <c r="AK123" s="40">
        <f t="shared" si="18"/>
        <v>1000</v>
      </c>
      <c r="AL123" s="40">
        <f t="shared" si="19"/>
        <v>1330</v>
      </c>
      <c r="AM123" s="26">
        <f t="shared" si="16"/>
        <v>1330000000</v>
      </c>
      <c r="AN123" s="37" t="s">
        <v>152</v>
      </c>
      <c r="AO123" s="37" t="s">
        <v>153</v>
      </c>
      <c r="AP123" s="35"/>
      <c r="AQ123" s="35"/>
      <c r="AR123" s="37"/>
      <c r="AS123" s="35"/>
      <c r="AT123" s="37">
        <v>162</v>
      </c>
      <c r="AU123" s="41">
        <f t="shared" si="14"/>
        <v>3.7454400000000003</v>
      </c>
      <c r="AV123" s="42">
        <f t="shared" si="15"/>
        <v>972</v>
      </c>
      <c r="AW123" s="36" t="s">
        <v>158</v>
      </c>
    </row>
    <row r="124" spans="1:49" x14ac:dyDescent="0.2">
      <c r="A124" s="35" t="s">
        <v>140</v>
      </c>
      <c r="B124" s="35" t="s">
        <v>141</v>
      </c>
      <c r="C124" s="37" t="s">
        <v>333</v>
      </c>
      <c r="D124" s="37"/>
      <c r="E124" s="35"/>
      <c r="F124" s="37"/>
      <c r="G124" s="35" t="s">
        <v>142</v>
      </c>
      <c r="H124" s="37" t="s">
        <v>177</v>
      </c>
      <c r="I124" s="35"/>
      <c r="J124" s="37" t="s">
        <v>54</v>
      </c>
      <c r="K124" s="35" t="s">
        <v>178</v>
      </c>
      <c r="L124" s="37" t="s">
        <v>145</v>
      </c>
      <c r="M124" s="37" t="s">
        <v>14</v>
      </c>
      <c r="N124" s="35" t="s">
        <v>156</v>
      </c>
      <c r="O124" s="35" t="s">
        <v>156</v>
      </c>
      <c r="P124" s="37">
        <v>7</v>
      </c>
      <c r="Q124" s="37" t="e">
        <f>VLOOKUP(D124,#REF!,9,FALSE)</f>
        <v>#REF!</v>
      </c>
      <c r="R124" s="37" t="s">
        <v>149</v>
      </c>
      <c r="S124" s="35" t="s">
        <v>184</v>
      </c>
      <c r="T124" s="37">
        <v>340</v>
      </c>
      <c r="U124" s="37">
        <v>340</v>
      </c>
      <c r="V124" s="37">
        <v>250</v>
      </c>
      <c r="W124" s="38">
        <f t="shared" si="24"/>
        <v>2.8900000000000002E-2</v>
      </c>
      <c r="X124" s="38"/>
      <c r="Y124" s="36">
        <v>1.1000000000000001</v>
      </c>
      <c r="Z124" s="36">
        <v>2.5</v>
      </c>
      <c r="AA124" s="39">
        <v>10.200000000000001</v>
      </c>
      <c r="AB124" s="37">
        <v>1000</v>
      </c>
      <c r="AC124" s="35">
        <v>1000</v>
      </c>
      <c r="AD124" s="36">
        <v>130</v>
      </c>
      <c r="AE124" s="35">
        <f t="shared" si="22"/>
        <v>130000000</v>
      </c>
      <c r="AF124" s="37">
        <v>13</v>
      </c>
      <c r="AG124" s="37">
        <v>9</v>
      </c>
      <c r="AH124" s="37">
        <v>4</v>
      </c>
      <c r="AI124" s="37" t="s">
        <v>151</v>
      </c>
      <c r="AJ124" s="40">
        <f t="shared" si="18"/>
        <v>1000</v>
      </c>
      <c r="AK124" s="40">
        <f t="shared" si="18"/>
        <v>1000</v>
      </c>
      <c r="AL124" s="40">
        <f t="shared" si="19"/>
        <v>1130</v>
      </c>
      <c r="AM124" s="26">
        <f t="shared" si="16"/>
        <v>1130000000</v>
      </c>
      <c r="AN124" s="37" t="s">
        <v>152</v>
      </c>
      <c r="AO124" s="37" t="s">
        <v>153</v>
      </c>
      <c r="AP124" s="35"/>
      <c r="AQ124" s="35"/>
      <c r="AR124" s="37"/>
      <c r="AS124" s="35"/>
      <c r="AT124" s="37">
        <v>13</v>
      </c>
      <c r="AU124" s="41">
        <f t="shared" si="14"/>
        <v>0.37570000000000003</v>
      </c>
      <c r="AV124" s="42">
        <f t="shared" si="15"/>
        <v>132.60000000000002</v>
      </c>
      <c r="AW124" s="36" t="s">
        <v>158</v>
      </c>
    </row>
    <row r="125" spans="1:49" hidden="1" x14ac:dyDescent="0.2">
      <c r="A125" s="35" t="s">
        <v>140</v>
      </c>
      <c r="B125" s="35" t="s">
        <v>141</v>
      </c>
      <c r="C125" s="67" t="s">
        <v>437</v>
      </c>
      <c r="D125" s="37"/>
      <c r="E125" s="35"/>
      <c r="F125" s="37"/>
      <c r="G125" s="35" t="s">
        <v>142</v>
      </c>
      <c r="H125" s="37" t="s">
        <v>143</v>
      </c>
      <c r="I125" s="35"/>
      <c r="J125" s="37" t="s">
        <v>54</v>
      </c>
      <c r="K125" s="35" t="s">
        <v>144</v>
      </c>
      <c r="L125" s="37" t="s">
        <v>145</v>
      </c>
      <c r="M125" s="37" t="s">
        <v>75</v>
      </c>
      <c r="N125" s="35" t="s">
        <v>147</v>
      </c>
      <c r="O125" s="35" t="s">
        <v>148</v>
      </c>
      <c r="P125" s="37">
        <v>15</v>
      </c>
      <c r="Q125" s="37" t="e">
        <f>VLOOKUP(D125,#REF!,9,FALSE)</f>
        <v>#REF!</v>
      </c>
      <c r="R125" s="37" t="s">
        <v>149</v>
      </c>
      <c r="S125" s="35" t="s">
        <v>183</v>
      </c>
      <c r="T125" s="37">
        <v>340</v>
      </c>
      <c r="U125" s="37">
        <v>340</v>
      </c>
      <c r="V125" s="37">
        <v>110</v>
      </c>
      <c r="W125" s="38">
        <f t="shared" si="17"/>
        <v>12716000</v>
      </c>
      <c r="X125" s="38"/>
      <c r="Y125" s="36">
        <v>0.5</v>
      </c>
      <c r="Z125" s="36">
        <v>1</v>
      </c>
      <c r="AA125" s="39">
        <v>8.5</v>
      </c>
      <c r="AB125" s="37">
        <v>1000</v>
      </c>
      <c r="AC125" s="35">
        <v>1000</v>
      </c>
      <c r="AD125" s="36">
        <v>130</v>
      </c>
      <c r="AE125" s="35">
        <f t="shared" si="22"/>
        <v>130000000</v>
      </c>
      <c r="AF125" s="37">
        <v>13</v>
      </c>
      <c r="AG125" s="37">
        <v>9</v>
      </c>
      <c r="AH125" s="37">
        <v>7</v>
      </c>
      <c r="AI125" s="37" t="s">
        <v>151</v>
      </c>
      <c r="AJ125" s="40">
        <f t="shared" si="18"/>
        <v>1000</v>
      </c>
      <c r="AK125" s="40">
        <f t="shared" si="18"/>
        <v>1000</v>
      </c>
      <c r="AL125" s="40">
        <f t="shared" si="19"/>
        <v>900</v>
      </c>
      <c r="AM125" s="26">
        <f t="shared" si="16"/>
        <v>900000000</v>
      </c>
      <c r="AN125" s="37" t="s">
        <v>152</v>
      </c>
      <c r="AO125" s="37" t="s">
        <v>153</v>
      </c>
      <c r="AP125" s="35"/>
      <c r="AQ125" s="35"/>
      <c r="AR125" s="37"/>
      <c r="AS125" s="35"/>
      <c r="AT125" s="37">
        <v>10</v>
      </c>
      <c r="AU125" s="41">
        <f t="shared" si="14"/>
        <v>127160000</v>
      </c>
      <c r="AV125" s="42">
        <f t="shared" si="15"/>
        <v>85</v>
      </c>
      <c r="AW125" s="36" t="s">
        <v>154</v>
      </c>
    </row>
    <row r="126" spans="1:49" hidden="1" x14ac:dyDescent="0.2">
      <c r="A126" s="35" t="s">
        <v>140</v>
      </c>
      <c r="B126" s="35" t="s">
        <v>141</v>
      </c>
      <c r="C126" s="37" t="s">
        <v>437</v>
      </c>
      <c r="D126" s="37"/>
      <c r="E126" s="35"/>
      <c r="F126" s="37"/>
      <c r="G126" s="35" t="s">
        <v>142</v>
      </c>
      <c r="H126" s="37" t="s">
        <v>143</v>
      </c>
      <c r="I126" s="35"/>
      <c r="J126" s="37" t="s">
        <v>54</v>
      </c>
      <c r="K126" s="35" t="s">
        <v>144</v>
      </c>
      <c r="L126" s="37" t="s">
        <v>145</v>
      </c>
      <c r="M126" s="37" t="s">
        <v>59</v>
      </c>
      <c r="N126" s="35" t="s">
        <v>166</v>
      </c>
      <c r="O126" s="35" t="s">
        <v>163</v>
      </c>
      <c r="P126" s="37">
        <v>15</v>
      </c>
      <c r="Q126" s="37" t="e">
        <f>VLOOKUP(D126,#REF!,9,FALSE)</f>
        <v>#REF!</v>
      </c>
      <c r="R126" s="37" t="s">
        <v>149</v>
      </c>
      <c r="S126" s="35" t="s">
        <v>183</v>
      </c>
      <c r="T126" s="37">
        <v>340</v>
      </c>
      <c r="U126" s="37">
        <v>340</v>
      </c>
      <c r="V126" s="37">
        <v>110</v>
      </c>
      <c r="W126" s="38">
        <f t="shared" si="17"/>
        <v>12716000</v>
      </c>
      <c r="X126" s="38"/>
      <c r="Y126" s="36">
        <v>0.4</v>
      </c>
      <c r="Z126" s="36">
        <v>1</v>
      </c>
      <c r="AA126" s="39">
        <v>7</v>
      </c>
      <c r="AB126" s="37">
        <v>1000</v>
      </c>
      <c r="AC126" s="35">
        <v>1000</v>
      </c>
      <c r="AD126" s="36">
        <v>130</v>
      </c>
      <c r="AE126" s="35">
        <f t="shared" si="22"/>
        <v>130000000</v>
      </c>
      <c r="AF126" s="37">
        <v>13</v>
      </c>
      <c r="AG126" s="37">
        <v>9</v>
      </c>
      <c r="AH126" s="37">
        <v>7</v>
      </c>
      <c r="AI126" s="37" t="s">
        <v>151</v>
      </c>
      <c r="AJ126" s="40">
        <f t="shared" si="18"/>
        <v>1000</v>
      </c>
      <c r="AK126" s="40">
        <f t="shared" si="18"/>
        <v>1000</v>
      </c>
      <c r="AL126" s="40">
        <f t="shared" si="19"/>
        <v>900</v>
      </c>
      <c r="AM126" s="26">
        <f t="shared" si="16"/>
        <v>900000000</v>
      </c>
      <c r="AN126" s="37" t="s">
        <v>152</v>
      </c>
      <c r="AO126" s="37" t="s">
        <v>153</v>
      </c>
      <c r="AP126" s="35"/>
      <c r="AQ126" s="35"/>
      <c r="AR126" s="37"/>
      <c r="AS126" s="35"/>
      <c r="AT126" s="37">
        <v>64</v>
      </c>
      <c r="AU126" s="41">
        <f t="shared" si="14"/>
        <v>813824000</v>
      </c>
      <c r="AV126" s="42">
        <f t="shared" si="15"/>
        <v>448</v>
      </c>
      <c r="AW126" s="36" t="s">
        <v>164</v>
      </c>
    </row>
    <row r="127" spans="1:49" hidden="1" x14ac:dyDescent="0.2">
      <c r="A127" s="35" t="s">
        <v>140</v>
      </c>
      <c r="B127" s="35" t="s">
        <v>141</v>
      </c>
      <c r="C127" s="37" t="s">
        <v>437</v>
      </c>
      <c r="D127" s="37"/>
      <c r="E127" s="35"/>
      <c r="F127" s="37"/>
      <c r="G127" s="35" t="s">
        <v>142</v>
      </c>
      <c r="H127" s="37" t="s">
        <v>143</v>
      </c>
      <c r="I127" s="35"/>
      <c r="J127" s="37" t="s">
        <v>54</v>
      </c>
      <c r="K127" s="35" t="s">
        <v>144</v>
      </c>
      <c r="L127" s="37" t="s">
        <v>145</v>
      </c>
      <c r="M127" s="37" t="s">
        <v>83</v>
      </c>
      <c r="N127" s="35" t="s">
        <v>171</v>
      </c>
      <c r="O127" s="35" t="s">
        <v>172</v>
      </c>
      <c r="P127" s="37">
        <v>15</v>
      </c>
      <c r="Q127" s="37" t="e">
        <f>VLOOKUP(D127,#REF!,9,FALSE)</f>
        <v>#REF!</v>
      </c>
      <c r="R127" s="37" t="s">
        <v>149</v>
      </c>
      <c r="S127" s="35" t="s">
        <v>183</v>
      </c>
      <c r="T127" s="37">
        <v>340</v>
      </c>
      <c r="U127" s="37">
        <v>340</v>
      </c>
      <c r="V127" s="37">
        <v>110</v>
      </c>
      <c r="W127" s="38">
        <f t="shared" si="17"/>
        <v>12716000</v>
      </c>
      <c r="X127" s="38"/>
      <c r="Y127" s="36">
        <v>0.36</v>
      </c>
      <c r="Z127" s="36">
        <v>1</v>
      </c>
      <c r="AA127" s="39">
        <v>6.3999999999999995</v>
      </c>
      <c r="AB127" s="37">
        <v>1000</v>
      </c>
      <c r="AC127" s="35">
        <v>1000</v>
      </c>
      <c r="AD127" s="36">
        <v>130</v>
      </c>
      <c r="AE127" s="35">
        <f t="shared" si="22"/>
        <v>130000000</v>
      </c>
      <c r="AF127" s="37">
        <v>13</v>
      </c>
      <c r="AG127" s="37">
        <v>9</v>
      </c>
      <c r="AH127" s="37">
        <v>7</v>
      </c>
      <c r="AI127" s="37" t="s">
        <v>151</v>
      </c>
      <c r="AJ127" s="40">
        <f t="shared" si="18"/>
        <v>1000</v>
      </c>
      <c r="AK127" s="40">
        <f t="shared" si="18"/>
        <v>1000</v>
      </c>
      <c r="AL127" s="40">
        <f t="shared" si="19"/>
        <v>900</v>
      </c>
      <c r="AM127" s="26">
        <f t="shared" si="16"/>
        <v>900000000</v>
      </c>
      <c r="AN127" s="37" t="s">
        <v>152</v>
      </c>
      <c r="AO127" s="37" t="s">
        <v>153</v>
      </c>
      <c r="AP127" s="35"/>
      <c r="AQ127" s="35"/>
      <c r="AR127" s="37"/>
      <c r="AS127" s="35"/>
      <c r="AT127" s="37">
        <v>101</v>
      </c>
      <c r="AU127" s="41">
        <f t="shared" si="14"/>
        <v>1284316000</v>
      </c>
      <c r="AV127" s="42">
        <f t="shared" si="15"/>
        <v>646.4</v>
      </c>
      <c r="AW127" s="36" t="s">
        <v>173</v>
      </c>
    </row>
    <row r="128" spans="1:49" hidden="1" x14ac:dyDescent="0.2">
      <c r="A128" s="35" t="s">
        <v>140</v>
      </c>
      <c r="B128" s="35" t="s">
        <v>141</v>
      </c>
      <c r="C128" s="67" t="s">
        <v>438</v>
      </c>
      <c r="D128" s="37"/>
      <c r="E128" s="35"/>
      <c r="F128" s="37"/>
      <c r="G128" s="35" t="s">
        <v>142</v>
      </c>
      <c r="H128" s="37" t="s">
        <v>143</v>
      </c>
      <c r="I128" s="35"/>
      <c r="J128" s="37" t="s">
        <v>54</v>
      </c>
      <c r="K128" s="35" t="s">
        <v>144</v>
      </c>
      <c r="L128" s="37" t="s">
        <v>145</v>
      </c>
      <c r="M128" s="37" t="s">
        <v>83</v>
      </c>
      <c r="N128" s="35" t="s">
        <v>171</v>
      </c>
      <c r="O128" s="35" t="s">
        <v>172</v>
      </c>
      <c r="P128" s="37">
        <v>15</v>
      </c>
      <c r="Q128" s="37" t="e">
        <f>VLOOKUP(D128,#REF!,9,FALSE)</f>
        <v>#REF!</v>
      </c>
      <c r="R128" s="37" t="s">
        <v>149</v>
      </c>
      <c r="S128" s="35" t="s">
        <v>183</v>
      </c>
      <c r="T128" s="37">
        <v>340</v>
      </c>
      <c r="U128" s="37">
        <v>340</v>
      </c>
      <c r="V128" s="37">
        <v>110</v>
      </c>
      <c r="W128" s="38">
        <f t="shared" si="17"/>
        <v>12716000</v>
      </c>
      <c r="X128" s="38"/>
      <c r="Y128" s="36">
        <v>0.5</v>
      </c>
      <c r="Z128" s="36">
        <v>1</v>
      </c>
      <c r="AA128" s="39">
        <v>8.5</v>
      </c>
      <c r="AB128" s="37">
        <v>1000</v>
      </c>
      <c r="AC128" s="35">
        <v>1000</v>
      </c>
      <c r="AD128" s="36">
        <v>130</v>
      </c>
      <c r="AE128" s="35">
        <f t="shared" si="22"/>
        <v>130000000</v>
      </c>
      <c r="AF128" s="37">
        <v>13</v>
      </c>
      <c r="AG128" s="37">
        <v>9</v>
      </c>
      <c r="AH128" s="37">
        <v>7</v>
      </c>
      <c r="AI128" s="37" t="s">
        <v>151</v>
      </c>
      <c r="AJ128" s="40">
        <f t="shared" si="18"/>
        <v>1000</v>
      </c>
      <c r="AK128" s="40">
        <f t="shared" si="18"/>
        <v>1000</v>
      </c>
      <c r="AL128" s="40">
        <f t="shared" si="19"/>
        <v>900</v>
      </c>
      <c r="AM128" s="26">
        <f t="shared" si="16"/>
        <v>900000000</v>
      </c>
      <c r="AN128" s="37" t="s">
        <v>152</v>
      </c>
      <c r="AO128" s="37" t="s">
        <v>153</v>
      </c>
      <c r="AP128" s="35"/>
      <c r="AQ128" s="35"/>
      <c r="AR128" s="37"/>
      <c r="AS128" s="35"/>
      <c r="AT128" s="37">
        <v>180</v>
      </c>
      <c r="AU128" s="41">
        <f t="shared" si="14"/>
        <v>2288880000</v>
      </c>
      <c r="AV128" s="42">
        <f t="shared" si="15"/>
        <v>1530</v>
      </c>
      <c r="AW128" s="36" t="s">
        <v>173</v>
      </c>
    </row>
    <row r="129" spans="1:49" hidden="1" x14ac:dyDescent="0.2">
      <c r="A129" s="35" t="s">
        <v>140</v>
      </c>
      <c r="B129" s="35" t="s">
        <v>141</v>
      </c>
      <c r="C129" s="67" t="s">
        <v>439</v>
      </c>
      <c r="D129" s="37"/>
      <c r="E129" s="35"/>
      <c r="F129" s="37"/>
      <c r="G129" s="35" t="s">
        <v>142</v>
      </c>
      <c r="H129" s="37" t="s">
        <v>143</v>
      </c>
      <c r="I129" s="35"/>
      <c r="J129" s="37" t="s">
        <v>54</v>
      </c>
      <c r="K129" s="35" t="s">
        <v>144</v>
      </c>
      <c r="L129" s="37" t="s">
        <v>145</v>
      </c>
      <c r="M129" s="37" t="s">
        <v>75</v>
      </c>
      <c r="N129" s="35" t="s">
        <v>147</v>
      </c>
      <c r="O129" s="35" t="s">
        <v>148</v>
      </c>
      <c r="P129" s="37">
        <v>15</v>
      </c>
      <c r="Q129" s="37" t="e">
        <f>VLOOKUP(D129,#REF!,9,FALSE)</f>
        <v>#REF!</v>
      </c>
      <c r="R129" s="37" t="s">
        <v>149</v>
      </c>
      <c r="S129" s="35" t="s">
        <v>183</v>
      </c>
      <c r="T129" s="37">
        <v>340</v>
      </c>
      <c r="U129" s="37">
        <v>340</v>
      </c>
      <c r="V129" s="37">
        <v>110</v>
      </c>
      <c r="W129" s="38">
        <f t="shared" si="17"/>
        <v>12716000</v>
      </c>
      <c r="X129" s="38"/>
      <c r="Y129" s="36">
        <v>0.5</v>
      </c>
      <c r="Z129" s="36">
        <v>1</v>
      </c>
      <c r="AA129" s="39">
        <v>8.5</v>
      </c>
      <c r="AB129" s="37">
        <v>1000</v>
      </c>
      <c r="AC129" s="35">
        <v>1000</v>
      </c>
      <c r="AD129" s="36">
        <v>130</v>
      </c>
      <c r="AE129" s="35">
        <f t="shared" si="22"/>
        <v>130000000</v>
      </c>
      <c r="AF129" s="37">
        <v>13</v>
      </c>
      <c r="AG129" s="37">
        <v>9</v>
      </c>
      <c r="AH129" s="37">
        <v>7</v>
      </c>
      <c r="AI129" s="37" t="s">
        <v>151</v>
      </c>
      <c r="AJ129" s="40">
        <f t="shared" si="18"/>
        <v>1000</v>
      </c>
      <c r="AK129" s="40">
        <f t="shared" si="18"/>
        <v>1000</v>
      </c>
      <c r="AL129" s="40">
        <f t="shared" si="19"/>
        <v>900</v>
      </c>
      <c r="AM129" s="26">
        <f t="shared" si="16"/>
        <v>900000000</v>
      </c>
      <c r="AN129" s="37" t="s">
        <v>152</v>
      </c>
      <c r="AO129" s="37" t="s">
        <v>153</v>
      </c>
      <c r="AP129" s="35"/>
      <c r="AQ129" s="35"/>
      <c r="AR129" s="37"/>
      <c r="AS129" s="35"/>
      <c r="AT129" s="37">
        <v>53</v>
      </c>
      <c r="AU129" s="41">
        <f t="shared" si="14"/>
        <v>673948000</v>
      </c>
      <c r="AV129" s="42">
        <f t="shared" si="15"/>
        <v>450.5</v>
      </c>
      <c r="AW129" s="36" t="s">
        <v>154</v>
      </c>
    </row>
    <row r="130" spans="1:49" hidden="1" x14ac:dyDescent="0.2">
      <c r="A130" s="35" t="s">
        <v>140</v>
      </c>
      <c r="B130" s="35" t="s">
        <v>141</v>
      </c>
      <c r="C130" s="37" t="s">
        <v>439</v>
      </c>
      <c r="D130" s="37"/>
      <c r="E130" s="35"/>
      <c r="F130" s="37"/>
      <c r="G130" s="35" t="s">
        <v>142</v>
      </c>
      <c r="H130" s="37" t="s">
        <v>143</v>
      </c>
      <c r="I130" s="35"/>
      <c r="J130" s="37" t="s">
        <v>54</v>
      </c>
      <c r="K130" s="35" t="s">
        <v>144</v>
      </c>
      <c r="L130" s="37" t="s">
        <v>145</v>
      </c>
      <c r="M130" s="37" t="s">
        <v>59</v>
      </c>
      <c r="N130" s="35" t="s">
        <v>166</v>
      </c>
      <c r="O130" s="35" t="s">
        <v>163</v>
      </c>
      <c r="P130" s="37">
        <v>15</v>
      </c>
      <c r="Q130" s="37" t="e">
        <f>VLOOKUP(D130,#REF!,9,FALSE)</f>
        <v>#REF!</v>
      </c>
      <c r="R130" s="37" t="s">
        <v>149</v>
      </c>
      <c r="S130" s="35" t="s">
        <v>183</v>
      </c>
      <c r="T130" s="37">
        <v>340</v>
      </c>
      <c r="U130" s="37">
        <v>340</v>
      </c>
      <c r="V130" s="37">
        <v>110</v>
      </c>
      <c r="W130" s="38">
        <f t="shared" si="17"/>
        <v>12716000</v>
      </c>
      <c r="X130" s="38"/>
      <c r="Y130" s="36">
        <v>0.4</v>
      </c>
      <c r="Z130" s="36">
        <v>1</v>
      </c>
      <c r="AA130" s="39">
        <v>7</v>
      </c>
      <c r="AB130" s="37">
        <v>1000</v>
      </c>
      <c r="AC130" s="35">
        <v>1000</v>
      </c>
      <c r="AD130" s="36">
        <v>130</v>
      </c>
      <c r="AE130" s="35">
        <f t="shared" si="22"/>
        <v>130000000</v>
      </c>
      <c r="AF130" s="37">
        <v>13</v>
      </c>
      <c r="AG130" s="37">
        <v>8</v>
      </c>
      <c r="AH130" s="37">
        <v>7</v>
      </c>
      <c r="AI130" s="37" t="s">
        <v>151</v>
      </c>
      <c r="AJ130" s="40">
        <f t="shared" si="18"/>
        <v>1000</v>
      </c>
      <c r="AK130" s="40">
        <f t="shared" si="18"/>
        <v>1000</v>
      </c>
      <c r="AL130" s="40">
        <f t="shared" si="19"/>
        <v>900</v>
      </c>
      <c r="AM130" s="26">
        <f t="shared" si="16"/>
        <v>900000000</v>
      </c>
      <c r="AN130" s="37" t="s">
        <v>152</v>
      </c>
      <c r="AO130" s="37" t="s">
        <v>153</v>
      </c>
      <c r="AP130" s="35"/>
      <c r="AQ130" s="35"/>
      <c r="AR130" s="37"/>
      <c r="AS130" s="35"/>
      <c r="AT130" s="37">
        <v>60</v>
      </c>
      <c r="AU130" s="41">
        <f t="shared" si="14"/>
        <v>762960000</v>
      </c>
      <c r="AV130" s="42">
        <f t="shared" si="15"/>
        <v>420</v>
      </c>
      <c r="AW130" s="36" t="s">
        <v>164</v>
      </c>
    </row>
    <row r="131" spans="1:49" hidden="1" x14ac:dyDescent="0.2">
      <c r="A131" s="35" t="s">
        <v>140</v>
      </c>
      <c r="B131" s="35" t="s">
        <v>141</v>
      </c>
      <c r="C131" s="67" t="s">
        <v>440</v>
      </c>
      <c r="D131" s="37"/>
      <c r="E131" s="35"/>
      <c r="F131" s="37"/>
      <c r="G131" s="35" t="s">
        <v>142</v>
      </c>
      <c r="H131" s="37" t="s">
        <v>143</v>
      </c>
      <c r="I131" s="35"/>
      <c r="J131" s="37" t="s">
        <v>54</v>
      </c>
      <c r="K131" s="35" t="s">
        <v>144</v>
      </c>
      <c r="L131" s="37" t="s">
        <v>145</v>
      </c>
      <c r="M131" s="37" t="s">
        <v>75</v>
      </c>
      <c r="N131" s="35" t="s">
        <v>147</v>
      </c>
      <c r="O131" s="35" t="s">
        <v>148</v>
      </c>
      <c r="P131" s="37">
        <v>15</v>
      </c>
      <c r="Q131" s="37" t="e">
        <f>VLOOKUP(D131,#REF!,9,FALSE)</f>
        <v>#REF!</v>
      </c>
      <c r="R131" s="37" t="s">
        <v>149</v>
      </c>
      <c r="S131" s="35" t="s">
        <v>183</v>
      </c>
      <c r="T131" s="37">
        <v>340</v>
      </c>
      <c r="U131" s="37">
        <v>340</v>
      </c>
      <c r="V131" s="37">
        <v>110</v>
      </c>
      <c r="W131" s="38">
        <f t="shared" si="17"/>
        <v>12716000</v>
      </c>
      <c r="X131" s="38"/>
      <c r="Y131" s="36">
        <v>0.5</v>
      </c>
      <c r="Z131" s="36">
        <v>1</v>
      </c>
      <c r="AA131" s="39">
        <v>8.5</v>
      </c>
      <c r="AB131" s="37">
        <v>1000</v>
      </c>
      <c r="AC131" s="35">
        <v>1000</v>
      </c>
      <c r="AD131" s="36">
        <v>130</v>
      </c>
      <c r="AE131" s="35">
        <f t="shared" si="22"/>
        <v>130000000</v>
      </c>
      <c r="AF131" s="37">
        <v>13</v>
      </c>
      <c r="AG131" s="37">
        <v>8</v>
      </c>
      <c r="AH131" s="37">
        <v>7</v>
      </c>
      <c r="AI131" s="37" t="s">
        <v>151</v>
      </c>
      <c r="AJ131" s="40">
        <f t="shared" si="18"/>
        <v>1000</v>
      </c>
      <c r="AK131" s="40">
        <f t="shared" si="18"/>
        <v>1000</v>
      </c>
      <c r="AL131" s="40">
        <f t="shared" si="19"/>
        <v>900</v>
      </c>
      <c r="AM131" s="26">
        <f t="shared" si="16"/>
        <v>900000000</v>
      </c>
      <c r="AN131" s="37" t="s">
        <v>152</v>
      </c>
      <c r="AO131" s="37" t="s">
        <v>153</v>
      </c>
      <c r="AP131" s="35"/>
      <c r="AQ131" s="35"/>
      <c r="AR131" s="37"/>
      <c r="AS131" s="35"/>
      <c r="AT131" s="37">
        <v>33</v>
      </c>
      <c r="AU131" s="41">
        <f t="shared" si="14"/>
        <v>419628000</v>
      </c>
      <c r="AV131" s="42">
        <f t="shared" si="15"/>
        <v>280.5</v>
      </c>
      <c r="AW131" s="36" t="s">
        <v>154</v>
      </c>
    </row>
    <row r="132" spans="1:49" hidden="1" x14ac:dyDescent="0.2">
      <c r="A132" s="35" t="s">
        <v>140</v>
      </c>
      <c r="B132" s="35" t="s">
        <v>141</v>
      </c>
      <c r="C132" s="37" t="s">
        <v>440</v>
      </c>
      <c r="D132" s="37"/>
      <c r="E132" s="35"/>
      <c r="F132" s="37"/>
      <c r="G132" s="35" t="s">
        <v>142</v>
      </c>
      <c r="H132" s="37" t="s">
        <v>143</v>
      </c>
      <c r="I132" s="35"/>
      <c r="J132" s="37" t="s">
        <v>54</v>
      </c>
      <c r="K132" s="35" t="s">
        <v>144</v>
      </c>
      <c r="L132" s="37" t="s">
        <v>145</v>
      </c>
      <c r="M132" s="37" t="s">
        <v>59</v>
      </c>
      <c r="N132" s="35" t="s">
        <v>166</v>
      </c>
      <c r="O132" s="35" t="s">
        <v>163</v>
      </c>
      <c r="P132" s="37">
        <v>15</v>
      </c>
      <c r="Q132" s="37" t="e">
        <f>VLOOKUP(D132,#REF!,9,FALSE)</f>
        <v>#REF!</v>
      </c>
      <c r="R132" s="37" t="s">
        <v>149</v>
      </c>
      <c r="S132" s="35" t="s">
        <v>183</v>
      </c>
      <c r="T132" s="37">
        <v>340</v>
      </c>
      <c r="U132" s="37">
        <v>340</v>
      </c>
      <c r="V132" s="37">
        <v>110</v>
      </c>
      <c r="W132" s="38">
        <f t="shared" si="17"/>
        <v>12716000</v>
      </c>
      <c r="X132" s="38"/>
      <c r="Y132" s="36">
        <v>0.4</v>
      </c>
      <c r="Z132" s="36">
        <v>1</v>
      </c>
      <c r="AA132" s="39">
        <v>7</v>
      </c>
      <c r="AB132" s="37">
        <v>1000</v>
      </c>
      <c r="AC132" s="35">
        <v>1000</v>
      </c>
      <c r="AD132" s="36">
        <v>130</v>
      </c>
      <c r="AE132" s="35">
        <f t="shared" si="22"/>
        <v>130000000</v>
      </c>
      <c r="AF132" s="37">
        <v>13</v>
      </c>
      <c r="AG132" s="37">
        <v>9</v>
      </c>
      <c r="AH132" s="37">
        <v>7</v>
      </c>
      <c r="AI132" s="37" t="s">
        <v>151</v>
      </c>
      <c r="AJ132" s="40">
        <f t="shared" si="18"/>
        <v>1000</v>
      </c>
      <c r="AK132" s="40">
        <f t="shared" si="18"/>
        <v>1000</v>
      </c>
      <c r="AL132" s="40">
        <f t="shared" si="19"/>
        <v>900</v>
      </c>
      <c r="AM132" s="26">
        <f t="shared" si="16"/>
        <v>900000000</v>
      </c>
      <c r="AN132" s="37" t="s">
        <v>152</v>
      </c>
      <c r="AO132" s="37" t="s">
        <v>153</v>
      </c>
      <c r="AP132" s="35"/>
      <c r="AQ132" s="35"/>
      <c r="AR132" s="37"/>
      <c r="AS132" s="35"/>
      <c r="AT132" s="37">
        <v>13</v>
      </c>
      <c r="AU132" s="41">
        <f t="shared" si="14"/>
        <v>165308000</v>
      </c>
      <c r="AV132" s="42">
        <f t="shared" si="15"/>
        <v>91</v>
      </c>
      <c r="AW132" s="36" t="s">
        <v>164</v>
      </c>
    </row>
    <row r="133" spans="1:49" hidden="1" x14ac:dyDescent="0.2">
      <c r="A133" s="35" t="s">
        <v>140</v>
      </c>
      <c r="B133" s="35" t="s">
        <v>141</v>
      </c>
      <c r="C133" s="67" t="s">
        <v>441</v>
      </c>
      <c r="D133" s="37"/>
      <c r="E133" s="35"/>
      <c r="F133" s="37"/>
      <c r="G133" s="35" t="s">
        <v>142</v>
      </c>
      <c r="H133" s="37" t="s">
        <v>143</v>
      </c>
      <c r="I133" s="35"/>
      <c r="J133" s="37" t="s">
        <v>54</v>
      </c>
      <c r="K133" s="35" t="s">
        <v>144</v>
      </c>
      <c r="L133" s="37" t="s">
        <v>145</v>
      </c>
      <c r="M133" s="37" t="s">
        <v>75</v>
      </c>
      <c r="N133" s="35" t="s">
        <v>147</v>
      </c>
      <c r="O133" s="35" t="s">
        <v>148</v>
      </c>
      <c r="P133" s="37">
        <v>15</v>
      </c>
      <c r="Q133" s="37" t="e">
        <f>VLOOKUP(D133,#REF!,9,FALSE)</f>
        <v>#REF!</v>
      </c>
      <c r="R133" s="37" t="s">
        <v>149</v>
      </c>
      <c r="S133" s="35" t="s">
        <v>183</v>
      </c>
      <c r="T133" s="37">
        <v>340</v>
      </c>
      <c r="U133" s="37">
        <v>340</v>
      </c>
      <c r="V133" s="37">
        <v>110</v>
      </c>
      <c r="W133" s="38">
        <f t="shared" si="17"/>
        <v>12716000</v>
      </c>
      <c r="X133" s="38"/>
      <c r="Y133" s="36">
        <v>0.5</v>
      </c>
      <c r="Z133" s="36">
        <v>1</v>
      </c>
      <c r="AA133" s="39">
        <v>8.5</v>
      </c>
      <c r="AB133" s="37">
        <v>1000</v>
      </c>
      <c r="AC133" s="35">
        <v>1000</v>
      </c>
      <c r="AD133" s="36">
        <v>130</v>
      </c>
      <c r="AE133" s="35">
        <f t="shared" si="22"/>
        <v>130000000</v>
      </c>
      <c r="AF133" s="37">
        <v>13</v>
      </c>
      <c r="AG133" s="37">
        <v>9</v>
      </c>
      <c r="AH133" s="37">
        <v>7</v>
      </c>
      <c r="AI133" s="37" t="s">
        <v>151</v>
      </c>
      <c r="AJ133" s="40">
        <f t="shared" si="18"/>
        <v>1000</v>
      </c>
      <c r="AK133" s="40">
        <f t="shared" si="18"/>
        <v>1000</v>
      </c>
      <c r="AL133" s="40">
        <f t="shared" si="19"/>
        <v>900</v>
      </c>
      <c r="AM133" s="26">
        <f t="shared" si="16"/>
        <v>900000000</v>
      </c>
      <c r="AN133" s="37" t="s">
        <v>152</v>
      </c>
      <c r="AO133" s="37" t="s">
        <v>153</v>
      </c>
      <c r="AP133" s="35"/>
      <c r="AQ133" s="35"/>
      <c r="AR133" s="37"/>
      <c r="AS133" s="35"/>
      <c r="AT133" s="37">
        <v>146</v>
      </c>
      <c r="AU133" s="41">
        <f t="shared" ref="AU133:AU196" si="25">W133*AT133</f>
        <v>1856536000</v>
      </c>
      <c r="AV133" s="42">
        <f t="shared" ref="AV133:AV196" si="26">AA133*AT133</f>
        <v>1241</v>
      </c>
      <c r="AW133" s="36" t="s">
        <v>154</v>
      </c>
    </row>
    <row r="134" spans="1:49" hidden="1" x14ac:dyDescent="0.2">
      <c r="A134" s="35" t="s">
        <v>140</v>
      </c>
      <c r="B134" s="35" t="s">
        <v>141</v>
      </c>
      <c r="C134" s="37" t="s">
        <v>441</v>
      </c>
      <c r="D134" s="37"/>
      <c r="E134" s="35"/>
      <c r="F134" s="37"/>
      <c r="G134" s="35" t="s">
        <v>142</v>
      </c>
      <c r="H134" s="37" t="s">
        <v>143</v>
      </c>
      <c r="I134" s="35"/>
      <c r="J134" s="37" t="s">
        <v>54</v>
      </c>
      <c r="K134" s="35" t="s">
        <v>144</v>
      </c>
      <c r="L134" s="37" t="s">
        <v>145</v>
      </c>
      <c r="M134" s="37" t="s">
        <v>59</v>
      </c>
      <c r="N134" s="35" t="s">
        <v>166</v>
      </c>
      <c r="O134" s="35" t="s">
        <v>163</v>
      </c>
      <c r="P134" s="37">
        <v>15</v>
      </c>
      <c r="Q134" s="37" t="e">
        <f>VLOOKUP(D134,#REF!,9,FALSE)</f>
        <v>#REF!</v>
      </c>
      <c r="R134" s="37" t="s">
        <v>149</v>
      </c>
      <c r="S134" s="35" t="s">
        <v>183</v>
      </c>
      <c r="T134" s="37">
        <v>340</v>
      </c>
      <c r="U134" s="37">
        <v>340</v>
      </c>
      <c r="V134" s="37">
        <v>110</v>
      </c>
      <c r="W134" s="38">
        <f t="shared" si="17"/>
        <v>12716000</v>
      </c>
      <c r="X134" s="38"/>
      <c r="Y134" s="36">
        <v>0.4</v>
      </c>
      <c r="Z134" s="36">
        <v>1</v>
      </c>
      <c r="AA134" s="39">
        <v>7</v>
      </c>
      <c r="AB134" s="37">
        <v>1000</v>
      </c>
      <c r="AC134" s="35">
        <v>1000</v>
      </c>
      <c r="AD134" s="36">
        <v>130</v>
      </c>
      <c r="AE134" s="35">
        <f t="shared" si="22"/>
        <v>130000000</v>
      </c>
      <c r="AF134" s="37">
        <v>13</v>
      </c>
      <c r="AG134" s="37">
        <v>9</v>
      </c>
      <c r="AH134" s="37">
        <v>7</v>
      </c>
      <c r="AI134" s="37" t="s">
        <v>151</v>
      </c>
      <c r="AJ134" s="40">
        <f t="shared" ref="AJ134:AK197" si="27">AB134</f>
        <v>1000</v>
      </c>
      <c r="AK134" s="40">
        <f t="shared" si="27"/>
        <v>1000</v>
      </c>
      <c r="AL134" s="40">
        <f t="shared" si="19"/>
        <v>900</v>
      </c>
      <c r="AM134" s="26">
        <f t="shared" ref="AM134:AM197" si="28">AJ134*AK134*AL134</f>
        <v>900000000</v>
      </c>
      <c r="AN134" s="37" t="s">
        <v>152</v>
      </c>
      <c r="AO134" s="37" t="s">
        <v>153</v>
      </c>
      <c r="AP134" s="35"/>
      <c r="AQ134" s="35"/>
      <c r="AR134" s="37"/>
      <c r="AS134" s="35"/>
      <c r="AT134" s="37">
        <v>121</v>
      </c>
      <c r="AU134" s="41">
        <f t="shared" si="25"/>
        <v>1538636000</v>
      </c>
      <c r="AV134" s="42">
        <f t="shared" si="26"/>
        <v>847</v>
      </c>
      <c r="AW134" s="36" t="s">
        <v>164</v>
      </c>
    </row>
    <row r="135" spans="1:49" hidden="1" x14ac:dyDescent="0.2">
      <c r="A135" s="35" t="s">
        <v>140</v>
      </c>
      <c r="B135" s="35" t="s">
        <v>141</v>
      </c>
      <c r="C135" s="67" t="s">
        <v>442</v>
      </c>
      <c r="D135" s="37"/>
      <c r="E135" s="35"/>
      <c r="F135" s="37"/>
      <c r="G135" s="35" t="s">
        <v>142</v>
      </c>
      <c r="H135" s="37" t="s">
        <v>143</v>
      </c>
      <c r="I135" s="35"/>
      <c r="J135" s="37" t="s">
        <v>54</v>
      </c>
      <c r="K135" s="35" t="s">
        <v>144</v>
      </c>
      <c r="L135" s="37" t="s">
        <v>145</v>
      </c>
      <c r="M135" s="37" t="s">
        <v>146</v>
      </c>
      <c r="N135" s="35" t="s">
        <v>147</v>
      </c>
      <c r="O135" s="35" t="s">
        <v>148</v>
      </c>
      <c r="P135" s="37">
        <v>6</v>
      </c>
      <c r="Q135" s="37" t="e">
        <f>VLOOKUP(D135,#REF!,9,FALSE)</f>
        <v>#REF!</v>
      </c>
      <c r="R135" s="37" t="s">
        <v>149</v>
      </c>
      <c r="S135" s="35" t="s">
        <v>183</v>
      </c>
      <c r="T135" s="37">
        <v>340</v>
      </c>
      <c r="U135" s="37">
        <v>340</v>
      </c>
      <c r="V135" s="37">
        <v>110</v>
      </c>
      <c r="W135" s="38">
        <f t="shared" ref="W135:W198" si="29">T135*U135*V135</f>
        <v>12716000</v>
      </c>
      <c r="X135" s="38"/>
      <c r="Y135" s="36">
        <v>0.8</v>
      </c>
      <c r="Z135" s="36">
        <v>2</v>
      </c>
      <c r="AA135" s="39">
        <v>6.8000000000000007</v>
      </c>
      <c r="AB135" s="37">
        <v>1000</v>
      </c>
      <c r="AC135" s="35">
        <v>1000</v>
      </c>
      <c r="AD135" s="36">
        <v>130</v>
      </c>
      <c r="AE135" s="35">
        <f t="shared" si="22"/>
        <v>130000000</v>
      </c>
      <c r="AF135" s="37">
        <v>13</v>
      </c>
      <c r="AG135" s="37">
        <v>9</v>
      </c>
      <c r="AH135" s="37">
        <v>7</v>
      </c>
      <c r="AI135" s="37" t="s">
        <v>151</v>
      </c>
      <c r="AJ135" s="40">
        <f t="shared" si="27"/>
        <v>1000</v>
      </c>
      <c r="AK135" s="40">
        <f t="shared" si="27"/>
        <v>1000</v>
      </c>
      <c r="AL135" s="40">
        <f t="shared" si="19"/>
        <v>900</v>
      </c>
      <c r="AM135" s="26">
        <f t="shared" si="28"/>
        <v>900000000</v>
      </c>
      <c r="AN135" s="37" t="s">
        <v>152</v>
      </c>
      <c r="AO135" s="37" t="s">
        <v>153</v>
      </c>
      <c r="AP135" s="35"/>
      <c r="AQ135" s="35"/>
      <c r="AR135" s="37"/>
      <c r="AS135" s="35"/>
      <c r="AT135" s="37">
        <v>97</v>
      </c>
      <c r="AU135" s="41">
        <f t="shared" si="25"/>
        <v>1233452000</v>
      </c>
      <c r="AV135" s="42">
        <f t="shared" si="26"/>
        <v>659.6</v>
      </c>
      <c r="AW135" s="36" t="s">
        <v>154</v>
      </c>
    </row>
    <row r="136" spans="1:49" x14ac:dyDescent="0.2">
      <c r="A136" s="35" t="s">
        <v>140</v>
      </c>
      <c r="B136" s="35" t="s">
        <v>141</v>
      </c>
      <c r="C136" s="37" t="s">
        <v>334</v>
      </c>
      <c r="D136" s="37"/>
      <c r="E136" s="35"/>
      <c r="F136" s="37"/>
      <c r="G136" s="35" t="s">
        <v>142</v>
      </c>
      <c r="H136" s="37" t="s">
        <v>177</v>
      </c>
      <c r="I136" s="35"/>
      <c r="J136" s="37" t="s">
        <v>54</v>
      </c>
      <c r="K136" s="35" t="s">
        <v>178</v>
      </c>
      <c r="L136" s="37" t="s">
        <v>145</v>
      </c>
      <c r="M136" s="37" t="s">
        <v>13</v>
      </c>
      <c r="N136" s="35" t="s">
        <v>156</v>
      </c>
      <c r="O136" s="35" t="s">
        <v>156</v>
      </c>
      <c r="P136" s="37">
        <v>2</v>
      </c>
      <c r="Q136" s="37" t="e">
        <f>VLOOKUP(D136,#REF!,9,FALSE)</f>
        <v>#REF!</v>
      </c>
      <c r="R136" s="37" t="s">
        <v>149</v>
      </c>
      <c r="S136" s="35" t="s">
        <v>184</v>
      </c>
      <c r="T136" s="37">
        <v>340</v>
      </c>
      <c r="U136" s="37">
        <v>340</v>
      </c>
      <c r="V136" s="37">
        <v>250</v>
      </c>
      <c r="W136" s="38">
        <f>T136/1000*U136/1000*V136/1000</f>
        <v>2.8900000000000002E-2</v>
      </c>
      <c r="X136" s="38"/>
      <c r="Y136" s="36">
        <v>4</v>
      </c>
      <c r="Z136" s="36">
        <v>2</v>
      </c>
      <c r="AA136" s="39">
        <v>10</v>
      </c>
      <c r="AB136" s="37">
        <v>1000</v>
      </c>
      <c r="AC136" s="35">
        <v>1000</v>
      </c>
      <c r="AD136" s="36">
        <v>130</v>
      </c>
      <c r="AE136" s="35">
        <f t="shared" si="22"/>
        <v>130000000</v>
      </c>
      <c r="AF136" s="37">
        <v>13</v>
      </c>
      <c r="AG136" s="37">
        <v>9</v>
      </c>
      <c r="AH136" s="37">
        <v>4</v>
      </c>
      <c r="AI136" s="37" t="s">
        <v>151</v>
      </c>
      <c r="AJ136" s="40">
        <f t="shared" si="27"/>
        <v>1000</v>
      </c>
      <c r="AK136" s="40">
        <f t="shared" si="27"/>
        <v>1000</v>
      </c>
      <c r="AL136" s="40">
        <f t="shared" ref="AL136:AL199" si="30">(V136*AH136)+AD136</f>
        <v>1130</v>
      </c>
      <c r="AM136" s="26">
        <f t="shared" si="28"/>
        <v>1130000000</v>
      </c>
      <c r="AN136" s="37" t="s">
        <v>152</v>
      </c>
      <c r="AO136" s="37" t="s">
        <v>153</v>
      </c>
      <c r="AP136" s="35"/>
      <c r="AQ136" s="35"/>
      <c r="AR136" s="37"/>
      <c r="AS136" s="35"/>
      <c r="AT136" s="37">
        <v>57</v>
      </c>
      <c r="AU136" s="41">
        <f t="shared" si="25"/>
        <v>1.6473000000000002</v>
      </c>
      <c r="AV136" s="42">
        <f t="shared" si="26"/>
        <v>570</v>
      </c>
      <c r="AW136" s="36" t="s">
        <v>158</v>
      </c>
    </row>
    <row r="137" spans="1:49" hidden="1" x14ac:dyDescent="0.2">
      <c r="A137" s="35" t="s">
        <v>140</v>
      </c>
      <c r="B137" s="35" t="s">
        <v>141</v>
      </c>
      <c r="C137" s="67" t="s">
        <v>443</v>
      </c>
      <c r="D137" s="37"/>
      <c r="E137" s="35"/>
      <c r="F137" s="37"/>
      <c r="G137" s="35" t="s">
        <v>142</v>
      </c>
      <c r="H137" s="37" t="s">
        <v>143</v>
      </c>
      <c r="I137" s="35"/>
      <c r="J137" s="37" t="s">
        <v>54</v>
      </c>
      <c r="K137" s="35" t="s">
        <v>144</v>
      </c>
      <c r="L137" s="37" t="s">
        <v>145</v>
      </c>
      <c r="M137" s="37" t="s">
        <v>146</v>
      </c>
      <c r="N137" s="35" t="s">
        <v>147</v>
      </c>
      <c r="O137" s="35" t="s">
        <v>148</v>
      </c>
      <c r="P137" s="37">
        <v>2</v>
      </c>
      <c r="Q137" s="37" t="e">
        <f>VLOOKUP(D137,#REF!,9,FALSE)</f>
        <v>#REF!</v>
      </c>
      <c r="R137" s="37" t="s">
        <v>149</v>
      </c>
      <c r="S137" s="35" t="s">
        <v>184</v>
      </c>
      <c r="T137" s="37">
        <v>340</v>
      </c>
      <c r="U137" s="37">
        <v>340</v>
      </c>
      <c r="V137" s="37">
        <v>250</v>
      </c>
      <c r="W137" s="38">
        <f t="shared" si="29"/>
        <v>28900000</v>
      </c>
      <c r="X137" s="38"/>
      <c r="Y137" s="36">
        <v>2</v>
      </c>
      <c r="Z137" s="36">
        <v>2</v>
      </c>
      <c r="AA137" s="39">
        <v>6</v>
      </c>
      <c r="AB137" s="37">
        <v>1000</v>
      </c>
      <c r="AC137" s="35">
        <v>1000</v>
      </c>
      <c r="AD137" s="36">
        <v>130</v>
      </c>
      <c r="AE137" s="35">
        <f t="shared" si="22"/>
        <v>130000000</v>
      </c>
      <c r="AF137" s="37">
        <v>13</v>
      </c>
      <c r="AG137" s="37">
        <v>9</v>
      </c>
      <c r="AH137" s="37">
        <v>4</v>
      </c>
      <c r="AI137" s="37" t="s">
        <v>151</v>
      </c>
      <c r="AJ137" s="40">
        <f t="shared" si="27"/>
        <v>1000</v>
      </c>
      <c r="AK137" s="40">
        <f t="shared" si="27"/>
        <v>1000</v>
      </c>
      <c r="AL137" s="40">
        <f t="shared" si="30"/>
        <v>1130</v>
      </c>
      <c r="AM137" s="26">
        <f t="shared" si="28"/>
        <v>1130000000</v>
      </c>
      <c r="AN137" s="37" t="s">
        <v>152</v>
      </c>
      <c r="AO137" s="37" t="s">
        <v>153</v>
      </c>
      <c r="AP137" s="35"/>
      <c r="AQ137" s="35"/>
      <c r="AR137" s="37"/>
      <c r="AS137" s="35"/>
      <c r="AT137" s="37">
        <v>292</v>
      </c>
      <c r="AU137" s="41">
        <f t="shared" si="25"/>
        <v>8438800000</v>
      </c>
      <c r="AV137" s="42">
        <f t="shared" si="26"/>
        <v>1752</v>
      </c>
      <c r="AW137" s="36" t="s">
        <v>154</v>
      </c>
    </row>
    <row r="138" spans="1:49" hidden="1" x14ac:dyDescent="0.2">
      <c r="A138" s="35" t="s">
        <v>140</v>
      </c>
      <c r="B138" s="35" t="s">
        <v>141</v>
      </c>
      <c r="C138" s="37" t="s">
        <v>444</v>
      </c>
      <c r="D138" s="37"/>
      <c r="E138" s="35"/>
      <c r="F138" s="37"/>
      <c r="G138" s="35" t="s">
        <v>142</v>
      </c>
      <c r="H138" s="37" t="s">
        <v>143</v>
      </c>
      <c r="I138" s="35"/>
      <c r="J138" s="37" t="s">
        <v>54</v>
      </c>
      <c r="K138" s="35" t="s">
        <v>144</v>
      </c>
      <c r="L138" s="37" t="s">
        <v>145</v>
      </c>
      <c r="M138" s="37" t="s">
        <v>68</v>
      </c>
      <c r="N138" s="35" t="s">
        <v>147</v>
      </c>
      <c r="O138" s="35" t="s">
        <v>148</v>
      </c>
      <c r="P138" s="37">
        <v>4</v>
      </c>
      <c r="Q138" s="37" t="e">
        <f>VLOOKUP(D138,#REF!,9,FALSE)</f>
        <v>#REF!</v>
      </c>
      <c r="R138" s="37" t="s">
        <v>149</v>
      </c>
      <c r="S138" s="35" t="s">
        <v>179</v>
      </c>
      <c r="T138" s="37">
        <v>340</v>
      </c>
      <c r="U138" s="37">
        <v>340</v>
      </c>
      <c r="V138" s="37">
        <v>160</v>
      </c>
      <c r="W138" s="38">
        <f t="shared" si="29"/>
        <v>18496000</v>
      </c>
      <c r="X138" s="38"/>
      <c r="Y138" s="36">
        <v>1.22</v>
      </c>
      <c r="Z138" s="36">
        <v>1.32</v>
      </c>
      <c r="AA138" s="39">
        <v>6.2</v>
      </c>
      <c r="AB138" s="37">
        <v>1000</v>
      </c>
      <c r="AC138" s="35">
        <v>1000</v>
      </c>
      <c r="AD138" s="36">
        <v>130</v>
      </c>
      <c r="AE138" s="35">
        <f t="shared" si="22"/>
        <v>130000000</v>
      </c>
      <c r="AF138" s="37">
        <v>13</v>
      </c>
      <c r="AG138" s="37">
        <v>9</v>
      </c>
      <c r="AH138" s="37">
        <v>6</v>
      </c>
      <c r="AI138" s="37" t="s">
        <v>151</v>
      </c>
      <c r="AJ138" s="40">
        <f t="shared" si="27"/>
        <v>1000</v>
      </c>
      <c r="AK138" s="40">
        <f t="shared" si="27"/>
        <v>1000</v>
      </c>
      <c r="AL138" s="40">
        <f t="shared" si="30"/>
        <v>1090</v>
      </c>
      <c r="AM138" s="26">
        <f t="shared" si="28"/>
        <v>1090000000</v>
      </c>
      <c r="AN138" s="37" t="s">
        <v>152</v>
      </c>
      <c r="AO138" s="37" t="s">
        <v>153</v>
      </c>
      <c r="AP138" s="35"/>
      <c r="AQ138" s="35"/>
      <c r="AR138" s="37"/>
      <c r="AS138" s="35"/>
      <c r="AT138" s="37">
        <v>409</v>
      </c>
      <c r="AU138" s="41">
        <f t="shared" si="25"/>
        <v>7564864000</v>
      </c>
      <c r="AV138" s="42">
        <f t="shared" si="26"/>
        <v>2535.8000000000002</v>
      </c>
      <c r="AW138" s="36" t="s">
        <v>154</v>
      </c>
    </row>
    <row r="139" spans="1:49" hidden="1" x14ac:dyDescent="0.2">
      <c r="A139" s="35" t="s">
        <v>140</v>
      </c>
      <c r="B139" s="35" t="s">
        <v>141</v>
      </c>
      <c r="C139" s="37" t="s">
        <v>444</v>
      </c>
      <c r="D139" s="37"/>
      <c r="E139" s="35"/>
      <c r="F139" s="37"/>
      <c r="G139" s="35" t="s">
        <v>142</v>
      </c>
      <c r="H139" s="37" t="s">
        <v>143</v>
      </c>
      <c r="I139" s="35"/>
      <c r="J139" s="37" t="s">
        <v>54</v>
      </c>
      <c r="K139" s="35" t="s">
        <v>144</v>
      </c>
      <c r="L139" s="37" t="s">
        <v>145</v>
      </c>
      <c r="M139" s="37" t="s">
        <v>199</v>
      </c>
      <c r="N139" s="35" t="s">
        <v>200</v>
      </c>
      <c r="O139" s="35" t="s">
        <v>175</v>
      </c>
      <c r="P139" s="37">
        <v>4</v>
      </c>
      <c r="Q139" s="37" t="e">
        <f>VLOOKUP(D139,#REF!,9,FALSE)</f>
        <v>#REF!</v>
      </c>
      <c r="R139" s="37" t="s">
        <v>149</v>
      </c>
      <c r="S139" s="35" t="s">
        <v>179</v>
      </c>
      <c r="T139" s="37">
        <v>340</v>
      </c>
      <c r="U139" s="37">
        <v>340</v>
      </c>
      <c r="V139" s="37">
        <v>160</v>
      </c>
      <c r="W139" s="38">
        <f t="shared" si="29"/>
        <v>18496000</v>
      </c>
      <c r="X139" s="38"/>
      <c r="Y139" s="36">
        <v>1.22</v>
      </c>
      <c r="Z139" s="36">
        <v>1.32</v>
      </c>
      <c r="AA139" s="39">
        <v>6.2</v>
      </c>
      <c r="AB139" s="37">
        <v>1000</v>
      </c>
      <c r="AC139" s="35">
        <v>1000</v>
      </c>
      <c r="AD139" s="36">
        <v>130</v>
      </c>
      <c r="AE139" s="35">
        <f t="shared" si="22"/>
        <v>130000000</v>
      </c>
      <c r="AF139" s="37">
        <v>13</v>
      </c>
      <c r="AG139" s="37">
        <v>9</v>
      </c>
      <c r="AH139" s="37">
        <v>6</v>
      </c>
      <c r="AI139" s="37" t="s">
        <v>180</v>
      </c>
      <c r="AJ139" s="40">
        <f t="shared" si="27"/>
        <v>1000</v>
      </c>
      <c r="AK139" s="40">
        <f t="shared" si="27"/>
        <v>1000</v>
      </c>
      <c r="AL139" s="40">
        <f t="shared" si="30"/>
        <v>1090</v>
      </c>
      <c r="AM139" s="26">
        <f t="shared" si="28"/>
        <v>1090000000</v>
      </c>
      <c r="AN139" s="37" t="s">
        <v>152</v>
      </c>
      <c r="AO139" s="37" t="s">
        <v>153</v>
      </c>
      <c r="AP139" s="35"/>
      <c r="AQ139" s="35"/>
      <c r="AR139" s="37"/>
      <c r="AS139" s="35"/>
      <c r="AT139" s="37">
        <v>1458</v>
      </c>
      <c r="AU139" s="41">
        <f t="shared" si="25"/>
        <v>26967168000</v>
      </c>
      <c r="AV139" s="42">
        <f t="shared" si="26"/>
        <v>9039.6</v>
      </c>
      <c r="AW139" s="36" t="s">
        <v>176</v>
      </c>
    </row>
    <row r="140" spans="1:49" hidden="1" x14ac:dyDescent="0.2">
      <c r="A140" s="35" t="s">
        <v>140</v>
      </c>
      <c r="B140" s="35" t="s">
        <v>141</v>
      </c>
      <c r="C140" s="37" t="s">
        <v>444</v>
      </c>
      <c r="D140" s="37"/>
      <c r="E140" s="35"/>
      <c r="F140" s="37"/>
      <c r="G140" s="35" t="s">
        <v>142</v>
      </c>
      <c r="H140" s="37" t="s">
        <v>143</v>
      </c>
      <c r="I140" s="35"/>
      <c r="J140" s="37" t="s">
        <v>54</v>
      </c>
      <c r="K140" s="35" t="s">
        <v>144</v>
      </c>
      <c r="L140" s="37" t="s">
        <v>145</v>
      </c>
      <c r="M140" s="37" t="s">
        <v>199</v>
      </c>
      <c r="N140" s="35" t="s">
        <v>200</v>
      </c>
      <c r="O140" s="35" t="s">
        <v>175</v>
      </c>
      <c r="P140" s="37">
        <v>4</v>
      </c>
      <c r="Q140" s="37" t="e">
        <f>VLOOKUP(D140,#REF!,9,FALSE)</f>
        <v>#REF!</v>
      </c>
      <c r="R140" s="37" t="s">
        <v>149</v>
      </c>
      <c r="S140" s="35" t="s">
        <v>179</v>
      </c>
      <c r="T140" s="37">
        <v>340</v>
      </c>
      <c r="U140" s="37">
        <v>340</v>
      </c>
      <c r="V140" s="37">
        <v>160</v>
      </c>
      <c r="W140" s="38">
        <f t="shared" si="29"/>
        <v>18496000</v>
      </c>
      <c r="X140" s="38"/>
      <c r="Y140" s="36">
        <v>1.22</v>
      </c>
      <c r="Z140" s="36">
        <v>1.32</v>
      </c>
      <c r="AA140" s="39">
        <v>6.2</v>
      </c>
      <c r="AB140" s="37">
        <v>1000</v>
      </c>
      <c r="AC140" s="35">
        <v>1000</v>
      </c>
      <c r="AD140" s="36">
        <v>130</v>
      </c>
      <c r="AE140" s="35">
        <f t="shared" si="22"/>
        <v>130000000</v>
      </c>
      <c r="AF140" s="37">
        <v>13</v>
      </c>
      <c r="AG140" s="37">
        <v>9</v>
      </c>
      <c r="AH140" s="37">
        <v>6</v>
      </c>
      <c r="AI140" s="37" t="s">
        <v>180</v>
      </c>
      <c r="AJ140" s="40">
        <f t="shared" si="27"/>
        <v>1000</v>
      </c>
      <c r="AK140" s="40">
        <f t="shared" si="27"/>
        <v>1000</v>
      </c>
      <c r="AL140" s="40">
        <f t="shared" si="30"/>
        <v>1090</v>
      </c>
      <c r="AM140" s="26">
        <f t="shared" si="28"/>
        <v>1090000000</v>
      </c>
      <c r="AN140" s="37" t="s">
        <v>152</v>
      </c>
      <c r="AO140" s="37" t="s">
        <v>153</v>
      </c>
      <c r="AP140" s="35"/>
      <c r="AQ140" s="35"/>
      <c r="AR140" s="37"/>
      <c r="AS140" s="35"/>
      <c r="AT140" s="37">
        <v>324</v>
      </c>
      <c r="AU140" s="41">
        <f t="shared" si="25"/>
        <v>5992704000</v>
      </c>
      <c r="AV140" s="42">
        <f t="shared" si="26"/>
        <v>2008.8</v>
      </c>
      <c r="AW140" s="36" t="s">
        <v>176</v>
      </c>
    </row>
    <row r="141" spans="1:49" hidden="1" x14ac:dyDescent="0.2">
      <c r="A141" s="35" t="s">
        <v>140</v>
      </c>
      <c r="B141" s="35" t="s">
        <v>141</v>
      </c>
      <c r="C141" s="37" t="s">
        <v>445</v>
      </c>
      <c r="D141" s="37"/>
      <c r="E141" s="35"/>
      <c r="F141" s="37"/>
      <c r="G141" s="35" t="s">
        <v>142</v>
      </c>
      <c r="H141" s="37" t="s">
        <v>143</v>
      </c>
      <c r="I141" s="35"/>
      <c r="J141" s="37" t="s">
        <v>54</v>
      </c>
      <c r="K141" s="35" t="s">
        <v>144</v>
      </c>
      <c r="L141" s="37" t="s">
        <v>145</v>
      </c>
      <c r="M141" s="37" t="s">
        <v>199</v>
      </c>
      <c r="N141" s="35" t="s">
        <v>200</v>
      </c>
      <c r="O141" s="35" t="s">
        <v>175</v>
      </c>
      <c r="P141" s="37">
        <v>3</v>
      </c>
      <c r="Q141" s="37" t="e">
        <f>VLOOKUP(D141,#REF!,9,FALSE)</f>
        <v>#REF!</v>
      </c>
      <c r="R141" s="37" t="s">
        <v>149</v>
      </c>
      <c r="S141" s="35" t="s">
        <v>179</v>
      </c>
      <c r="T141" s="37">
        <v>340</v>
      </c>
      <c r="U141" s="37">
        <v>340</v>
      </c>
      <c r="V141" s="37">
        <v>160</v>
      </c>
      <c r="W141" s="38">
        <f t="shared" si="29"/>
        <v>18496000</v>
      </c>
      <c r="X141" s="38"/>
      <c r="Y141" s="36">
        <v>1.726</v>
      </c>
      <c r="Z141" s="36">
        <v>1.44</v>
      </c>
      <c r="AA141" s="39">
        <v>6.6180000000000003</v>
      </c>
      <c r="AB141" s="37">
        <v>1000</v>
      </c>
      <c r="AC141" s="35">
        <v>1000</v>
      </c>
      <c r="AD141" s="36">
        <v>130</v>
      </c>
      <c r="AE141" s="35">
        <f t="shared" si="22"/>
        <v>130000000</v>
      </c>
      <c r="AF141" s="37">
        <v>13</v>
      </c>
      <c r="AG141" s="37">
        <v>9</v>
      </c>
      <c r="AH141" s="37">
        <v>6</v>
      </c>
      <c r="AI141" s="37" t="s">
        <v>180</v>
      </c>
      <c r="AJ141" s="40">
        <f t="shared" si="27"/>
        <v>1000</v>
      </c>
      <c r="AK141" s="40">
        <f t="shared" si="27"/>
        <v>1000</v>
      </c>
      <c r="AL141" s="40">
        <f t="shared" si="30"/>
        <v>1090</v>
      </c>
      <c r="AM141" s="26">
        <f t="shared" si="28"/>
        <v>1090000000</v>
      </c>
      <c r="AN141" s="37" t="s">
        <v>152</v>
      </c>
      <c r="AO141" s="37" t="s">
        <v>153</v>
      </c>
      <c r="AP141" s="35"/>
      <c r="AQ141" s="35"/>
      <c r="AR141" s="37"/>
      <c r="AS141" s="35"/>
      <c r="AT141" s="37">
        <v>2376</v>
      </c>
      <c r="AU141" s="41">
        <f t="shared" si="25"/>
        <v>43946496000</v>
      </c>
      <c r="AV141" s="42">
        <f t="shared" si="26"/>
        <v>15724.368</v>
      </c>
      <c r="AW141" s="36" t="s">
        <v>176</v>
      </c>
    </row>
    <row r="142" spans="1:49" hidden="1" x14ac:dyDescent="0.2">
      <c r="A142" s="35" t="s">
        <v>140</v>
      </c>
      <c r="B142" s="35" t="s">
        <v>141</v>
      </c>
      <c r="C142" s="67" t="s">
        <v>446</v>
      </c>
      <c r="D142" s="37"/>
      <c r="E142" s="35"/>
      <c r="F142" s="37"/>
      <c r="G142" s="35" t="s">
        <v>142</v>
      </c>
      <c r="H142" s="37" t="s">
        <v>143</v>
      </c>
      <c r="I142" s="35"/>
      <c r="J142" s="37" t="s">
        <v>54</v>
      </c>
      <c r="K142" s="35" t="s">
        <v>144</v>
      </c>
      <c r="L142" s="37" t="s">
        <v>145</v>
      </c>
      <c r="M142" s="37" t="s">
        <v>199</v>
      </c>
      <c r="N142" s="35" t="s">
        <v>200</v>
      </c>
      <c r="O142" s="35" t="s">
        <v>175</v>
      </c>
      <c r="P142" s="37">
        <v>4</v>
      </c>
      <c r="Q142" s="37" t="e">
        <f>VLOOKUP(D142,#REF!,9,FALSE)</f>
        <v>#REF!</v>
      </c>
      <c r="R142" s="37" t="s">
        <v>149</v>
      </c>
      <c r="S142" s="35" t="s">
        <v>179</v>
      </c>
      <c r="T142" s="37">
        <v>340</v>
      </c>
      <c r="U142" s="37">
        <v>340</v>
      </c>
      <c r="V142" s="37">
        <v>160</v>
      </c>
      <c r="W142" s="38">
        <f t="shared" si="29"/>
        <v>18496000</v>
      </c>
      <c r="X142" s="38"/>
      <c r="Y142" s="36">
        <v>1.05</v>
      </c>
      <c r="Z142" s="36">
        <v>1.52</v>
      </c>
      <c r="AA142" s="39">
        <v>5.7200000000000006</v>
      </c>
      <c r="AB142" s="37">
        <v>1000</v>
      </c>
      <c r="AC142" s="35">
        <v>1000</v>
      </c>
      <c r="AD142" s="36">
        <v>130</v>
      </c>
      <c r="AE142" s="35">
        <f t="shared" si="22"/>
        <v>130000000</v>
      </c>
      <c r="AF142" s="37">
        <v>13</v>
      </c>
      <c r="AG142" s="37">
        <v>9</v>
      </c>
      <c r="AH142" s="37">
        <v>6</v>
      </c>
      <c r="AI142" s="37" t="s">
        <v>180</v>
      </c>
      <c r="AJ142" s="40">
        <f t="shared" si="27"/>
        <v>1000</v>
      </c>
      <c r="AK142" s="40">
        <f t="shared" si="27"/>
        <v>1000</v>
      </c>
      <c r="AL142" s="40">
        <f t="shared" si="30"/>
        <v>1090</v>
      </c>
      <c r="AM142" s="26">
        <f t="shared" si="28"/>
        <v>1090000000</v>
      </c>
      <c r="AN142" s="37" t="s">
        <v>152</v>
      </c>
      <c r="AO142" s="37" t="s">
        <v>153</v>
      </c>
      <c r="AP142" s="35"/>
      <c r="AQ142" s="35"/>
      <c r="AR142" s="37"/>
      <c r="AS142" s="35"/>
      <c r="AT142" s="37">
        <v>648</v>
      </c>
      <c r="AU142" s="41">
        <f t="shared" si="25"/>
        <v>11985408000</v>
      </c>
      <c r="AV142" s="42">
        <f t="shared" si="26"/>
        <v>3706.5600000000004</v>
      </c>
      <c r="AW142" s="36" t="s">
        <v>176</v>
      </c>
    </row>
    <row r="143" spans="1:49" x14ac:dyDescent="0.2">
      <c r="A143" s="35" t="s">
        <v>140</v>
      </c>
      <c r="B143" s="35" t="s">
        <v>141</v>
      </c>
      <c r="C143" s="37" t="s">
        <v>335</v>
      </c>
      <c r="D143" s="37"/>
      <c r="E143" s="35"/>
      <c r="F143" s="37"/>
      <c r="G143" s="35" t="s">
        <v>142</v>
      </c>
      <c r="H143" s="37" t="s">
        <v>177</v>
      </c>
      <c r="I143" s="35"/>
      <c r="J143" s="37" t="s">
        <v>54</v>
      </c>
      <c r="K143" s="35" t="s">
        <v>178</v>
      </c>
      <c r="L143" s="37" t="s">
        <v>145</v>
      </c>
      <c r="M143" s="37" t="s">
        <v>18</v>
      </c>
      <c r="N143" s="35" t="s">
        <v>156</v>
      </c>
      <c r="O143" s="35" t="s">
        <v>156</v>
      </c>
      <c r="P143" s="37">
        <v>15</v>
      </c>
      <c r="Q143" s="37" t="e">
        <f>VLOOKUP(D143,#REF!,9,FALSE)</f>
        <v>#REF!</v>
      </c>
      <c r="R143" s="37" t="s">
        <v>149</v>
      </c>
      <c r="S143" s="35" t="s">
        <v>181</v>
      </c>
      <c r="T143" s="37">
        <v>510</v>
      </c>
      <c r="U143" s="37">
        <v>340</v>
      </c>
      <c r="V143" s="37">
        <v>160</v>
      </c>
      <c r="W143" s="38">
        <f>T143/1000*U143/1000*V143/1000</f>
        <v>2.7744000000000001E-2</v>
      </c>
      <c r="X143" s="38"/>
      <c r="Y143" s="36">
        <v>0.7</v>
      </c>
      <c r="Z143" s="36">
        <v>2</v>
      </c>
      <c r="AA143" s="39">
        <v>12.5</v>
      </c>
      <c r="AB143" s="37">
        <v>1000</v>
      </c>
      <c r="AC143" s="35">
        <v>1000</v>
      </c>
      <c r="AD143" s="36">
        <v>130</v>
      </c>
      <c r="AE143" s="35">
        <f t="shared" si="22"/>
        <v>130000000</v>
      </c>
      <c r="AF143" s="37">
        <v>13</v>
      </c>
      <c r="AG143" s="37">
        <v>6</v>
      </c>
      <c r="AH143" s="37">
        <v>8</v>
      </c>
      <c r="AI143" s="37" t="s">
        <v>151</v>
      </c>
      <c r="AJ143" s="40">
        <f t="shared" si="27"/>
        <v>1000</v>
      </c>
      <c r="AK143" s="40">
        <f t="shared" si="27"/>
        <v>1000</v>
      </c>
      <c r="AL143" s="40">
        <f t="shared" si="30"/>
        <v>1410</v>
      </c>
      <c r="AM143" s="26">
        <f t="shared" si="28"/>
        <v>1410000000</v>
      </c>
      <c r="AN143" s="37" t="s">
        <v>152</v>
      </c>
      <c r="AO143" s="37" t="s">
        <v>153</v>
      </c>
      <c r="AP143" s="35"/>
      <c r="AQ143" s="35"/>
      <c r="AR143" s="37"/>
      <c r="AS143" s="35"/>
      <c r="AT143" s="37">
        <v>313</v>
      </c>
      <c r="AU143" s="41">
        <f t="shared" si="25"/>
        <v>8.6838720000000009</v>
      </c>
      <c r="AV143" s="42">
        <f t="shared" si="26"/>
        <v>3912.5</v>
      </c>
      <c r="AW143" s="36" t="s">
        <v>158</v>
      </c>
    </row>
    <row r="144" spans="1:49" hidden="1" x14ac:dyDescent="0.2">
      <c r="A144" s="35" t="s">
        <v>140</v>
      </c>
      <c r="B144" s="35" t="s">
        <v>141</v>
      </c>
      <c r="C144" s="37" t="s">
        <v>447</v>
      </c>
      <c r="D144" s="37"/>
      <c r="E144" s="35"/>
      <c r="F144" s="37"/>
      <c r="G144" s="35" t="s">
        <v>142</v>
      </c>
      <c r="H144" s="37" t="s">
        <v>143</v>
      </c>
      <c r="I144" s="35"/>
      <c r="J144" s="37" t="s">
        <v>54</v>
      </c>
      <c r="K144" s="35" t="s">
        <v>144</v>
      </c>
      <c r="L144" s="37" t="s">
        <v>145</v>
      </c>
      <c r="M144" s="37" t="s">
        <v>201</v>
      </c>
      <c r="N144" s="35" t="s">
        <v>169</v>
      </c>
      <c r="O144" s="35" t="s">
        <v>169</v>
      </c>
      <c r="P144" s="37">
        <v>10</v>
      </c>
      <c r="Q144" s="37" t="e">
        <f>VLOOKUP(D144,#REF!,9,FALSE)</f>
        <v>#REF!</v>
      </c>
      <c r="R144" s="37" t="s">
        <v>149</v>
      </c>
      <c r="S144" s="35" t="s">
        <v>183</v>
      </c>
      <c r="T144" s="37">
        <v>340</v>
      </c>
      <c r="U144" s="37">
        <v>340</v>
      </c>
      <c r="V144" s="37">
        <v>110</v>
      </c>
      <c r="W144" s="38">
        <f t="shared" si="29"/>
        <v>12716000</v>
      </c>
      <c r="X144" s="38"/>
      <c r="Y144" s="36">
        <v>0.5</v>
      </c>
      <c r="Z144" s="36">
        <v>1.4</v>
      </c>
      <c r="AA144" s="39">
        <v>6.4</v>
      </c>
      <c r="AB144" s="37">
        <v>1000</v>
      </c>
      <c r="AC144" s="35">
        <v>1000</v>
      </c>
      <c r="AD144" s="36">
        <v>130</v>
      </c>
      <c r="AE144" s="35">
        <f t="shared" si="22"/>
        <v>130000000</v>
      </c>
      <c r="AF144" s="37">
        <v>13</v>
      </c>
      <c r="AG144" s="37">
        <v>9</v>
      </c>
      <c r="AH144" s="37">
        <v>6</v>
      </c>
      <c r="AI144" s="37" t="s">
        <v>151</v>
      </c>
      <c r="AJ144" s="40">
        <f t="shared" si="27"/>
        <v>1000</v>
      </c>
      <c r="AK144" s="40">
        <f t="shared" si="27"/>
        <v>1000</v>
      </c>
      <c r="AL144" s="40">
        <f t="shared" si="30"/>
        <v>790</v>
      </c>
      <c r="AM144" s="26">
        <f t="shared" si="28"/>
        <v>790000000</v>
      </c>
      <c r="AN144" s="37" t="s">
        <v>152</v>
      </c>
      <c r="AO144" s="37" t="s">
        <v>153</v>
      </c>
      <c r="AP144" s="35"/>
      <c r="AQ144" s="35"/>
      <c r="AR144" s="37"/>
      <c r="AS144" s="35"/>
      <c r="AT144" s="37">
        <v>474</v>
      </c>
      <c r="AU144" s="41">
        <f t="shared" si="25"/>
        <v>6027384000</v>
      </c>
      <c r="AV144" s="42">
        <f t="shared" si="26"/>
        <v>3033.6000000000004</v>
      </c>
      <c r="AW144" s="36" t="s">
        <v>198</v>
      </c>
    </row>
    <row r="145" spans="1:50" hidden="1" x14ac:dyDescent="0.2">
      <c r="A145" s="35" t="s">
        <v>140</v>
      </c>
      <c r="B145" s="35" t="s">
        <v>141</v>
      </c>
      <c r="C145" s="37" t="s">
        <v>448</v>
      </c>
      <c r="D145" s="37"/>
      <c r="E145" s="35"/>
      <c r="F145" s="37"/>
      <c r="G145" s="35" t="s">
        <v>142</v>
      </c>
      <c r="H145" s="37" t="s">
        <v>143</v>
      </c>
      <c r="I145" s="35"/>
      <c r="J145" s="37" t="s">
        <v>54</v>
      </c>
      <c r="K145" s="35" t="s">
        <v>144</v>
      </c>
      <c r="L145" s="37" t="s">
        <v>145</v>
      </c>
      <c r="M145" s="37" t="s">
        <v>201</v>
      </c>
      <c r="N145" s="35" t="s">
        <v>169</v>
      </c>
      <c r="O145" s="35" t="s">
        <v>169</v>
      </c>
      <c r="P145" s="37">
        <v>10</v>
      </c>
      <c r="Q145" s="37" t="e">
        <f>VLOOKUP(D145,#REF!,9,FALSE)</f>
        <v>#REF!</v>
      </c>
      <c r="R145" s="37" t="s">
        <v>149</v>
      </c>
      <c r="S145" s="35" t="s">
        <v>202</v>
      </c>
      <c r="T145" s="37">
        <v>510</v>
      </c>
      <c r="U145" s="37">
        <v>340</v>
      </c>
      <c r="V145" s="37">
        <v>110</v>
      </c>
      <c r="W145" s="38">
        <f t="shared" si="29"/>
        <v>19074000</v>
      </c>
      <c r="X145" s="38"/>
      <c r="Y145" s="36">
        <v>1</v>
      </c>
      <c r="Z145" s="36">
        <v>2</v>
      </c>
      <c r="AA145" s="39">
        <v>12</v>
      </c>
      <c r="AB145" s="37">
        <v>1000</v>
      </c>
      <c r="AC145" s="35">
        <v>1000</v>
      </c>
      <c r="AD145" s="36">
        <v>130</v>
      </c>
      <c r="AE145" s="35">
        <f t="shared" si="22"/>
        <v>130000000</v>
      </c>
      <c r="AF145" s="37">
        <v>13</v>
      </c>
      <c r="AG145" s="37">
        <v>6</v>
      </c>
      <c r="AH145" s="37">
        <v>6</v>
      </c>
      <c r="AI145" s="37" t="s">
        <v>151</v>
      </c>
      <c r="AJ145" s="40">
        <f t="shared" si="27"/>
        <v>1000</v>
      </c>
      <c r="AK145" s="40">
        <f t="shared" si="27"/>
        <v>1000</v>
      </c>
      <c r="AL145" s="40">
        <f t="shared" si="30"/>
        <v>790</v>
      </c>
      <c r="AM145" s="26">
        <f t="shared" si="28"/>
        <v>790000000</v>
      </c>
      <c r="AN145" s="37" t="s">
        <v>152</v>
      </c>
      <c r="AO145" s="37" t="s">
        <v>153</v>
      </c>
      <c r="AP145" s="35"/>
      <c r="AQ145" s="35"/>
      <c r="AR145" s="37"/>
      <c r="AS145" s="35"/>
      <c r="AT145" s="37">
        <v>89</v>
      </c>
      <c r="AU145" s="41">
        <f t="shared" si="25"/>
        <v>1697586000</v>
      </c>
      <c r="AV145" s="42">
        <f t="shared" si="26"/>
        <v>1068</v>
      </c>
      <c r="AW145" s="36" t="s">
        <v>198</v>
      </c>
    </row>
    <row r="146" spans="1:50" hidden="1" x14ac:dyDescent="0.2">
      <c r="A146" s="35" t="s">
        <v>140</v>
      </c>
      <c r="B146" s="35" t="s">
        <v>141</v>
      </c>
      <c r="C146" s="67" t="s">
        <v>449</v>
      </c>
      <c r="D146" s="37"/>
      <c r="E146" s="35"/>
      <c r="F146" s="37"/>
      <c r="G146" s="35" t="s">
        <v>142</v>
      </c>
      <c r="H146" s="37" t="s">
        <v>143</v>
      </c>
      <c r="I146" s="35"/>
      <c r="J146" s="37" t="s">
        <v>54</v>
      </c>
      <c r="K146" s="35" t="s">
        <v>144</v>
      </c>
      <c r="L146" s="37" t="s">
        <v>145</v>
      </c>
      <c r="M146" s="37" t="s">
        <v>56</v>
      </c>
      <c r="N146" s="35" t="s">
        <v>147</v>
      </c>
      <c r="O146" s="35" t="s">
        <v>148</v>
      </c>
      <c r="P146" s="37">
        <v>10</v>
      </c>
      <c r="Q146" s="37" t="e">
        <f>VLOOKUP(D146,#REF!,9,FALSE)</f>
        <v>#REF!</v>
      </c>
      <c r="R146" s="37" t="s">
        <v>149</v>
      </c>
      <c r="S146" s="35" t="s">
        <v>202</v>
      </c>
      <c r="T146" s="37">
        <v>510</v>
      </c>
      <c r="U146" s="37">
        <v>340</v>
      </c>
      <c r="V146" s="37">
        <v>110</v>
      </c>
      <c r="W146" s="38">
        <f t="shared" si="29"/>
        <v>19074000</v>
      </c>
      <c r="X146" s="38"/>
      <c r="Y146" s="36">
        <v>1</v>
      </c>
      <c r="Z146" s="36">
        <v>2</v>
      </c>
      <c r="AA146" s="39">
        <v>12</v>
      </c>
      <c r="AB146" s="37">
        <v>1000</v>
      </c>
      <c r="AC146" s="35">
        <v>1000</v>
      </c>
      <c r="AD146" s="36">
        <v>130</v>
      </c>
      <c r="AE146" s="35">
        <f t="shared" si="22"/>
        <v>130000000</v>
      </c>
      <c r="AF146" s="37">
        <v>13</v>
      </c>
      <c r="AG146" s="37">
        <v>6</v>
      </c>
      <c r="AH146" s="37">
        <v>6</v>
      </c>
      <c r="AI146" s="37" t="s">
        <v>151</v>
      </c>
      <c r="AJ146" s="40">
        <f t="shared" si="27"/>
        <v>1000</v>
      </c>
      <c r="AK146" s="40">
        <f t="shared" si="27"/>
        <v>1000</v>
      </c>
      <c r="AL146" s="40">
        <f t="shared" si="30"/>
        <v>790</v>
      </c>
      <c r="AM146" s="26">
        <f t="shared" si="28"/>
        <v>790000000</v>
      </c>
      <c r="AN146" s="37" t="s">
        <v>152</v>
      </c>
      <c r="AO146" s="37" t="s">
        <v>153</v>
      </c>
      <c r="AP146" s="35"/>
      <c r="AQ146" s="35"/>
      <c r="AR146" s="37"/>
      <c r="AS146" s="35"/>
      <c r="AT146" s="37">
        <v>86</v>
      </c>
      <c r="AU146" s="41">
        <f t="shared" si="25"/>
        <v>1640364000</v>
      </c>
      <c r="AV146" s="42">
        <f t="shared" si="26"/>
        <v>1032</v>
      </c>
      <c r="AW146" s="36" t="s">
        <v>154</v>
      </c>
    </row>
    <row r="147" spans="1:50" hidden="1" x14ac:dyDescent="0.2">
      <c r="A147" s="35" t="s">
        <v>140</v>
      </c>
      <c r="B147" s="35" t="s">
        <v>141</v>
      </c>
      <c r="C147" s="37" t="s">
        <v>449</v>
      </c>
      <c r="D147" s="37"/>
      <c r="E147" s="35"/>
      <c r="F147" s="37"/>
      <c r="G147" s="35" t="s">
        <v>142</v>
      </c>
      <c r="H147" s="37" t="s">
        <v>143</v>
      </c>
      <c r="I147" s="35"/>
      <c r="J147" s="37" t="s">
        <v>54</v>
      </c>
      <c r="K147" s="35" t="s">
        <v>144</v>
      </c>
      <c r="L147" s="37" t="s">
        <v>145</v>
      </c>
      <c r="M147" s="37" t="s">
        <v>9</v>
      </c>
      <c r="N147" s="35" t="s">
        <v>147</v>
      </c>
      <c r="O147" s="35" t="s">
        <v>148</v>
      </c>
      <c r="P147" s="37">
        <v>10</v>
      </c>
      <c r="Q147" s="37" t="e">
        <f>VLOOKUP(D147,#REF!,9,FALSE)</f>
        <v>#REF!</v>
      </c>
      <c r="R147" s="37" t="s">
        <v>149</v>
      </c>
      <c r="S147" s="35" t="s">
        <v>202</v>
      </c>
      <c r="T147" s="37">
        <v>510</v>
      </c>
      <c r="U147" s="37">
        <v>340</v>
      </c>
      <c r="V147" s="37">
        <v>110</v>
      </c>
      <c r="W147" s="38">
        <f t="shared" si="29"/>
        <v>19074000</v>
      </c>
      <c r="X147" s="38"/>
      <c r="Y147" s="36">
        <v>1</v>
      </c>
      <c r="Z147" s="36">
        <v>2</v>
      </c>
      <c r="AA147" s="39">
        <v>12</v>
      </c>
      <c r="AB147" s="37">
        <v>1000</v>
      </c>
      <c r="AC147" s="35">
        <v>1000</v>
      </c>
      <c r="AD147" s="36">
        <v>130</v>
      </c>
      <c r="AE147" s="35">
        <f t="shared" si="22"/>
        <v>130000000</v>
      </c>
      <c r="AF147" s="37">
        <v>13</v>
      </c>
      <c r="AG147" s="37">
        <v>6</v>
      </c>
      <c r="AH147" s="37">
        <v>6</v>
      </c>
      <c r="AI147" s="37" t="s">
        <v>180</v>
      </c>
      <c r="AJ147" s="40">
        <f t="shared" si="27"/>
        <v>1000</v>
      </c>
      <c r="AK147" s="40">
        <f t="shared" si="27"/>
        <v>1000</v>
      </c>
      <c r="AL147" s="40">
        <f t="shared" si="30"/>
        <v>790</v>
      </c>
      <c r="AM147" s="26">
        <f t="shared" si="28"/>
        <v>790000000</v>
      </c>
      <c r="AN147" s="37" t="s">
        <v>152</v>
      </c>
      <c r="AO147" s="37" t="s">
        <v>153</v>
      </c>
      <c r="AP147" s="35"/>
      <c r="AQ147" s="35"/>
      <c r="AR147" s="37"/>
      <c r="AS147" s="35"/>
      <c r="AT147" s="37">
        <v>54</v>
      </c>
      <c r="AU147" s="41">
        <f t="shared" si="25"/>
        <v>1029996000</v>
      </c>
      <c r="AV147" s="42">
        <f t="shared" si="26"/>
        <v>648</v>
      </c>
      <c r="AW147" s="36" t="s">
        <v>154</v>
      </c>
      <c r="AX147" s="10">
        <v>9</v>
      </c>
    </row>
    <row r="148" spans="1:50" hidden="1" x14ac:dyDescent="0.2">
      <c r="A148" s="35" t="s">
        <v>140</v>
      </c>
      <c r="B148" s="35" t="s">
        <v>141</v>
      </c>
      <c r="C148" s="67" t="s">
        <v>450</v>
      </c>
      <c r="D148" s="37"/>
      <c r="E148" s="35"/>
      <c r="F148" s="37"/>
      <c r="G148" s="35" t="s">
        <v>142</v>
      </c>
      <c r="H148" s="37" t="s">
        <v>143</v>
      </c>
      <c r="I148" s="35"/>
      <c r="J148" s="37" t="s">
        <v>54</v>
      </c>
      <c r="K148" s="35" t="s">
        <v>144</v>
      </c>
      <c r="L148" s="37" t="s">
        <v>145</v>
      </c>
      <c r="M148" s="37" t="s">
        <v>9</v>
      </c>
      <c r="N148" s="35" t="s">
        <v>147</v>
      </c>
      <c r="O148" s="35" t="s">
        <v>148</v>
      </c>
      <c r="P148" s="37">
        <v>10</v>
      </c>
      <c r="Q148" s="37" t="e">
        <f>VLOOKUP(D148,#REF!,9,FALSE)</f>
        <v>#REF!</v>
      </c>
      <c r="R148" s="37" t="s">
        <v>149</v>
      </c>
      <c r="S148" s="35" t="s">
        <v>183</v>
      </c>
      <c r="T148" s="37">
        <v>340</v>
      </c>
      <c r="U148" s="37">
        <v>340</v>
      </c>
      <c r="V148" s="37">
        <v>110</v>
      </c>
      <c r="W148" s="38">
        <f t="shared" si="29"/>
        <v>12716000</v>
      </c>
      <c r="X148" s="38"/>
      <c r="Y148" s="36">
        <v>0.5</v>
      </c>
      <c r="Z148" s="36">
        <v>1.5</v>
      </c>
      <c r="AA148" s="39">
        <v>6.5</v>
      </c>
      <c r="AB148" s="37">
        <v>1000</v>
      </c>
      <c r="AC148" s="35">
        <v>1000</v>
      </c>
      <c r="AD148" s="36">
        <v>130</v>
      </c>
      <c r="AE148" s="35">
        <f t="shared" si="22"/>
        <v>130000000</v>
      </c>
      <c r="AF148" s="37">
        <v>13</v>
      </c>
      <c r="AG148" s="37">
        <v>9</v>
      </c>
      <c r="AH148" s="37">
        <v>8</v>
      </c>
      <c r="AI148" s="37" t="s">
        <v>151</v>
      </c>
      <c r="AJ148" s="40">
        <f t="shared" si="27"/>
        <v>1000</v>
      </c>
      <c r="AK148" s="40">
        <f t="shared" si="27"/>
        <v>1000</v>
      </c>
      <c r="AL148" s="40">
        <f t="shared" si="30"/>
        <v>1010</v>
      </c>
      <c r="AM148" s="26">
        <f t="shared" si="28"/>
        <v>1010000000</v>
      </c>
      <c r="AN148" s="37" t="s">
        <v>152</v>
      </c>
      <c r="AO148" s="37" t="s">
        <v>153</v>
      </c>
      <c r="AP148" s="35"/>
      <c r="AQ148" s="35"/>
      <c r="AR148" s="37"/>
      <c r="AS148" s="35"/>
      <c r="AT148" s="37">
        <v>450</v>
      </c>
      <c r="AU148" s="41">
        <f t="shared" si="25"/>
        <v>5722200000</v>
      </c>
      <c r="AV148" s="42">
        <f t="shared" si="26"/>
        <v>2925</v>
      </c>
      <c r="AW148" s="36" t="s">
        <v>154</v>
      </c>
    </row>
    <row r="149" spans="1:50" hidden="1" x14ac:dyDescent="0.2">
      <c r="A149" s="35" t="s">
        <v>140</v>
      </c>
      <c r="B149" s="35" t="s">
        <v>141</v>
      </c>
      <c r="C149" s="67" t="s">
        <v>451</v>
      </c>
      <c r="D149" s="37"/>
      <c r="E149" s="35"/>
      <c r="F149" s="37"/>
      <c r="G149" s="35" t="s">
        <v>142</v>
      </c>
      <c r="H149" s="37" t="s">
        <v>177</v>
      </c>
      <c r="I149" s="35"/>
      <c r="J149" s="37" t="s">
        <v>54</v>
      </c>
      <c r="K149" s="35" t="s">
        <v>178</v>
      </c>
      <c r="L149" s="37" t="s">
        <v>145</v>
      </c>
      <c r="M149" s="37" t="s">
        <v>203</v>
      </c>
      <c r="N149" s="35" t="s">
        <v>147</v>
      </c>
      <c r="O149" s="35" t="s">
        <v>148</v>
      </c>
      <c r="P149" s="37">
        <v>10</v>
      </c>
      <c r="Q149" s="37" t="e">
        <f>VLOOKUP(D149,#REF!,9,FALSE)</f>
        <v>#REF!</v>
      </c>
      <c r="R149" s="37" t="s">
        <v>149</v>
      </c>
      <c r="S149" s="35" t="s">
        <v>183</v>
      </c>
      <c r="T149" s="37">
        <v>340</v>
      </c>
      <c r="U149" s="37">
        <v>340</v>
      </c>
      <c r="V149" s="37">
        <v>110</v>
      </c>
      <c r="W149" s="38">
        <f t="shared" si="29"/>
        <v>12716000</v>
      </c>
      <c r="X149" s="38"/>
      <c r="Y149" s="36">
        <v>0.4</v>
      </c>
      <c r="Z149" s="36">
        <v>1</v>
      </c>
      <c r="AA149" s="39">
        <v>5</v>
      </c>
      <c r="AB149" s="37">
        <v>1000</v>
      </c>
      <c r="AC149" s="35">
        <v>1000</v>
      </c>
      <c r="AD149" s="36">
        <v>130</v>
      </c>
      <c r="AE149" s="35">
        <f t="shared" si="22"/>
        <v>130000000</v>
      </c>
      <c r="AF149" s="37">
        <v>13</v>
      </c>
      <c r="AG149" s="37">
        <v>9</v>
      </c>
      <c r="AH149" s="37">
        <v>8</v>
      </c>
      <c r="AI149" s="37" t="s">
        <v>180</v>
      </c>
      <c r="AJ149" s="40">
        <f t="shared" si="27"/>
        <v>1000</v>
      </c>
      <c r="AK149" s="40">
        <f t="shared" si="27"/>
        <v>1000</v>
      </c>
      <c r="AL149" s="40">
        <f t="shared" si="30"/>
        <v>1010</v>
      </c>
      <c r="AM149" s="26">
        <f t="shared" si="28"/>
        <v>1010000000</v>
      </c>
      <c r="AN149" s="37" t="s">
        <v>152</v>
      </c>
      <c r="AO149" s="37" t="s">
        <v>153</v>
      </c>
      <c r="AP149" s="35"/>
      <c r="AQ149" s="35"/>
      <c r="AR149" s="37"/>
      <c r="AS149" s="35"/>
      <c r="AT149" s="37">
        <v>144</v>
      </c>
      <c r="AU149" s="41">
        <f t="shared" si="25"/>
        <v>1831104000</v>
      </c>
      <c r="AV149" s="42">
        <f t="shared" si="26"/>
        <v>720</v>
      </c>
      <c r="AW149" s="36" t="s">
        <v>154</v>
      </c>
    </row>
    <row r="150" spans="1:50" hidden="1" x14ac:dyDescent="0.2">
      <c r="A150" s="35" t="s">
        <v>140</v>
      </c>
      <c r="B150" s="35" t="s">
        <v>141</v>
      </c>
      <c r="C150" s="67" t="s">
        <v>452</v>
      </c>
      <c r="D150" s="37"/>
      <c r="E150" s="35"/>
      <c r="F150" s="37"/>
      <c r="G150" s="35" t="s">
        <v>142</v>
      </c>
      <c r="H150" s="37" t="s">
        <v>143</v>
      </c>
      <c r="I150" s="35"/>
      <c r="J150" s="37" t="s">
        <v>54</v>
      </c>
      <c r="K150" s="35" t="s">
        <v>144</v>
      </c>
      <c r="L150" s="37" t="s">
        <v>145</v>
      </c>
      <c r="M150" s="37" t="s">
        <v>2</v>
      </c>
      <c r="N150" s="35" t="s">
        <v>166</v>
      </c>
      <c r="O150" s="35" t="s">
        <v>166</v>
      </c>
      <c r="P150" s="37">
        <v>9</v>
      </c>
      <c r="Q150" s="37" t="e">
        <f>VLOOKUP(D150,#REF!,9,FALSE)</f>
        <v>#REF!</v>
      </c>
      <c r="R150" s="37" t="s">
        <v>149</v>
      </c>
      <c r="S150" s="35" t="s">
        <v>179</v>
      </c>
      <c r="T150" s="37">
        <v>340</v>
      </c>
      <c r="U150" s="37">
        <v>340</v>
      </c>
      <c r="V150" s="37">
        <v>150</v>
      </c>
      <c r="W150" s="38">
        <f t="shared" si="29"/>
        <v>17340000</v>
      </c>
      <c r="X150" s="38"/>
      <c r="Y150" s="36">
        <v>0.8</v>
      </c>
      <c r="Z150" s="36">
        <v>2</v>
      </c>
      <c r="AA150" s="39">
        <v>9.1999999999999993</v>
      </c>
      <c r="AB150" s="37">
        <v>1000</v>
      </c>
      <c r="AC150" s="35">
        <v>1000</v>
      </c>
      <c r="AD150" s="36">
        <v>130</v>
      </c>
      <c r="AE150" s="35">
        <f t="shared" si="22"/>
        <v>130000000</v>
      </c>
      <c r="AF150" s="37">
        <v>13</v>
      </c>
      <c r="AG150" s="37">
        <v>9</v>
      </c>
      <c r="AH150" s="37">
        <v>5</v>
      </c>
      <c r="AI150" s="37" t="s">
        <v>151</v>
      </c>
      <c r="AJ150" s="40">
        <f t="shared" si="27"/>
        <v>1000</v>
      </c>
      <c r="AK150" s="40">
        <f t="shared" si="27"/>
        <v>1000</v>
      </c>
      <c r="AL150" s="40">
        <f t="shared" si="30"/>
        <v>880</v>
      </c>
      <c r="AM150" s="26">
        <f t="shared" si="28"/>
        <v>880000000</v>
      </c>
      <c r="AN150" s="37" t="s">
        <v>152</v>
      </c>
      <c r="AO150" s="37" t="s">
        <v>153</v>
      </c>
      <c r="AP150" s="35"/>
      <c r="AQ150" s="35"/>
      <c r="AR150" s="37"/>
      <c r="AS150" s="35"/>
      <c r="AT150" s="37">
        <v>239</v>
      </c>
      <c r="AU150" s="41">
        <f t="shared" si="25"/>
        <v>4144260000</v>
      </c>
      <c r="AV150" s="42">
        <f t="shared" si="26"/>
        <v>2198.7999999999997</v>
      </c>
      <c r="AW150" s="36" t="s">
        <v>198</v>
      </c>
    </row>
    <row r="151" spans="1:50" hidden="1" x14ac:dyDescent="0.2">
      <c r="A151" s="35" t="s">
        <v>140</v>
      </c>
      <c r="B151" s="35" t="s">
        <v>141</v>
      </c>
      <c r="C151" s="67" t="s">
        <v>453</v>
      </c>
      <c r="D151" s="37"/>
      <c r="E151" s="35"/>
      <c r="F151" s="37"/>
      <c r="G151" s="35" t="s">
        <v>142</v>
      </c>
      <c r="H151" s="37" t="s">
        <v>143</v>
      </c>
      <c r="I151" s="35"/>
      <c r="J151" s="37" t="s">
        <v>54</v>
      </c>
      <c r="K151" s="35" t="s">
        <v>144</v>
      </c>
      <c r="L151" s="37" t="s">
        <v>145</v>
      </c>
      <c r="M151" s="37" t="s">
        <v>2</v>
      </c>
      <c r="N151" s="35" t="s">
        <v>166</v>
      </c>
      <c r="O151" s="35" t="s">
        <v>166</v>
      </c>
      <c r="P151" s="37">
        <v>9</v>
      </c>
      <c r="Q151" s="37" t="e">
        <f>VLOOKUP(D151,#REF!,9,FALSE)</f>
        <v>#REF!</v>
      </c>
      <c r="R151" s="37" t="s">
        <v>149</v>
      </c>
      <c r="S151" s="35" t="s">
        <v>179</v>
      </c>
      <c r="T151" s="37">
        <v>340</v>
      </c>
      <c r="U151" s="37">
        <v>340</v>
      </c>
      <c r="V151" s="37">
        <v>150</v>
      </c>
      <c r="W151" s="38">
        <f t="shared" si="29"/>
        <v>17340000</v>
      </c>
      <c r="X151" s="38"/>
      <c r="Y151" s="36">
        <v>0.8</v>
      </c>
      <c r="Z151" s="36">
        <v>2</v>
      </c>
      <c r="AA151" s="39">
        <v>9.1999999999999993</v>
      </c>
      <c r="AB151" s="37">
        <v>1000</v>
      </c>
      <c r="AC151" s="35">
        <v>1000</v>
      </c>
      <c r="AD151" s="36">
        <v>130</v>
      </c>
      <c r="AE151" s="35">
        <f t="shared" si="22"/>
        <v>130000000</v>
      </c>
      <c r="AF151" s="37">
        <v>13</v>
      </c>
      <c r="AG151" s="37">
        <v>9</v>
      </c>
      <c r="AH151" s="37">
        <v>5</v>
      </c>
      <c r="AI151" s="37" t="s">
        <v>151</v>
      </c>
      <c r="AJ151" s="40">
        <f t="shared" si="27"/>
        <v>1000</v>
      </c>
      <c r="AK151" s="40">
        <f t="shared" si="27"/>
        <v>1000</v>
      </c>
      <c r="AL151" s="40">
        <f t="shared" si="30"/>
        <v>880</v>
      </c>
      <c r="AM151" s="26">
        <f t="shared" si="28"/>
        <v>880000000</v>
      </c>
      <c r="AN151" s="37" t="s">
        <v>152</v>
      </c>
      <c r="AO151" s="37" t="s">
        <v>153</v>
      </c>
      <c r="AP151" s="35"/>
      <c r="AQ151" s="35"/>
      <c r="AR151" s="37"/>
      <c r="AS151" s="35"/>
      <c r="AT151" s="37">
        <v>68</v>
      </c>
      <c r="AU151" s="41">
        <f t="shared" si="25"/>
        <v>1179120000</v>
      </c>
      <c r="AV151" s="42">
        <f t="shared" si="26"/>
        <v>625.59999999999991</v>
      </c>
      <c r="AW151" s="36" t="s">
        <v>198</v>
      </c>
    </row>
    <row r="152" spans="1:50" hidden="1" x14ac:dyDescent="0.2">
      <c r="A152" s="35" t="s">
        <v>140</v>
      </c>
      <c r="B152" s="35" t="s">
        <v>141</v>
      </c>
      <c r="C152" s="67" t="s">
        <v>454</v>
      </c>
      <c r="D152" s="37"/>
      <c r="E152" s="35"/>
      <c r="F152" s="37"/>
      <c r="G152" s="35" t="s">
        <v>142</v>
      </c>
      <c r="H152" s="37" t="s">
        <v>143</v>
      </c>
      <c r="I152" s="35"/>
      <c r="J152" s="37" t="s">
        <v>54</v>
      </c>
      <c r="K152" s="35" t="s">
        <v>144</v>
      </c>
      <c r="L152" s="37" t="s">
        <v>145</v>
      </c>
      <c r="M152" s="37" t="s">
        <v>2</v>
      </c>
      <c r="N152" s="35" t="s">
        <v>166</v>
      </c>
      <c r="O152" s="35" t="s">
        <v>166</v>
      </c>
      <c r="P152" s="37">
        <v>9</v>
      </c>
      <c r="Q152" s="37" t="e">
        <f>VLOOKUP(D152,#REF!,9,FALSE)</f>
        <v>#REF!</v>
      </c>
      <c r="R152" s="37" t="s">
        <v>149</v>
      </c>
      <c r="S152" s="35" t="s">
        <v>179</v>
      </c>
      <c r="T152" s="37">
        <v>340</v>
      </c>
      <c r="U152" s="37">
        <v>340</v>
      </c>
      <c r="V152" s="37">
        <v>150</v>
      </c>
      <c r="W152" s="38">
        <f t="shared" si="29"/>
        <v>17340000</v>
      </c>
      <c r="X152" s="38"/>
      <c r="Y152" s="36">
        <v>0.8</v>
      </c>
      <c r="Z152" s="36">
        <v>2</v>
      </c>
      <c r="AA152" s="39">
        <v>9.1999999999999993</v>
      </c>
      <c r="AB152" s="37">
        <v>1000</v>
      </c>
      <c r="AC152" s="35">
        <v>1000</v>
      </c>
      <c r="AD152" s="36">
        <v>130</v>
      </c>
      <c r="AE152" s="35">
        <f t="shared" si="22"/>
        <v>130000000</v>
      </c>
      <c r="AF152" s="37">
        <v>13</v>
      </c>
      <c r="AG152" s="37">
        <v>9</v>
      </c>
      <c r="AH152" s="37">
        <v>5</v>
      </c>
      <c r="AI152" s="37" t="s">
        <v>151</v>
      </c>
      <c r="AJ152" s="40">
        <f t="shared" si="27"/>
        <v>1000</v>
      </c>
      <c r="AK152" s="40">
        <f t="shared" si="27"/>
        <v>1000</v>
      </c>
      <c r="AL152" s="40">
        <f t="shared" si="30"/>
        <v>880</v>
      </c>
      <c r="AM152" s="26">
        <f t="shared" si="28"/>
        <v>880000000</v>
      </c>
      <c r="AN152" s="37" t="s">
        <v>152</v>
      </c>
      <c r="AO152" s="37" t="s">
        <v>153</v>
      </c>
      <c r="AP152" s="35"/>
      <c r="AQ152" s="35"/>
      <c r="AR152" s="37"/>
      <c r="AS152" s="35"/>
      <c r="AT152" s="37">
        <v>31</v>
      </c>
      <c r="AU152" s="41">
        <f t="shared" si="25"/>
        <v>537540000</v>
      </c>
      <c r="AV152" s="42">
        <f t="shared" si="26"/>
        <v>285.2</v>
      </c>
      <c r="AW152" s="36" t="s">
        <v>198</v>
      </c>
    </row>
    <row r="153" spans="1:50" hidden="1" x14ac:dyDescent="0.2">
      <c r="A153" s="35" t="s">
        <v>140</v>
      </c>
      <c r="B153" s="35" t="s">
        <v>141</v>
      </c>
      <c r="C153" s="67" t="s">
        <v>455</v>
      </c>
      <c r="D153" s="37"/>
      <c r="E153" s="35"/>
      <c r="F153" s="37"/>
      <c r="G153" s="35" t="s">
        <v>142</v>
      </c>
      <c r="H153" s="37" t="s">
        <v>143</v>
      </c>
      <c r="I153" s="35"/>
      <c r="J153" s="37" t="s">
        <v>54</v>
      </c>
      <c r="K153" s="35" t="s">
        <v>144</v>
      </c>
      <c r="L153" s="37" t="s">
        <v>145</v>
      </c>
      <c r="M153" s="37" t="s">
        <v>10</v>
      </c>
      <c r="N153" s="35" t="s">
        <v>147</v>
      </c>
      <c r="O153" s="35" t="s">
        <v>148</v>
      </c>
      <c r="P153" s="37">
        <v>15</v>
      </c>
      <c r="Q153" s="37" t="e">
        <f>VLOOKUP(D153,#REF!,9,FALSE)</f>
        <v>#REF!</v>
      </c>
      <c r="R153" s="37" t="s">
        <v>149</v>
      </c>
      <c r="S153" s="35" t="s">
        <v>183</v>
      </c>
      <c r="T153" s="37">
        <v>340</v>
      </c>
      <c r="U153" s="37">
        <v>340</v>
      </c>
      <c r="V153" s="37">
        <v>110</v>
      </c>
      <c r="W153" s="38">
        <f t="shared" si="29"/>
        <v>12716000</v>
      </c>
      <c r="X153" s="38"/>
      <c r="Y153" s="36">
        <v>0.33800000000000002</v>
      </c>
      <c r="Z153" s="36">
        <v>0.6</v>
      </c>
      <c r="AA153" s="39">
        <v>5.67</v>
      </c>
      <c r="AB153" s="37">
        <v>1000</v>
      </c>
      <c r="AC153" s="35">
        <v>1000</v>
      </c>
      <c r="AD153" s="36">
        <v>130</v>
      </c>
      <c r="AE153" s="35">
        <f t="shared" si="22"/>
        <v>130000000</v>
      </c>
      <c r="AF153" s="37">
        <v>13</v>
      </c>
      <c r="AG153" s="37">
        <v>9</v>
      </c>
      <c r="AH153" s="37">
        <v>6</v>
      </c>
      <c r="AI153" s="37" t="s">
        <v>151</v>
      </c>
      <c r="AJ153" s="40">
        <f t="shared" si="27"/>
        <v>1000</v>
      </c>
      <c r="AK153" s="40">
        <f t="shared" si="27"/>
        <v>1000</v>
      </c>
      <c r="AL153" s="40">
        <f t="shared" si="30"/>
        <v>790</v>
      </c>
      <c r="AM153" s="26">
        <f t="shared" si="28"/>
        <v>790000000</v>
      </c>
      <c r="AN153" s="37" t="s">
        <v>152</v>
      </c>
      <c r="AO153" s="37" t="s">
        <v>153</v>
      </c>
      <c r="AP153" s="35"/>
      <c r="AQ153" s="35"/>
      <c r="AR153" s="37"/>
      <c r="AS153" s="35"/>
      <c r="AT153" s="37">
        <v>50</v>
      </c>
      <c r="AU153" s="41">
        <f t="shared" si="25"/>
        <v>635800000</v>
      </c>
      <c r="AV153" s="42">
        <f t="shared" si="26"/>
        <v>283.5</v>
      </c>
      <c r="AW153" s="36" t="s">
        <v>154</v>
      </c>
    </row>
    <row r="154" spans="1:50" hidden="1" x14ac:dyDescent="0.2">
      <c r="A154" s="35" t="s">
        <v>140</v>
      </c>
      <c r="B154" s="35" t="s">
        <v>141</v>
      </c>
      <c r="C154" s="67" t="s">
        <v>456</v>
      </c>
      <c r="D154" s="37"/>
      <c r="E154" s="35"/>
      <c r="F154" s="37"/>
      <c r="G154" s="35" t="s">
        <v>142</v>
      </c>
      <c r="H154" s="37" t="s">
        <v>143</v>
      </c>
      <c r="I154" s="35"/>
      <c r="J154" s="37" t="s">
        <v>54</v>
      </c>
      <c r="K154" s="35" t="s">
        <v>144</v>
      </c>
      <c r="L154" s="37" t="s">
        <v>145</v>
      </c>
      <c r="M154" s="37" t="s">
        <v>11</v>
      </c>
      <c r="N154" s="35" t="s">
        <v>147</v>
      </c>
      <c r="O154" s="35" t="s">
        <v>148</v>
      </c>
      <c r="P154" s="37">
        <v>15</v>
      </c>
      <c r="Q154" s="37" t="e">
        <f>VLOOKUP(D154,#REF!,9,FALSE)</f>
        <v>#REF!</v>
      </c>
      <c r="R154" s="37" t="s">
        <v>149</v>
      </c>
      <c r="S154" s="35" t="s">
        <v>183</v>
      </c>
      <c r="T154" s="37">
        <v>340</v>
      </c>
      <c r="U154" s="37">
        <v>340</v>
      </c>
      <c r="V154" s="37">
        <v>110</v>
      </c>
      <c r="W154" s="38">
        <f t="shared" si="29"/>
        <v>12716000</v>
      </c>
      <c r="X154" s="38"/>
      <c r="Y154" s="36">
        <v>0.5</v>
      </c>
      <c r="Z154" s="36">
        <v>1.5</v>
      </c>
      <c r="AA154" s="39">
        <v>9</v>
      </c>
      <c r="AB154" s="37">
        <v>1000</v>
      </c>
      <c r="AC154" s="35">
        <v>1000</v>
      </c>
      <c r="AD154" s="36">
        <v>130</v>
      </c>
      <c r="AE154" s="35">
        <f t="shared" si="22"/>
        <v>130000000</v>
      </c>
      <c r="AF154" s="37">
        <v>13</v>
      </c>
      <c r="AG154" s="37">
        <v>9</v>
      </c>
      <c r="AH154" s="37">
        <v>7</v>
      </c>
      <c r="AI154" s="37" t="s">
        <v>151</v>
      </c>
      <c r="AJ154" s="40">
        <f t="shared" si="27"/>
        <v>1000</v>
      </c>
      <c r="AK154" s="40">
        <f t="shared" si="27"/>
        <v>1000</v>
      </c>
      <c r="AL154" s="40">
        <f t="shared" si="30"/>
        <v>900</v>
      </c>
      <c r="AM154" s="26">
        <f t="shared" si="28"/>
        <v>900000000</v>
      </c>
      <c r="AN154" s="37" t="s">
        <v>152</v>
      </c>
      <c r="AO154" s="37" t="s">
        <v>153</v>
      </c>
      <c r="AP154" s="35"/>
      <c r="AQ154" s="35"/>
      <c r="AR154" s="37"/>
      <c r="AS154" s="35"/>
      <c r="AT154" s="37">
        <v>95</v>
      </c>
      <c r="AU154" s="41">
        <f t="shared" si="25"/>
        <v>1208020000</v>
      </c>
      <c r="AV154" s="42">
        <f t="shared" si="26"/>
        <v>855</v>
      </c>
      <c r="AW154" s="36" t="s">
        <v>154</v>
      </c>
    </row>
    <row r="155" spans="1:50" hidden="1" x14ac:dyDescent="0.2">
      <c r="A155" s="35" t="s">
        <v>140</v>
      </c>
      <c r="B155" s="35" t="s">
        <v>141</v>
      </c>
      <c r="C155" s="67" t="s">
        <v>457</v>
      </c>
      <c r="D155" s="37"/>
      <c r="E155" s="35"/>
      <c r="F155" s="37"/>
      <c r="G155" s="35" t="s">
        <v>142</v>
      </c>
      <c r="H155" s="37" t="s">
        <v>143</v>
      </c>
      <c r="I155" s="35"/>
      <c r="J155" s="37" t="s">
        <v>54</v>
      </c>
      <c r="K155" s="35" t="s">
        <v>144</v>
      </c>
      <c r="L155" s="37" t="s">
        <v>145</v>
      </c>
      <c r="M155" s="37" t="s">
        <v>71</v>
      </c>
      <c r="N155" s="35" t="s">
        <v>169</v>
      </c>
      <c r="O155" s="35" t="s">
        <v>169</v>
      </c>
      <c r="P155" s="37">
        <v>16</v>
      </c>
      <c r="Q155" s="37" t="e">
        <f>VLOOKUP(D155,#REF!,9,FALSE)</f>
        <v>#REF!</v>
      </c>
      <c r="R155" s="37" t="s">
        <v>149</v>
      </c>
      <c r="S155" s="35" t="s">
        <v>179</v>
      </c>
      <c r="T155" s="37">
        <v>340</v>
      </c>
      <c r="U155" s="37">
        <v>340</v>
      </c>
      <c r="V155" s="37">
        <v>150</v>
      </c>
      <c r="W155" s="38">
        <f t="shared" si="29"/>
        <v>17340000</v>
      </c>
      <c r="X155" s="38"/>
      <c r="Y155" s="36">
        <v>0.54</v>
      </c>
      <c r="Z155" s="36">
        <v>2.02</v>
      </c>
      <c r="AA155" s="39">
        <v>10.66</v>
      </c>
      <c r="AB155" s="37">
        <v>1000</v>
      </c>
      <c r="AC155" s="35">
        <v>1000</v>
      </c>
      <c r="AD155" s="36">
        <v>130</v>
      </c>
      <c r="AE155" s="35">
        <f t="shared" si="22"/>
        <v>130000000</v>
      </c>
      <c r="AF155" s="37">
        <v>13</v>
      </c>
      <c r="AG155" s="37">
        <v>9</v>
      </c>
      <c r="AH155" s="37">
        <v>5</v>
      </c>
      <c r="AI155" s="37" t="s">
        <v>151</v>
      </c>
      <c r="AJ155" s="40">
        <f t="shared" si="27"/>
        <v>1000</v>
      </c>
      <c r="AK155" s="40">
        <f t="shared" si="27"/>
        <v>1000</v>
      </c>
      <c r="AL155" s="40">
        <f t="shared" si="30"/>
        <v>880</v>
      </c>
      <c r="AM155" s="26">
        <f t="shared" si="28"/>
        <v>880000000</v>
      </c>
      <c r="AN155" s="37" t="s">
        <v>152</v>
      </c>
      <c r="AO155" s="37" t="s">
        <v>153</v>
      </c>
      <c r="AP155" s="35"/>
      <c r="AQ155" s="35"/>
      <c r="AR155" s="37"/>
      <c r="AS155" s="35"/>
      <c r="AT155" s="37">
        <v>33</v>
      </c>
      <c r="AU155" s="41">
        <f t="shared" si="25"/>
        <v>572220000</v>
      </c>
      <c r="AV155" s="42">
        <f t="shared" si="26"/>
        <v>351.78000000000003</v>
      </c>
      <c r="AW155" s="36" t="s">
        <v>198</v>
      </c>
    </row>
    <row r="156" spans="1:50" hidden="1" x14ac:dyDescent="0.2">
      <c r="A156" s="35" t="s">
        <v>140</v>
      </c>
      <c r="B156" s="35" t="s">
        <v>141</v>
      </c>
      <c r="C156" s="67" t="s">
        <v>458</v>
      </c>
      <c r="D156" s="37"/>
      <c r="E156" s="35"/>
      <c r="F156" s="37"/>
      <c r="G156" s="35" t="s">
        <v>142</v>
      </c>
      <c r="H156" s="37" t="s">
        <v>143</v>
      </c>
      <c r="I156" s="35"/>
      <c r="J156" s="37" t="s">
        <v>54</v>
      </c>
      <c r="K156" s="35" t="s">
        <v>144</v>
      </c>
      <c r="L156" s="37" t="s">
        <v>145</v>
      </c>
      <c r="M156" s="37" t="s">
        <v>71</v>
      </c>
      <c r="N156" s="35" t="s">
        <v>169</v>
      </c>
      <c r="O156" s="35" t="s">
        <v>169</v>
      </c>
      <c r="P156" s="37">
        <v>16</v>
      </c>
      <c r="Q156" s="37" t="e">
        <f>VLOOKUP(D156,#REF!,9,FALSE)</f>
        <v>#REF!</v>
      </c>
      <c r="R156" s="37" t="s">
        <v>149</v>
      </c>
      <c r="S156" s="35" t="s">
        <v>179</v>
      </c>
      <c r="T156" s="37">
        <v>340</v>
      </c>
      <c r="U156" s="37">
        <v>340</v>
      </c>
      <c r="V156" s="37">
        <v>150</v>
      </c>
      <c r="W156" s="38">
        <f t="shared" si="29"/>
        <v>17340000</v>
      </c>
      <c r="X156" s="38"/>
      <c r="Y156" s="36">
        <v>0.57999999999999996</v>
      </c>
      <c r="Z156" s="36">
        <v>2.02</v>
      </c>
      <c r="AA156" s="39">
        <v>11.3</v>
      </c>
      <c r="AB156" s="37">
        <v>1000</v>
      </c>
      <c r="AC156" s="35">
        <v>1000</v>
      </c>
      <c r="AD156" s="36">
        <v>130</v>
      </c>
      <c r="AE156" s="35">
        <f t="shared" ref="AE156:AE219" si="31">AB156*AC156*AD156</f>
        <v>130000000</v>
      </c>
      <c r="AF156" s="37">
        <v>13</v>
      </c>
      <c r="AG156" s="37">
        <v>9</v>
      </c>
      <c r="AH156" s="37">
        <v>5</v>
      </c>
      <c r="AI156" s="37" t="s">
        <v>151</v>
      </c>
      <c r="AJ156" s="40">
        <f t="shared" si="27"/>
        <v>1000</v>
      </c>
      <c r="AK156" s="40">
        <f t="shared" si="27"/>
        <v>1000</v>
      </c>
      <c r="AL156" s="40">
        <f t="shared" si="30"/>
        <v>880</v>
      </c>
      <c r="AM156" s="26">
        <f t="shared" si="28"/>
        <v>880000000</v>
      </c>
      <c r="AN156" s="37" t="s">
        <v>152</v>
      </c>
      <c r="AO156" s="37" t="s">
        <v>153</v>
      </c>
      <c r="AP156" s="35"/>
      <c r="AQ156" s="35"/>
      <c r="AR156" s="37"/>
      <c r="AS156" s="35"/>
      <c r="AT156" s="37">
        <v>189</v>
      </c>
      <c r="AU156" s="41">
        <f t="shared" si="25"/>
        <v>3277260000</v>
      </c>
      <c r="AV156" s="42">
        <f t="shared" si="26"/>
        <v>2135.7000000000003</v>
      </c>
      <c r="AW156" s="36" t="s">
        <v>198</v>
      </c>
    </row>
    <row r="157" spans="1:50" hidden="1" x14ac:dyDescent="0.2">
      <c r="A157" s="35" t="s">
        <v>140</v>
      </c>
      <c r="B157" s="35" t="s">
        <v>141</v>
      </c>
      <c r="C157" s="67" t="s">
        <v>459</v>
      </c>
      <c r="D157" s="37"/>
      <c r="E157" s="35"/>
      <c r="F157" s="37"/>
      <c r="G157" s="35" t="s">
        <v>142</v>
      </c>
      <c r="H157" s="37" t="s">
        <v>143</v>
      </c>
      <c r="I157" s="35"/>
      <c r="J157" s="37" t="s">
        <v>54</v>
      </c>
      <c r="K157" s="35" t="s">
        <v>144</v>
      </c>
      <c r="L157" s="37" t="s">
        <v>145</v>
      </c>
      <c r="M157" s="37" t="s">
        <v>204</v>
      </c>
      <c r="N157" s="35" t="s">
        <v>147</v>
      </c>
      <c r="O157" s="35" t="s">
        <v>148</v>
      </c>
      <c r="P157" s="37">
        <v>6</v>
      </c>
      <c r="Q157" s="37" t="e">
        <f>VLOOKUP(D157,#REF!,9,FALSE)</f>
        <v>#REF!</v>
      </c>
      <c r="R157" s="37" t="s">
        <v>149</v>
      </c>
      <c r="S157" s="35" t="s">
        <v>183</v>
      </c>
      <c r="T157" s="37">
        <v>340</v>
      </c>
      <c r="U157" s="37">
        <v>340</v>
      </c>
      <c r="V157" s="37">
        <v>110</v>
      </c>
      <c r="W157" s="38">
        <f t="shared" si="29"/>
        <v>12716000</v>
      </c>
      <c r="X157" s="38"/>
      <c r="Y157" s="36">
        <v>0.6</v>
      </c>
      <c r="Z157" s="36">
        <v>1.2</v>
      </c>
      <c r="AA157" s="39">
        <v>4.8</v>
      </c>
      <c r="AB157" s="37">
        <v>1000</v>
      </c>
      <c r="AC157" s="35">
        <v>1000</v>
      </c>
      <c r="AD157" s="36">
        <v>130</v>
      </c>
      <c r="AE157" s="35">
        <f t="shared" si="31"/>
        <v>130000000</v>
      </c>
      <c r="AF157" s="37">
        <v>13</v>
      </c>
      <c r="AG157" s="37">
        <v>9</v>
      </c>
      <c r="AH157" s="37">
        <v>6</v>
      </c>
      <c r="AI157" s="37" t="s">
        <v>180</v>
      </c>
      <c r="AJ157" s="40">
        <f t="shared" si="27"/>
        <v>1000</v>
      </c>
      <c r="AK157" s="40">
        <f t="shared" si="27"/>
        <v>1000</v>
      </c>
      <c r="AL157" s="40">
        <f t="shared" si="30"/>
        <v>790</v>
      </c>
      <c r="AM157" s="26">
        <f t="shared" si="28"/>
        <v>790000000</v>
      </c>
      <c r="AN157" s="37" t="s">
        <v>152</v>
      </c>
      <c r="AO157" s="37" t="s">
        <v>153</v>
      </c>
      <c r="AP157" s="35"/>
      <c r="AQ157" s="35"/>
      <c r="AR157" s="37"/>
      <c r="AS157" s="35"/>
      <c r="AT157" s="37">
        <v>98</v>
      </c>
      <c r="AU157" s="41">
        <f t="shared" si="25"/>
        <v>1246168000</v>
      </c>
      <c r="AV157" s="42">
        <f t="shared" si="26"/>
        <v>470.4</v>
      </c>
      <c r="AW157" s="36" t="s">
        <v>154</v>
      </c>
    </row>
    <row r="158" spans="1:50" x14ac:dyDescent="0.2">
      <c r="A158" s="35" t="s">
        <v>140</v>
      </c>
      <c r="B158" s="35" t="s">
        <v>141</v>
      </c>
      <c r="C158" s="67" t="s">
        <v>460</v>
      </c>
      <c r="D158" s="37"/>
      <c r="E158" s="35"/>
      <c r="F158" s="37"/>
      <c r="G158" s="35" t="s">
        <v>142</v>
      </c>
      <c r="H158" s="37" t="s">
        <v>177</v>
      </c>
      <c r="I158" s="35"/>
      <c r="J158" s="37" t="s">
        <v>54</v>
      </c>
      <c r="K158" s="35" t="s">
        <v>178</v>
      </c>
      <c r="L158" s="37" t="s">
        <v>145</v>
      </c>
      <c r="M158" s="37" t="s">
        <v>67</v>
      </c>
      <c r="N158" s="35" t="s">
        <v>156</v>
      </c>
      <c r="O158" s="35" t="s">
        <v>157</v>
      </c>
      <c r="P158" s="37">
        <v>3</v>
      </c>
      <c r="Q158" s="37" t="e">
        <f>VLOOKUP(D158,#REF!,9,FALSE)</f>
        <v>#REF!</v>
      </c>
      <c r="R158" s="37" t="s">
        <v>149</v>
      </c>
      <c r="S158" s="35" t="s">
        <v>179</v>
      </c>
      <c r="T158" s="37">
        <v>340</v>
      </c>
      <c r="U158" s="37">
        <v>340</v>
      </c>
      <c r="V158" s="37">
        <v>160</v>
      </c>
      <c r="W158" s="38">
        <f>T158/1000*U158/1000*V158/1000</f>
        <v>1.8496000000000002E-2</v>
      </c>
      <c r="X158" s="38"/>
      <c r="Y158" s="36">
        <v>1.2190000000000001</v>
      </c>
      <c r="Z158" s="36">
        <v>2.5</v>
      </c>
      <c r="AA158" s="39">
        <v>6.157</v>
      </c>
      <c r="AB158" s="37">
        <v>1000</v>
      </c>
      <c r="AC158" s="35">
        <v>1000</v>
      </c>
      <c r="AD158" s="36">
        <v>130</v>
      </c>
      <c r="AE158" s="35">
        <f t="shared" si="31"/>
        <v>130000000</v>
      </c>
      <c r="AF158" s="37">
        <v>13</v>
      </c>
      <c r="AG158" s="37">
        <v>9</v>
      </c>
      <c r="AH158" s="37">
        <v>6</v>
      </c>
      <c r="AI158" s="37" t="s">
        <v>180</v>
      </c>
      <c r="AJ158" s="40">
        <f t="shared" si="27"/>
        <v>1000</v>
      </c>
      <c r="AK158" s="40">
        <f t="shared" si="27"/>
        <v>1000</v>
      </c>
      <c r="AL158" s="40">
        <f t="shared" si="30"/>
        <v>1090</v>
      </c>
      <c r="AM158" s="26">
        <f t="shared" si="28"/>
        <v>1090000000</v>
      </c>
      <c r="AN158" s="37" t="s">
        <v>152</v>
      </c>
      <c r="AO158" s="37" t="s">
        <v>153</v>
      </c>
      <c r="AP158" s="35"/>
      <c r="AQ158" s="35"/>
      <c r="AR158" s="37"/>
      <c r="AS158" s="35"/>
      <c r="AT158" s="37">
        <v>1458</v>
      </c>
      <c r="AU158" s="41">
        <f t="shared" si="25"/>
        <v>26.967168000000004</v>
      </c>
      <c r="AV158" s="42">
        <f t="shared" si="26"/>
        <v>8976.9060000000009</v>
      </c>
      <c r="AW158" s="36" t="s">
        <v>158</v>
      </c>
    </row>
    <row r="159" spans="1:50" hidden="1" x14ac:dyDescent="0.2">
      <c r="A159" s="35" t="s">
        <v>140</v>
      </c>
      <c r="B159" s="35" t="s">
        <v>141</v>
      </c>
      <c r="C159" s="67" t="s">
        <v>461</v>
      </c>
      <c r="D159" s="37"/>
      <c r="E159" s="35"/>
      <c r="F159" s="37"/>
      <c r="G159" s="35" t="s">
        <v>142</v>
      </c>
      <c r="H159" s="37" t="s">
        <v>177</v>
      </c>
      <c r="I159" s="35"/>
      <c r="J159" s="37" t="s">
        <v>54</v>
      </c>
      <c r="K159" s="35" t="s">
        <v>178</v>
      </c>
      <c r="L159" s="37" t="s">
        <v>145</v>
      </c>
      <c r="M159" s="37" t="s">
        <v>76</v>
      </c>
      <c r="N159" s="35" t="s">
        <v>162</v>
      </c>
      <c r="O159" s="35" t="s">
        <v>163</v>
      </c>
      <c r="P159" s="37">
        <v>3</v>
      </c>
      <c r="Q159" s="37" t="e">
        <f>VLOOKUP(D159,#REF!,9,FALSE)</f>
        <v>#REF!</v>
      </c>
      <c r="R159" s="37" t="s">
        <v>149</v>
      </c>
      <c r="S159" s="35" t="s">
        <v>179</v>
      </c>
      <c r="T159" s="37">
        <v>340</v>
      </c>
      <c r="U159" s="37">
        <v>340</v>
      </c>
      <c r="V159" s="37">
        <v>150</v>
      </c>
      <c r="W159" s="38">
        <f t="shared" si="29"/>
        <v>17340000</v>
      </c>
      <c r="X159" s="38"/>
      <c r="Y159" s="36">
        <v>1.0900000000000001</v>
      </c>
      <c r="Z159" s="36">
        <v>1.45</v>
      </c>
      <c r="AA159" s="39">
        <v>4.7200000000000006</v>
      </c>
      <c r="AB159" s="37">
        <v>1000</v>
      </c>
      <c r="AC159" s="35">
        <v>1000</v>
      </c>
      <c r="AD159" s="36">
        <v>130</v>
      </c>
      <c r="AE159" s="35">
        <f t="shared" si="31"/>
        <v>130000000</v>
      </c>
      <c r="AF159" s="37">
        <v>13</v>
      </c>
      <c r="AG159" s="37">
        <v>9</v>
      </c>
      <c r="AH159" s="37">
        <v>4</v>
      </c>
      <c r="AI159" s="37" t="s">
        <v>180</v>
      </c>
      <c r="AJ159" s="40">
        <f t="shared" si="27"/>
        <v>1000</v>
      </c>
      <c r="AK159" s="40">
        <f t="shared" si="27"/>
        <v>1000</v>
      </c>
      <c r="AL159" s="40">
        <f t="shared" si="30"/>
        <v>730</v>
      </c>
      <c r="AM159" s="26">
        <f t="shared" si="28"/>
        <v>730000000</v>
      </c>
      <c r="AN159" s="37" t="s">
        <v>152</v>
      </c>
      <c r="AO159" s="37" t="s">
        <v>153</v>
      </c>
      <c r="AP159" s="35"/>
      <c r="AQ159" s="35"/>
      <c r="AR159" s="37"/>
      <c r="AS159" s="35"/>
      <c r="AT159" s="37">
        <v>612</v>
      </c>
      <c r="AU159" s="41">
        <f t="shared" si="25"/>
        <v>10612080000</v>
      </c>
      <c r="AV159" s="42">
        <f t="shared" si="26"/>
        <v>2888.6400000000003</v>
      </c>
      <c r="AW159" s="36" t="s">
        <v>161</v>
      </c>
    </row>
    <row r="160" spans="1:50" hidden="1" x14ac:dyDescent="0.2">
      <c r="A160" s="35" t="s">
        <v>140</v>
      </c>
      <c r="B160" s="35" t="s">
        <v>141</v>
      </c>
      <c r="C160" s="67" t="s">
        <v>462</v>
      </c>
      <c r="D160" s="37"/>
      <c r="E160" s="35"/>
      <c r="F160" s="37"/>
      <c r="G160" s="35" t="s">
        <v>142</v>
      </c>
      <c r="H160" s="37" t="s">
        <v>143</v>
      </c>
      <c r="I160" s="35"/>
      <c r="J160" s="37" t="s">
        <v>54</v>
      </c>
      <c r="K160" s="35" t="s">
        <v>144</v>
      </c>
      <c r="L160" s="37" t="s">
        <v>145</v>
      </c>
      <c r="M160" s="37" t="s">
        <v>205</v>
      </c>
      <c r="N160" s="35" t="s">
        <v>147</v>
      </c>
      <c r="O160" s="35" t="s">
        <v>148</v>
      </c>
      <c r="P160" s="37">
        <v>60</v>
      </c>
      <c r="Q160" s="37" t="e">
        <f>VLOOKUP(D160,#REF!,9,FALSE)</f>
        <v>#REF!</v>
      </c>
      <c r="R160" s="37" t="s">
        <v>149</v>
      </c>
      <c r="S160" s="35" t="s">
        <v>183</v>
      </c>
      <c r="T160" s="37">
        <v>340</v>
      </c>
      <c r="U160" s="37">
        <v>110</v>
      </c>
      <c r="V160" s="37">
        <v>110</v>
      </c>
      <c r="W160" s="38">
        <f t="shared" si="29"/>
        <v>4114000</v>
      </c>
      <c r="X160" s="38"/>
      <c r="Y160" s="36">
        <v>0.12</v>
      </c>
      <c r="Z160" s="36">
        <v>0.5</v>
      </c>
      <c r="AA160" s="39">
        <v>7.6999999999999993</v>
      </c>
      <c r="AB160" s="37">
        <v>1000</v>
      </c>
      <c r="AC160" s="35">
        <v>1000</v>
      </c>
      <c r="AD160" s="36">
        <v>130</v>
      </c>
      <c r="AE160" s="35">
        <f t="shared" si="31"/>
        <v>130000000</v>
      </c>
      <c r="AF160" s="37">
        <v>13</v>
      </c>
      <c r="AG160" s="37">
        <v>9</v>
      </c>
      <c r="AH160" s="37">
        <v>5</v>
      </c>
      <c r="AI160" s="37" t="s">
        <v>151</v>
      </c>
      <c r="AJ160" s="40">
        <f t="shared" si="27"/>
        <v>1000</v>
      </c>
      <c r="AK160" s="40">
        <f t="shared" si="27"/>
        <v>1000</v>
      </c>
      <c r="AL160" s="40">
        <f t="shared" si="30"/>
        <v>680</v>
      </c>
      <c r="AM160" s="26">
        <f t="shared" si="28"/>
        <v>680000000</v>
      </c>
      <c r="AN160" s="37" t="s">
        <v>152</v>
      </c>
      <c r="AO160" s="37" t="s">
        <v>153</v>
      </c>
      <c r="AP160" s="35"/>
      <c r="AQ160" s="35"/>
      <c r="AR160" s="37"/>
      <c r="AS160" s="35"/>
      <c r="AT160" s="37">
        <v>123</v>
      </c>
      <c r="AU160" s="41">
        <f t="shared" si="25"/>
        <v>506022000</v>
      </c>
      <c r="AV160" s="42">
        <f t="shared" si="26"/>
        <v>947.09999999999991</v>
      </c>
      <c r="AW160" s="36" t="s">
        <v>154</v>
      </c>
    </row>
    <row r="161" spans="1:49" hidden="1" x14ac:dyDescent="0.2">
      <c r="A161" s="35" t="s">
        <v>140</v>
      </c>
      <c r="B161" s="35" t="s">
        <v>141</v>
      </c>
      <c r="C161" s="67" t="s">
        <v>463</v>
      </c>
      <c r="D161" s="37"/>
      <c r="E161" s="35"/>
      <c r="F161" s="37"/>
      <c r="G161" s="35" t="s">
        <v>142</v>
      </c>
      <c r="H161" s="37" t="s">
        <v>143</v>
      </c>
      <c r="I161" s="35"/>
      <c r="J161" s="37" t="s">
        <v>54</v>
      </c>
      <c r="K161" s="35" t="s">
        <v>144</v>
      </c>
      <c r="L161" s="37" t="s">
        <v>145</v>
      </c>
      <c r="M161" s="37" t="s">
        <v>73</v>
      </c>
      <c r="N161" s="35" t="s">
        <v>171</v>
      </c>
      <c r="O161" s="35" t="s">
        <v>172</v>
      </c>
      <c r="P161" s="37">
        <v>90</v>
      </c>
      <c r="Q161" s="37" t="e">
        <f>VLOOKUP(D161,#REF!,9,FALSE)</f>
        <v>#REF!</v>
      </c>
      <c r="R161" s="37" t="s">
        <v>149</v>
      </c>
      <c r="S161" s="35" t="s">
        <v>150</v>
      </c>
      <c r="T161" s="37">
        <v>170</v>
      </c>
      <c r="U161" s="37">
        <v>340</v>
      </c>
      <c r="V161" s="37">
        <v>110</v>
      </c>
      <c r="W161" s="38">
        <f t="shared" si="29"/>
        <v>6358000</v>
      </c>
      <c r="X161" s="38"/>
      <c r="Y161" s="36">
        <v>0.02</v>
      </c>
      <c r="Z161" s="36">
        <v>0.71</v>
      </c>
      <c r="AA161" s="39">
        <v>2.5099999999999998</v>
      </c>
      <c r="AB161" s="37">
        <v>1000</v>
      </c>
      <c r="AC161" s="35">
        <v>1000</v>
      </c>
      <c r="AD161" s="36">
        <v>130</v>
      </c>
      <c r="AE161" s="35">
        <f t="shared" si="31"/>
        <v>130000000</v>
      </c>
      <c r="AF161" s="37">
        <v>13</v>
      </c>
      <c r="AG161" s="37">
        <v>18</v>
      </c>
      <c r="AH161" s="37">
        <v>6</v>
      </c>
      <c r="AI161" s="37" t="s">
        <v>151</v>
      </c>
      <c r="AJ161" s="40">
        <f t="shared" si="27"/>
        <v>1000</v>
      </c>
      <c r="AK161" s="40">
        <f t="shared" si="27"/>
        <v>1000</v>
      </c>
      <c r="AL161" s="40">
        <f t="shared" si="30"/>
        <v>790</v>
      </c>
      <c r="AM161" s="26">
        <f t="shared" si="28"/>
        <v>790000000</v>
      </c>
      <c r="AN161" s="37" t="s">
        <v>152</v>
      </c>
      <c r="AO161" s="37" t="s">
        <v>153</v>
      </c>
      <c r="AP161" s="35"/>
      <c r="AQ161" s="35"/>
      <c r="AR161" s="37"/>
      <c r="AS161" s="35"/>
      <c r="AT161" s="37">
        <v>144</v>
      </c>
      <c r="AU161" s="41">
        <f t="shared" si="25"/>
        <v>915552000</v>
      </c>
      <c r="AV161" s="42">
        <f t="shared" si="26"/>
        <v>361.43999999999994</v>
      </c>
      <c r="AW161" s="36" t="s">
        <v>173</v>
      </c>
    </row>
    <row r="162" spans="1:49" hidden="1" x14ac:dyDescent="0.2">
      <c r="A162" s="35" t="s">
        <v>140</v>
      </c>
      <c r="B162" s="35" t="s">
        <v>141</v>
      </c>
      <c r="C162" s="67" t="s">
        <v>464</v>
      </c>
      <c r="D162" s="37"/>
      <c r="E162" s="35"/>
      <c r="F162" s="37"/>
      <c r="G162" s="35" t="s">
        <v>142</v>
      </c>
      <c r="H162" s="37" t="s">
        <v>143</v>
      </c>
      <c r="I162" s="35"/>
      <c r="J162" s="37" t="s">
        <v>54</v>
      </c>
      <c r="K162" s="35" t="s">
        <v>144</v>
      </c>
      <c r="L162" s="37" t="s">
        <v>145</v>
      </c>
      <c r="M162" s="37" t="s">
        <v>71</v>
      </c>
      <c r="N162" s="35" t="s">
        <v>169</v>
      </c>
      <c r="O162" s="35" t="s">
        <v>169</v>
      </c>
      <c r="P162" s="37">
        <v>150</v>
      </c>
      <c r="Q162" s="37" t="e">
        <f>VLOOKUP(D162,#REF!,9,FALSE)</f>
        <v>#REF!</v>
      </c>
      <c r="R162" s="37" t="s">
        <v>149</v>
      </c>
      <c r="S162" s="35" t="s">
        <v>183</v>
      </c>
      <c r="T162" s="37">
        <v>340</v>
      </c>
      <c r="U162" s="37">
        <v>340</v>
      </c>
      <c r="V162" s="37">
        <v>110</v>
      </c>
      <c r="W162" s="38">
        <f t="shared" si="29"/>
        <v>12716000</v>
      </c>
      <c r="X162" s="38"/>
      <c r="Y162" s="36">
        <v>0.06</v>
      </c>
      <c r="Z162" s="36">
        <v>1</v>
      </c>
      <c r="AA162" s="39">
        <v>10</v>
      </c>
      <c r="AB162" s="37">
        <v>1000</v>
      </c>
      <c r="AC162" s="35">
        <v>1000</v>
      </c>
      <c r="AD162" s="36">
        <v>130</v>
      </c>
      <c r="AE162" s="35">
        <f t="shared" si="31"/>
        <v>130000000</v>
      </c>
      <c r="AF162" s="37">
        <v>13</v>
      </c>
      <c r="AG162" s="37">
        <v>9</v>
      </c>
      <c r="AH162" s="37">
        <v>5</v>
      </c>
      <c r="AI162" s="37" t="s">
        <v>151</v>
      </c>
      <c r="AJ162" s="40">
        <f t="shared" si="27"/>
        <v>1000</v>
      </c>
      <c r="AK162" s="40">
        <f t="shared" si="27"/>
        <v>1000</v>
      </c>
      <c r="AL162" s="40">
        <f t="shared" si="30"/>
        <v>680</v>
      </c>
      <c r="AM162" s="26">
        <f t="shared" si="28"/>
        <v>680000000</v>
      </c>
      <c r="AN162" s="37" t="s">
        <v>152</v>
      </c>
      <c r="AO162" s="37" t="s">
        <v>153</v>
      </c>
      <c r="AP162" s="35"/>
      <c r="AQ162" s="35"/>
      <c r="AR162" s="37"/>
      <c r="AS162" s="35"/>
      <c r="AT162" s="37">
        <v>19</v>
      </c>
      <c r="AU162" s="41">
        <f t="shared" si="25"/>
        <v>241604000</v>
      </c>
      <c r="AV162" s="42">
        <f t="shared" si="26"/>
        <v>190</v>
      </c>
      <c r="AW162" s="36" t="s">
        <v>198</v>
      </c>
    </row>
    <row r="163" spans="1:49" hidden="1" x14ac:dyDescent="0.2">
      <c r="A163" s="35" t="s">
        <v>140</v>
      </c>
      <c r="B163" s="35" t="s">
        <v>141</v>
      </c>
      <c r="C163" s="67" t="s">
        <v>465</v>
      </c>
      <c r="D163" s="37"/>
      <c r="E163" s="35"/>
      <c r="F163" s="37"/>
      <c r="G163" s="35" t="s">
        <v>142</v>
      </c>
      <c r="H163" s="37" t="s">
        <v>143</v>
      </c>
      <c r="I163" s="35"/>
      <c r="J163" s="37" t="s">
        <v>54</v>
      </c>
      <c r="K163" s="35" t="s">
        <v>144</v>
      </c>
      <c r="L163" s="37" t="s">
        <v>145</v>
      </c>
      <c r="M163" s="37" t="s">
        <v>71</v>
      </c>
      <c r="N163" s="35" t="s">
        <v>169</v>
      </c>
      <c r="O163" s="35" t="s">
        <v>169</v>
      </c>
      <c r="P163" s="37">
        <v>40</v>
      </c>
      <c r="Q163" s="37" t="e">
        <f>VLOOKUP(D163,#REF!,9,FALSE)</f>
        <v>#REF!</v>
      </c>
      <c r="R163" s="37" t="s">
        <v>149</v>
      </c>
      <c r="S163" s="35" t="s">
        <v>183</v>
      </c>
      <c r="T163" s="37">
        <v>340</v>
      </c>
      <c r="U163" s="37">
        <v>340</v>
      </c>
      <c r="V163" s="37">
        <v>110</v>
      </c>
      <c r="W163" s="38">
        <f t="shared" si="29"/>
        <v>12716000</v>
      </c>
      <c r="X163" s="38"/>
      <c r="Y163" s="36">
        <v>0.2</v>
      </c>
      <c r="Z163" s="36">
        <v>1</v>
      </c>
      <c r="AA163" s="39">
        <v>9</v>
      </c>
      <c r="AB163" s="37">
        <v>1000</v>
      </c>
      <c r="AC163" s="35">
        <v>1000</v>
      </c>
      <c r="AD163" s="36">
        <v>130</v>
      </c>
      <c r="AE163" s="35">
        <f t="shared" si="31"/>
        <v>130000000</v>
      </c>
      <c r="AF163" s="37">
        <v>13</v>
      </c>
      <c r="AG163" s="37">
        <v>9</v>
      </c>
      <c r="AH163" s="37">
        <v>5</v>
      </c>
      <c r="AI163" s="37" t="s">
        <v>151</v>
      </c>
      <c r="AJ163" s="40">
        <f t="shared" si="27"/>
        <v>1000</v>
      </c>
      <c r="AK163" s="40">
        <f t="shared" si="27"/>
        <v>1000</v>
      </c>
      <c r="AL163" s="40">
        <f t="shared" si="30"/>
        <v>680</v>
      </c>
      <c r="AM163" s="26">
        <f t="shared" si="28"/>
        <v>680000000</v>
      </c>
      <c r="AN163" s="37" t="s">
        <v>152</v>
      </c>
      <c r="AO163" s="37" t="s">
        <v>153</v>
      </c>
      <c r="AP163" s="35"/>
      <c r="AQ163" s="35"/>
      <c r="AR163" s="37"/>
      <c r="AS163" s="35"/>
      <c r="AT163" s="37">
        <v>53</v>
      </c>
      <c r="AU163" s="41">
        <f t="shared" si="25"/>
        <v>673948000</v>
      </c>
      <c r="AV163" s="42">
        <f t="shared" si="26"/>
        <v>477</v>
      </c>
      <c r="AW163" s="36" t="s">
        <v>198</v>
      </c>
    </row>
    <row r="164" spans="1:49" hidden="1" x14ac:dyDescent="0.2">
      <c r="A164" s="35" t="s">
        <v>140</v>
      </c>
      <c r="B164" s="35" t="s">
        <v>141</v>
      </c>
      <c r="C164" s="67" t="s">
        <v>466</v>
      </c>
      <c r="D164" s="37"/>
      <c r="E164" s="35"/>
      <c r="F164" s="37"/>
      <c r="G164" s="35" t="s">
        <v>142</v>
      </c>
      <c r="H164" s="37" t="s">
        <v>143</v>
      </c>
      <c r="I164" s="35"/>
      <c r="J164" s="37" t="s">
        <v>54</v>
      </c>
      <c r="K164" s="35" t="s">
        <v>144</v>
      </c>
      <c r="L164" s="37" t="s">
        <v>145</v>
      </c>
      <c r="M164" s="37" t="s">
        <v>71</v>
      </c>
      <c r="N164" s="35" t="s">
        <v>169</v>
      </c>
      <c r="O164" s="35" t="s">
        <v>169</v>
      </c>
      <c r="P164" s="37">
        <v>150</v>
      </c>
      <c r="Q164" s="37" t="e">
        <f>VLOOKUP(D164,#REF!,9,FALSE)</f>
        <v>#REF!</v>
      </c>
      <c r="R164" s="37" t="s">
        <v>149</v>
      </c>
      <c r="S164" s="35" t="s">
        <v>183</v>
      </c>
      <c r="T164" s="37">
        <v>340</v>
      </c>
      <c r="U164" s="37">
        <v>340</v>
      </c>
      <c r="V164" s="37">
        <v>110</v>
      </c>
      <c r="W164" s="38">
        <f t="shared" si="29"/>
        <v>12716000</v>
      </c>
      <c r="X164" s="38"/>
      <c r="Y164" s="36">
        <v>0.08</v>
      </c>
      <c r="Z164" s="36">
        <v>1</v>
      </c>
      <c r="AA164" s="39">
        <v>13</v>
      </c>
      <c r="AB164" s="37">
        <v>1000</v>
      </c>
      <c r="AC164" s="35">
        <v>1000</v>
      </c>
      <c r="AD164" s="36">
        <v>130</v>
      </c>
      <c r="AE164" s="35">
        <f t="shared" si="31"/>
        <v>130000000</v>
      </c>
      <c r="AF164" s="37">
        <v>13</v>
      </c>
      <c r="AG164" s="37">
        <v>9</v>
      </c>
      <c r="AH164" s="37">
        <v>5</v>
      </c>
      <c r="AI164" s="37" t="s">
        <v>151</v>
      </c>
      <c r="AJ164" s="40">
        <f t="shared" si="27"/>
        <v>1000</v>
      </c>
      <c r="AK164" s="40">
        <f t="shared" si="27"/>
        <v>1000</v>
      </c>
      <c r="AL164" s="40">
        <f t="shared" si="30"/>
        <v>680</v>
      </c>
      <c r="AM164" s="26">
        <f t="shared" si="28"/>
        <v>680000000</v>
      </c>
      <c r="AN164" s="37" t="s">
        <v>152</v>
      </c>
      <c r="AO164" s="37" t="s">
        <v>153</v>
      </c>
      <c r="AP164" s="35"/>
      <c r="AQ164" s="35"/>
      <c r="AR164" s="37"/>
      <c r="AS164" s="35"/>
      <c r="AT164" s="37">
        <v>112</v>
      </c>
      <c r="AU164" s="41">
        <f t="shared" si="25"/>
        <v>1424192000</v>
      </c>
      <c r="AV164" s="42">
        <f t="shared" si="26"/>
        <v>1456</v>
      </c>
      <c r="AW164" s="36" t="s">
        <v>198</v>
      </c>
    </row>
    <row r="165" spans="1:49" hidden="1" x14ac:dyDescent="0.2">
      <c r="A165" s="35" t="s">
        <v>140</v>
      </c>
      <c r="B165" s="35" t="s">
        <v>141</v>
      </c>
      <c r="C165" s="67" t="s">
        <v>467</v>
      </c>
      <c r="D165" s="37"/>
      <c r="E165" s="35"/>
      <c r="F165" s="37"/>
      <c r="G165" s="35" t="s">
        <v>142</v>
      </c>
      <c r="H165" s="37" t="s">
        <v>143</v>
      </c>
      <c r="I165" s="35"/>
      <c r="J165" s="37" t="s">
        <v>54</v>
      </c>
      <c r="K165" s="35" t="s">
        <v>144</v>
      </c>
      <c r="L165" s="37" t="s">
        <v>145</v>
      </c>
      <c r="M165" s="37" t="s">
        <v>71</v>
      </c>
      <c r="N165" s="35" t="s">
        <v>169</v>
      </c>
      <c r="O165" s="35" t="s">
        <v>169</v>
      </c>
      <c r="P165" s="37">
        <v>40</v>
      </c>
      <c r="Q165" s="37" t="e">
        <f>VLOOKUP(D165,#REF!,9,FALSE)</f>
        <v>#REF!</v>
      </c>
      <c r="R165" s="37" t="s">
        <v>149</v>
      </c>
      <c r="S165" s="35" t="s">
        <v>183</v>
      </c>
      <c r="T165" s="37">
        <v>340</v>
      </c>
      <c r="U165" s="37">
        <v>340</v>
      </c>
      <c r="V165" s="37">
        <v>110</v>
      </c>
      <c r="W165" s="38">
        <f t="shared" si="29"/>
        <v>12716000</v>
      </c>
      <c r="X165" s="38"/>
      <c r="Y165" s="36">
        <v>0.2</v>
      </c>
      <c r="Z165" s="36">
        <v>1</v>
      </c>
      <c r="AA165" s="39">
        <v>9</v>
      </c>
      <c r="AB165" s="37">
        <v>1000</v>
      </c>
      <c r="AC165" s="35">
        <v>1000</v>
      </c>
      <c r="AD165" s="36">
        <v>130</v>
      </c>
      <c r="AE165" s="35">
        <f t="shared" si="31"/>
        <v>130000000</v>
      </c>
      <c r="AF165" s="37">
        <v>13</v>
      </c>
      <c r="AG165" s="37">
        <v>9</v>
      </c>
      <c r="AH165" s="37">
        <v>5</v>
      </c>
      <c r="AI165" s="37" t="s">
        <v>151</v>
      </c>
      <c r="AJ165" s="40">
        <f t="shared" si="27"/>
        <v>1000</v>
      </c>
      <c r="AK165" s="40">
        <f t="shared" si="27"/>
        <v>1000</v>
      </c>
      <c r="AL165" s="40">
        <f t="shared" si="30"/>
        <v>680</v>
      </c>
      <c r="AM165" s="26">
        <f t="shared" si="28"/>
        <v>680000000</v>
      </c>
      <c r="AN165" s="37" t="s">
        <v>152</v>
      </c>
      <c r="AO165" s="37" t="s">
        <v>153</v>
      </c>
      <c r="AP165" s="35"/>
      <c r="AQ165" s="35"/>
      <c r="AR165" s="37"/>
      <c r="AS165" s="35"/>
      <c r="AT165" s="37">
        <v>202</v>
      </c>
      <c r="AU165" s="41">
        <f t="shared" si="25"/>
        <v>2568632000</v>
      </c>
      <c r="AV165" s="42">
        <f t="shared" si="26"/>
        <v>1818</v>
      </c>
      <c r="AW165" s="36" t="s">
        <v>198</v>
      </c>
    </row>
    <row r="166" spans="1:49" hidden="1" x14ac:dyDescent="0.2">
      <c r="A166" s="35" t="s">
        <v>140</v>
      </c>
      <c r="B166" s="35" t="s">
        <v>141</v>
      </c>
      <c r="C166" s="67" t="s">
        <v>468</v>
      </c>
      <c r="D166" s="37"/>
      <c r="E166" s="35"/>
      <c r="F166" s="37"/>
      <c r="G166" s="35" t="s">
        <v>142</v>
      </c>
      <c r="H166" s="37" t="s">
        <v>143</v>
      </c>
      <c r="I166" s="35"/>
      <c r="J166" s="37" t="s">
        <v>54</v>
      </c>
      <c r="K166" s="35" t="s">
        <v>144</v>
      </c>
      <c r="L166" s="37" t="s">
        <v>145</v>
      </c>
      <c r="M166" s="37" t="s">
        <v>64</v>
      </c>
      <c r="N166" s="35" t="s">
        <v>171</v>
      </c>
      <c r="O166" s="35" t="s">
        <v>172</v>
      </c>
      <c r="P166" s="37">
        <v>90</v>
      </c>
      <c r="Q166" s="37" t="e">
        <f>VLOOKUP(D166,#REF!,9,FALSE)</f>
        <v>#REF!</v>
      </c>
      <c r="R166" s="37" t="s">
        <v>149</v>
      </c>
      <c r="S166" s="35" t="s">
        <v>150</v>
      </c>
      <c r="T166" s="37">
        <v>340</v>
      </c>
      <c r="U166" s="37">
        <v>170</v>
      </c>
      <c r="V166" s="37">
        <v>110</v>
      </c>
      <c r="W166" s="38">
        <f t="shared" si="29"/>
        <v>6358000</v>
      </c>
      <c r="X166" s="38"/>
      <c r="Y166" s="36">
        <v>0.02</v>
      </c>
      <c r="Z166" s="36">
        <v>0.71</v>
      </c>
      <c r="AA166" s="39">
        <v>2.5099999999999998</v>
      </c>
      <c r="AB166" s="37">
        <v>1000</v>
      </c>
      <c r="AC166" s="35">
        <v>1000</v>
      </c>
      <c r="AD166" s="36">
        <v>130</v>
      </c>
      <c r="AE166" s="35">
        <f t="shared" si="31"/>
        <v>130000000</v>
      </c>
      <c r="AF166" s="37">
        <v>13</v>
      </c>
      <c r="AG166" s="37">
        <v>18</v>
      </c>
      <c r="AH166" s="37">
        <v>6</v>
      </c>
      <c r="AI166" s="37" t="s">
        <v>151</v>
      </c>
      <c r="AJ166" s="40">
        <f t="shared" si="27"/>
        <v>1000</v>
      </c>
      <c r="AK166" s="40">
        <f t="shared" si="27"/>
        <v>1000</v>
      </c>
      <c r="AL166" s="40">
        <f t="shared" si="30"/>
        <v>790</v>
      </c>
      <c r="AM166" s="26">
        <f t="shared" si="28"/>
        <v>790000000</v>
      </c>
      <c r="AN166" s="37" t="s">
        <v>152</v>
      </c>
      <c r="AO166" s="37" t="s">
        <v>153</v>
      </c>
      <c r="AP166" s="35"/>
      <c r="AQ166" s="35"/>
      <c r="AR166" s="37"/>
      <c r="AS166" s="35"/>
      <c r="AT166" s="37">
        <v>45</v>
      </c>
      <c r="AU166" s="41">
        <f t="shared" si="25"/>
        <v>286110000</v>
      </c>
      <c r="AV166" s="42">
        <f t="shared" si="26"/>
        <v>112.94999999999999</v>
      </c>
      <c r="AW166" s="36" t="s">
        <v>173</v>
      </c>
    </row>
    <row r="167" spans="1:49" hidden="1" x14ac:dyDescent="0.2">
      <c r="A167" s="35" t="s">
        <v>140</v>
      </c>
      <c r="B167" s="35" t="s">
        <v>141</v>
      </c>
      <c r="C167" s="37" t="s">
        <v>468</v>
      </c>
      <c r="D167" s="37"/>
      <c r="E167" s="35"/>
      <c r="F167" s="37"/>
      <c r="G167" s="35" t="s">
        <v>142</v>
      </c>
      <c r="H167" s="37" t="s">
        <v>143</v>
      </c>
      <c r="I167" s="35"/>
      <c r="J167" s="37" t="s">
        <v>54</v>
      </c>
      <c r="K167" s="35" t="s">
        <v>144</v>
      </c>
      <c r="L167" s="37" t="s">
        <v>145</v>
      </c>
      <c r="M167" s="37" t="s">
        <v>7</v>
      </c>
      <c r="N167" s="35" t="s">
        <v>171</v>
      </c>
      <c r="O167" s="35" t="s">
        <v>172</v>
      </c>
      <c r="P167" s="37">
        <v>90</v>
      </c>
      <c r="Q167" s="37" t="e">
        <f>VLOOKUP(D167,#REF!,9,FALSE)</f>
        <v>#REF!</v>
      </c>
      <c r="R167" s="37" t="s">
        <v>149</v>
      </c>
      <c r="S167" s="35" t="s">
        <v>150</v>
      </c>
      <c r="T167" s="37">
        <v>340</v>
      </c>
      <c r="U167" s="37">
        <v>170</v>
      </c>
      <c r="V167" s="37">
        <v>110</v>
      </c>
      <c r="W167" s="38">
        <f t="shared" si="29"/>
        <v>6358000</v>
      </c>
      <c r="X167" s="38"/>
      <c r="Y167" s="36">
        <v>0.02</v>
      </c>
      <c r="Z167" s="36">
        <v>0.71</v>
      </c>
      <c r="AA167" s="39">
        <v>2.5099999999999998</v>
      </c>
      <c r="AB167" s="37">
        <v>1000</v>
      </c>
      <c r="AC167" s="35">
        <v>1000</v>
      </c>
      <c r="AD167" s="36">
        <v>130</v>
      </c>
      <c r="AE167" s="35">
        <f t="shared" si="31"/>
        <v>130000000</v>
      </c>
      <c r="AF167" s="37">
        <v>13</v>
      </c>
      <c r="AG167" s="37">
        <v>18</v>
      </c>
      <c r="AH167" s="37">
        <v>6</v>
      </c>
      <c r="AI167" s="37" t="s">
        <v>151</v>
      </c>
      <c r="AJ167" s="40">
        <f t="shared" si="27"/>
        <v>1000</v>
      </c>
      <c r="AK167" s="40">
        <f t="shared" si="27"/>
        <v>1000</v>
      </c>
      <c r="AL167" s="40">
        <f t="shared" si="30"/>
        <v>790</v>
      </c>
      <c r="AM167" s="26">
        <f t="shared" si="28"/>
        <v>790000000</v>
      </c>
      <c r="AN167" s="37" t="s">
        <v>152</v>
      </c>
      <c r="AO167" s="37" t="s">
        <v>153</v>
      </c>
      <c r="AP167" s="35"/>
      <c r="AQ167" s="35"/>
      <c r="AR167" s="37"/>
      <c r="AS167" s="35"/>
      <c r="AT167" s="37">
        <v>26</v>
      </c>
      <c r="AU167" s="41">
        <f t="shared" si="25"/>
        <v>165308000</v>
      </c>
      <c r="AV167" s="42">
        <f t="shared" si="26"/>
        <v>65.259999999999991</v>
      </c>
      <c r="AW167" s="36" t="s">
        <v>173</v>
      </c>
    </row>
    <row r="168" spans="1:49" hidden="1" x14ac:dyDescent="0.2">
      <c r="A168" s="35" t="s">
        <v>140</v>
      </c>
      <c r="B168" s="35" t="s">
        <v>141</v>
      </c>
      <c r="C168" s="37" t="s">
        <v>469</v>
      </c>
      <c r="D168" s="37"/>
      <c r="E168" s="35"/>
      <c r="F168" s="37"/>
      <c r="G168" s="35" t="s">
        <v>142</v>
      </c>
      <c r="H168" s="37" t="s">
        <v>143</v>
      </c>
      <c r="I168" s="35"/>
      <c r="J168" s="37" t="s">
        <v>54</v>
      </c>
      <c r="K168" s="35" t="s">
        <v>144</v>
      </c>
      <c r="L168" s="37" t="s">
        <v>145</v>
      </c>
      <c r="M168" s="37" t="s">
        <v>4</v>
      </c>
      <c r="N168" s="35" t="s">
        <v>169</v>
      </c>
      <c r="O168" s="35" t="s">
        <v>169</v>
      </c>
      <c r="P168" s="37">
        <v>110</v>
      </c>
      <c r="Q168" s="37" t="e">
        <f>VLOOKUP(D168,#REF!,9,FALSE)</f>
        <v>#REF!</v>
      </c>
      <c r="R168" s="37" t="s">
        <v>149</v>
      </c>
      <c r="S168" s="35" t="s">
        <v>183</v>
      </c>
      <c r="T168" s="37">
        <v>340</v>
      </c>
      <c r="U168" s="37">
        <v>340</v>
      </c>
      <c r="V168" s="37">
        <v>110</v>
      </c>
      <c r="W168" s="38">
        <f t="shared" si="29"/>
        <v>12716000</v>
      </c>
      <c r="X168" s="38"/>
      <c r="Y168" s="36">
        <v>0.06</v>
      </c>
      <c r="Z168" s="36">
        <v>2.38</v>
      </c>
      <c r="AA168" s="39">
        <v>8.98</v>
      </c>
      <c r="AB168" s="37">
        <v>1000</v>
      </c>
      <c r="AC168" s="35">
        <v>1000</v>
      </c>
      <c r="AD168" s="36">
        <v>130</v>
      </c>
      <c r="AE168" s="35">
        <f t="shared" si="31"/>
        <v>130000000</v>
      </c>
      <c r="AF168" s="37">
        <v>13</v>
      </c>
      <c r="AG168" s="37">
        <v>9</v>
      </c>
      <c r="AH168" s="37">
        <v>5</v>
      </c>
      <c r="AI168" s="37" t="s">
        <v>151</v>
      </c>
      <c r="AJ168" s="40">
        <f t="shared" si="27"/>
        <v>1000</v>
      </c>
      <c r="AK168" s="40">
        <f t="shared" si="27"/>
        <v>1000</v>
      </c>
      <c r="AL168" s="40">
        <f t="shared" si="30"/>
        <v>680</v>
      </c>
      <c r="AM168" s="26">
        <f t="shared" si="28"/>
        <v>680000000</v>
      </c>
      <c r="AN168" s="37" t="s">
        <v>152</v>
      </c>
      <c r="AO168" s="37" t="s">
        <v>153</v>
      </c>
      <c r="AP168" s="35"/>
      <c r="AQ168" s="35"/>
      <c r="AR168" s="37"/>
      <c r="AS168" s="35"/>
      <c r="AT168" s="37">
        <v>109</v>
      </c>
      <c r="AU168" s="41">
        <f t="shared" si="25"/>
        <v>1386044000</v>
      </c>
      <c r="AV168" s="42">
        <f t="shared" si="26"/>
        <v>978.82</v>
      </c>
      <c r="AW168" s="36" t="s">
        <v>198</v>
      </c>
    </row>
    <row r="169" spans="1:49" hidden="1" x14ac:dyDescent="0.2">
      <c r="A169" s="35" t="s">
        <v>140</v>
      </c>
      <c r="B169" s="35" t="s">
        <v>141</v>
      </c>
      <c r="C169" s="37" t="s">
        <v>470</v>
      </c>
      <c r="D169" s="37"/>
      <c r="E169" s="35"/>
      <c r="F169" s="37"/>
      <c r="G169" s="35" t="s">
        <v>142</v>
      </c>
      <c r="H169" s="37" t="s">
        <v>143</v>
      </c>
      <c r="I169" s="35"/>
      <c r="J169" s="37" t="s">
        <v>54</v>
      </c>
      <c r="K169" s="35" t="s">
        <v>144</v>
      </c>
      <c r="L169" s="37" t="s">
        <v>145</v>
      </c>
      <c r="M169" s="37" t="s">
        <v>9</v>
      </c>
      <c r="N169" s="35" t="s">
        <v>147</v>
      </c>
      <c r="O169" s="35" t="s">
        <v>148</v>
      </c>
      <c r="P169" s="37">
        <v>130</v>
      </c>
      <c r="Q169" s="37" t="e">
        <f>VLOOKUP(D169,#REF!,9,FALSE)</f>
        <v>#REF!</v>
      </c>
      <c r="R169" s="37" t="s">
        <v>149</v>
      </c>
      <c r="S169" s="35" t="s">
        <v>183</v>
      </c>
      <c r="T169" s="37">
        <v>340</v>
      </c>
      <c r="U169" s="37">
        <v>340</v>
      </c>
      <c r="V169" s="37">
        <v>110</v>
      </c>
      <c r="W169" s="38">
        <f t="shared" si="29"/>
        <v>12716000</v>
      </c>
      <c r="X169" s="38"/>
      <c r="Y169" s="36">
        <v>0.1</v>
      </c>
      <c r="Z169" s="36">
        <v>1</v>
      </c>
      <c r="AA169" s="39">
        <v>14</v>
      </c>
      <c r="AB169" s="37">
        <v>1000</v>
      </c>
      <c r="AC169" s="35">
        <v>1000</v>
      </c>
      <c r="AD169" s="36">
        <v>130</v>
      </c>
      <c r="AE169" s="35">
        <f t="shared" si="31"/>
        <v>130000000</v>
      </c>
      <c r="AF169" s="37">
        <v>13</v>
      </c>
      <c r="AG169" s="37">
        <v>9</v>
      </c>
      <c r="AH169" s="37">
        <v>1</v>
      </c>
      <c r="AI169" s="37" t="s">
        <v>180</v>
      </c>
      <c r="AJ169" s="40">
        <f t="shared" si="27"/>
        <v>1000</v>
      </c>
      <c r="AK169" s="40">
        <f t="shared" si="27"/>
        <v>1000</v>
      </c>
      <c r="AL169" s="40">
        <f t="shared" si="30"/>
        <v>240</v>
      </c>
      <c r="AM169" s="26">
        <f t="shared" si="28"/>
        <v>240000000</v>
      </c>
      <c r="AN169" s="37" t="s">
        <v>152</v>
      </c>
      <c r="AO169" s="37" t="s">
        <v>153</v>
      </c>
      <c r="AP169" s="35"/>
      <c r="AQ169" s="35"/>
      <c r="AR169" s="37"/>
      <c r="AS169" s="35"/>
      <c r="AT169" s="37">
        <v>162</v>
      </c>
      <c r="AU169" s="41">
        <f t="shared" si="25"/>
        <v>2059992000</v>
      </c>
      <c r="AV169" s="42">
        <f t="shared" si="26"/>
        <v>2268</v>
      </c>
      <c r="AW169" s="36" t="s">
        <v>154</v>
      </c>
    </row>
    <row r="170" spans="1:49" hidden="1" x14ac:dyDescent="0.2">
      <c r="A170" s="35" t="s">
        <v>140</v>
      </c>
      <c r="B170" s="35" t="s">
        <v>141</v>
      </c>
      <c r="C170" s="37" t="s">
        <v>470</v>
      </c>
      <c r="D170" s="37"/>
      <c r="E170" s="35"/>
      <c r="F170" s="37"/>
      <c r="G170" s="35" t="s">
        <v>142</v>
      </c>
      <c r="H170" s="37" t="s">
        <v>143</v>
      </c>
      <c r="I170" s="35"/>
      <c r="J170" s="37" t="s">
        <v>54</v>
      </c>
      <c r="K170" s="35" t="s">
        <v>144</v>
      </c>
      <c r="L170" s="37" t="s">
        <v>145</v>
      </c>
      <c r="M170" s="37" t="s">
        <v>5</v>
      </c>
      <c r="N170" s="35" t="s">
        <v>169</v>
      </c>
      <c r="O170" s="35" t="s">
        <v>169</v>
      </c>
      <c r="P170" s="37">
        <v>130</v>
      </c>
      <c r="Q170" s="37" t="e">
        <f>VLOOKUP(D170,#REF!,9,FALSE)</f>
        <v>#REF!</v>
      </c>
      <c r="R170" s="37" t="s">
        <v>149</v>
      </c>
      <c r="S170" s="35" t="s">
        <v>183</v>
      </c>
      <c r="T170" s="37">
        <v>340</v>
      </c>
      <c r="U170" s="37">
        <v>340</v>
      </c>
      <c r="V170" s="37">
        <v>110</v>
      </c>
      <c r="W170" s="38">
        <f t="shared" si="29"/>
        <v>12716000</v>
      </c>
      <c r="X170" s="38"/>
      <c r="Y170" s="36">
        <v>7.0000000000000007E-2</v>
      </c>
      <c r="Z170" s="36">
        <v>1</v>
      </c>
      <c r="AA170" s="39">
        <v>10.100000000000001</v>
      </c>
      <c r="AB170" s="37">
        <v>1000</v>
      </c>
      <c r="AC170" s="35">
        <v>1000</v>
      </c>
      <c r="AD170" s="36">
        <v>130</v>
      </c>
      <c r="AE170" s="35">
        <f t="shared" si="31"/>
        <v>130000000</v>
      </c>
      <c r="AF170" s="37">
        <v>13</v>
      </c>
      <c r="AG170" s="37">
        <v>9</v>
      </c>
      <c r="AH170" s="37">
        <v>1</v>
      </c>
      <c r="AI170" s="37" t="s">
        <v>180</v>
      </c>
      <c r="AJ170" s="40">
        <f t="shared" si="27"/>
        <v>1000</v>
      </c>
      <c r="AK170" s="40">
        <f t="shared" si="27"/>
        <v>1000</v>
      </c>
      <c r="AL170" s="40">
        <f t="shared" si="30"/>
        <v>240</v>
      </c>
      <c r="AM170" s="26">
        <f t="shared" si="28"/>
        <v>240000000</v>
      </c>
      <c r="AN170" s="37" t="s">
        <v>152</v>
      </c>
      <c r="AO170" s="37" t="s">
        <v>153</v>
      </c>
      <c r="AP170" s="35"/>
      <c r="AQ170" s="35"/>
      <c r="AR170" s="37"/>
      <c r="AS170" s="35"/>
      <c r="AT170" s="37">
        <v>27</v>
      </c>
      <c r="AU170" s="41">
        <f t="shared" si="25"/>
        <v>343332000</v>
      </c>
      <c r="AV170" s="42">
        <f t="shared" si="26"/>
        <v>272.70000000000005</v>
      </c>
      <c r="AW170" s="36" t="s">
        <v>198</v>
      </c>
    </row>
    <row r="171" spans="1:49" hidden="1" x14ac:dyDescent="0.2">
      <c r="A171" s="35" t="s">
        <v>140</v>
      </c>
      <c r="B171" s="35" t="s">
        <v>141</v>
      </c>
      <c r="C171" s="67" t="s">
        <v>471</v>
      </c>
      <c r="D171" s="37"/>
      <c r="E171" s="35"/>
      <c r="F171" s="37"/>
      <c r="G171" s="35" t="s">
        <v>142</v>
      </c>
      <c r="H171" s="37" t="s">
        <v>143</v>
      </c>
      <c r="I171" s="35"/>
      <c r="J171" s="37" t="s">
        <v>54</v>
      </c>
      <c r="K171" s="35" t="s">
        <v>144</v>
      </c>
      <c r="L171" s="37" t="s">
        <v>145</v>
      </c>
      <c r="M171" s="37" t="s">
        <v>206</v>
      </c>
      <c r="N171" s="35" t="s">
        <v>147</v>
      </c>
      <c r="O171" s="35" t="s">
        <v>148</v>
      </c>
      <c r="P171" s="37">
        <v>180</v>
      </c>
      <c r="Q171" s="37" t="e">
        <f>VLOOKUP(D171,#REF!,9,FALSE)</f>
        <v>#REF!</v>
      </c>
      <c r="R171" s="37" t="s">
        <v>149</v>
      </c>
      <c r="S171" s="35" t="s">
        <v>183</v>
      </c>
      <c r="T171" s="37">
        <v>340</v>
      </c>
      <c r="U171" s="37">
        <v>110</v>
      </c>
      <c r="V171" s="37">
        <v>110</v>
      </c>
      <c r="W171" s="38">
        <f t="shared" si="29"/>
        <v>4114000</v>
      </c>
      <c r="X171" s="38"/>
      <c r="Y171" s="36">
        <v>0.03</v>
      </c>
      <c r="Z171" s="36">
        <v>0.5</v>
      </c>
      <c r="AA171" s="39">
        <v>5.8999999999999995</v>
      </c>
      <c r="AB171" s="37">
        <v>1000</v>
      </c>
      <c r="AC171" s="35">
        <v>1000</v>
      </c>
      <c r="AD171" s="36">
        <v>130</v>
      </c>
      <c r="AE171" s="35">
        <f t="shared" si="31"/>
        <v>130000000</v>
      </c>
      <c r="AF171" s="37">
        <v>13</v>
      </c>
      <c r="AG171" s="37">
        <v>9</v>
      </c>
      <c r="AH171" s="37">
        <v>5</v>
      </c>
      <c r="AI171" s="37" t="s">
        <v>151</v>
      </c>
      <c r="AJ171" s="40">
        <f t="shared" si="27"/>
        <v>1000</v>
      </c>
      <c r="AK171" s="40">
        <f t="shared" si="27"/>
        <v>1000</v>
      </c>
      <c r="AL171" s="40">
        <f t="shared" si="30"/>
        <v>680</v>
      </c>
      <c r="AM171" s="26">
        <f t="shared" si="28"/>
        <v>680000000</v>
      </c>
      <c r="AN171" s="37" t="s">
        <v>152</v>
      </c>
      <c r="AO171" s="37" t="s">
        <v>153</v>
      </c>
      <c r="AP171" s="35"/>
      <c r="AQ171" s="35"/>
      <c r="AR171" s="37"/>
      <c r="AS171" s="35"/>
      <c r="AT171" s="37">
        <v>46</v>
      </c>
      <c r="AU171" s="41">
        <f t="shared" si="25"/>
        <v>189244000</v>
      </c>
      <c r="AV171" s="42">
        <f t="shared" si="26"/>
        <v>271.39999999999998</v>
      </c>
      <c r="AW171" s="36" t="s">
        <v>154</v>
      </c>
    </row>
    <row r="172" spans="1:49" hidden="1" x14ac:dyDescent="0.2">
      <c r="A172" s="35" t="s">
        <v>140</v>
      </c>
      <c r="B172" s="35" t="s">
        <v>141</v>
      </c>
      <c r="C172" s="67" t="s">
        <v>472</v>
      </c>
      <c r="D172" s="37"/>
      <c r="E172" s="35"/>
      <c r="F172" s="37"/>
      <c r="G172" s="35" t="s">
        <v>142</v>
      </c>
      <c r="H172" s="37" t="s">
        <v>143</v>
      </c>
      <c r="I172" s="35"/>
      <c r="J172" s="37" t="s">
        <v>54</v>
      </c>
      <c r="K172" s="35" t="s">
        <v>144</v>
      </c>
      <c r="L172" s="37" t="s">
        <v>145</v>
      </c>
      <c r="M172" s="37" t="s">
        <v>73</v>
      </c>
      <c r="N172" s="35" t="s">
        <v>171</v>
      </c>
      <c r="O172" s="35" t="s">
        <v>172</v>
      </c>
      <c r="P172" s="37">
        <v>90</v>
      </c>
      <c r="Q172" s="37" t="e">
        <f>VLOOKUP(D172,#REF!,9,FALSE)</f>
        <v>#REF!</v>
      </c>
      <c r="R172" s="37" t="s">
        <v>149</v>
      </c>
      <c r="S172" s="35" t="s">
        <v>150</v>
      </c>
      <c r="T172" s="37">
        <v>170</v>
      </c>
      <c r="U172" s="37">
        <v>340</v>
      </c>
      <c r="V172" s="37">
        <v>110</v>
      </c>
      <c r="W172" s="38">
        <f t="shared" si="29"/>
        <v>6358000</v>
      </c>
      <c r="X172" s="38"/>
      <c r="Y172" s="36">
        <v>0.02</v>
      </c>
      <c r="Z172" s="36">
        <v>0.71</v>
      </c>
      <c r="AA172" s="39">
        <v>2.5099999999999998</v>
      </c>
      <c r="AB172" s="37">
        <v>1000</v>
      </c>
      <c r="AC172" s="35">
        <v>1000</v>
      </c>
      <c r="AD172" s="36">
        <v>130</v>
      </c>
      <c r="AE172" s="35">
        <f t="shared" si="31"/>
        <v>130000000</v>
      </c>
      <c r="AF172" s="37">
        <v>13</v>
      </c>
      <c r="AG172" s="37">
        <v>18</v>
      </c>
      <c r="AH172" s="37">
        <v>6</v>
      </c>
      <c r="AI172" s="37" t="s">
        <v>151</v>
      </c>
      <c r="AJ172" s="40">
        <f t="shared" si="27"/>
        <v>1000</v>
      </c>
      <c r="AK172" s="40">
        <f t="shared" si="27"/>
        <v>1000</v>
      </c>
      <c r="AL172" s="40">
        <f t="shared" si="30"/>
        <v>790</v>
      </c>
      <c r="AM172" s="26">
        <f t="shared" si="28"/>
        <v>790000000</v>
      </c>
      <c r="AN172" s="37" t="s">
        <v>152</v>
      </c>
      <c r="AO172" s="37" t="s">
        <v>153</v>
      </c>
      <c r="AP172" s="35"/>
      <c r="AQ172" s="35"/>
      <c r="AR172" s="37"/>
      <c r="AS172" s="35"/>
      <c r="AT172" s="37">
        <v>148</v>
      </c>
      <c r="AU172" s="41">
        <f t="shared" si="25"/>
        <v>940984000</v>
      </c>
      <c r="AV172" s="42">
        <f t="shared" si="26"/>
        <v>371.47999999999996</v>
      </c>
      <c r="AW172" s="36" t="s">
        <v>173</v>
      </c>
    </row>
    <row r="173" spans="1:49" hidden="1" x14ac:dyDescent="0.2">
      <c r="A173" s="35" t="s">
        <v>140</v>
      </c>
      <c r="B173" s="35" t="s">
        <v>141</v>
      </c>
      <c r="C173" s="67" t="s">
        <v>473</v>
      </c>
      <c r="D173" s="37"/>
      <c r="E173" s="35"/>
      <c r="F173" s="37"/>
      <c r="G173" s="35" t="s">
        <v>142</v>
      </c>
      <c r="H173" s="37" t="s">
        <v>143</v>
      </c>
      <c r="I173" s="35"/>
      <c r="J173" s="37" t="s">
        <v>54</v>
      </c>
      <c r="K173" s="35" t="s">
        <v>144</v>
      </c>
      <c r="L173" s="37" t="s">
        <v>145</v>
      </c>
      <c r="M173" s="37" t="s">
        <v>2</v>
      </c>
      <c r="N173" s="35" t="s">
        <v>166</v>
      </c>
      <c r="O173" s="35" t="s">
        <v>166</v>
      </c>
      <c r="P173" s="37">
        <v>80</v>
      </c>
      <c r="Q173" s="37" t="e">
        <f>VLOOKUP(D173,#REF!,9,FALSE)</f>
        <v>#REF!</v>
      </c>
      <c r="R173" s="37" t="s">
        <v>149</v>
      </c>
      <c r="S173" s="35" t="s">
        <v>183</v>
      </c>
      <c r="T173" s="37">
        <v>340</v>
      </c>
      <c r="U173" s="37">
        <v>340</v>
      </c>
      <c r="V173" s="37">
        <v>110</v>
      </c>
      <c r="W173" s="38">
        <f t="shared" si="29"/>
        <v>12716000</v>
      </c>
      <c r="X173" s="38"/>
      <c r="Y173" s="36">
        <v>0.1</v>
      </c>
      <c r="Z173" s="36">
        <v>1</v>
      </c>
      <c r="AA173" s="39">
        <v>9</v>
      </c>
      <c r="AB173" s="37">
        <v>1000</v>
      </c>
      <c r="AC173" s="35">
        <v>1000</v>
      </c>
      <c r="AD173" s="36">
        <v>130</v>
      </c>
      <c r="AE173" s="35">
        <f t="shared" si="31"/>
        <v>130000000</v>
      </c>
      <c r="AF173" s="37">
        <v>13</v>
      </c>
      <c r="AG173" s="37">
        <v>9</v>
      </c>
      <c r="AH173" s="37">
        <v>5</v>
      </c>
      <c r="AI173" s="37" t="s">
        <v>151</v>
      </c>
      <c r="AJ173" s="40">
        <f t="shared" si="27"/>
        <v>1000</v>
      </c>
      <c r="AK173" s="40">
        <f t="shared" si="27"/>
        <v>1000</v>
      </c>
      <c r="AL173" s="40">
        <f t="shared" si="30"/>
        <v>680</v>
      </c>
      <c r="AM173" s="26">
        <f t="shared" si="28"/>
        <v>680000000</v>
      </c>
      <c r="AN173" s="37" t="s">
        <v>152</v>
      </c>
      <c r="AO173" s="37" t="s">
        <v>153</v>
      </c>
      <c r="AP173" s="35"/>
      <c r="AQ173" s="35"/>
      <c r="AR173" s="37"/>
      <c r="AS173" s="35"/>
      <c r="AT173" s="37">
        <v>5</v>
      </c>
      <c r="AU173" s="41">
        <f t="shared" si="25"/>
        <v>63580000</v>
      </c>
      <c r="AV173" s="42">
        <f t="shared" si="26"/>
        <v>45</v>
      </c>
      <c r="AW173" s="36" t="s">
        <v>198</v>
      </c>
    </row>
    <row r="174" spans="1:49" hidden="1" x14ac:dyDescent="0.2">
      <c r="A174" s="35" t="s">
        <v>140</v>
      </c>
      <c r="B174" s="35" t="s">
        <v>141</v>
      </c>
      <c r="C174" s="67" t="s">
        <v>474</v>
      </c>
      <c r="D174" s="37"/>
      <c r="E174" s="35"/>
      <c r="F174" s="37"/>
      <c r="G174" s="35" t="s">
        <v>142</v>
      </c>
      <c r="H174" s="37" t="s">
        <v>143</v>
      </c>
      <c r="I174" s="35"/>
      <c r="J174" s="37" t="s">
        <v>54</v>
      </c>
      <c r="K174" s="35" t="s">
        <v>144</v>
      </c>
      <c r="L174" s="37" t="s">
        <v>145</v>
      </c>
      <c r="M174" s="37" t="s">
        <v>2</v>
      </c>
      <c r="N174" s="35" t="s">
        <v>166</v>
      </c>
      <c r="O174" s="35" t="s">
        <v>166</v>
      </c>
      <c r="P174" s="37">
        <v>80</v>
      </c>
      <c r="Q174" s="37" t="e">
        <f>VLOOKUP(D174,#REF!,9,FALSE)</f>
        <v>#REF!</v>
      </c>
      <c r="R174" s="37" t="s">
        <v>149</v>
      </c>
      <c r="S174" s="35" t="s">
        <v>183</v>
      </c>
      <c r="T174" s="37">
        <v>340</v>
      </c>
      <c r="U174" s="37">
        <v>340</v>
      </c>
      <c r="V174" s="37">
        <v>110</v>
      </c>
      <c r="W174" s="38">
        <f t="shared" si="29"/>
        <v>12716000</v>
      </c>
      <c r="X174" s="38"/>
      <c r="Y174" s="36">
        <v>0.1</v>
      </c>
      <c r="Z174" s="36">
        <v>1</v>
      </c>
      <c r="AA174" s="39">
        <v>9</v>
      </c>
      <c r="AB174" s="37">
        <v>1000</v>
      </c>
      <c r="AC174" s="35">
        <v>1000</v>
      </c>
      <c r="AD174" s="36">
        <v>130</v>
      </c>
      <c r="AE174" s="35">
        <f t="shared" si="31"/>
        <v>130000000</v>
      </c>
      <c r="AF174" s="37">
        <v>13</v>
      </c>
      <c r="AG174" s="37">
        <v>9</v>
      </c>
      <c r="AH174" s="37">
        <v>5</v>
      </c>
      <c r="AI174" s="37" t="s">
        <v>151</v>
      </c>
      <c r="AJ174" s="40">
        <f t="shared" si="27"/>
        <v>1000</v>
      </c>
      <c r="AK174" s="40">
        <f t="shared" si="27"/>
        <v>1000</v>
      </c>
      <c r="AL174" s="40">
        <f t="shared" si="30"/>
        <v>680</v>
      </c>
      <c r="AM174" s="26">
        <f t="shared" si="28"/>
        <v>680000000</v>
      </c>
      <c r="AN174" s="37" t="s">
        <v>152</v>
      </c>
      <c r="AO174" s="37" t="s">
        <v>153</v>
      </c>
      <c r="AP174" s="35"/>
      <c r="AQ174" s="35"/>
      <c r="AR174" s="37"/>
      <c r="AS174" s="35"/>
      <c r="AT174" s="37">
        <v>116</v>
      </c>
      <c r="AU174" s="41">
        <f t="shared" si="25"/>
        <v>1475056000</v>
      </c>
      <c r="AV174" s="42">
        <f t="shared" si="26"/>
        <v>1044</v>
      </c>
      <c r="AW174" s="36" t="s">
        <v>198</v>
      </c>
    </row>
    <row r="175" spans="1:49" hidden="1" x14ac:dyDescent="0.2">
      <c r="A175" s="35" t="s">
        <v>140</v>
      </c>
      <c r="B175" s="35" t="s">
        <v>141</v>
      </c>
      <c r="C175" s="67" t="s">
        <v>475</v>
      </c>
      <c r="D175" s="37"/>
      <c r="E175" s="35"/>
      <c r="F175" s="37"/>
      <c r="G175" s="35" t="s">
        <v>142</v>
      </c>
      <c r="H175" s="37" t="s">
        <v>143</v>
      </c>
      <c r="I175" s="35"/>
      <c r="J175" s="37" t="s">
        <v>54</v>
      </c>
      <c r="K175" s="35" t="s">
        <v>144</v>
      </c>
      <c r="L175" s="37" t="s">
        <v>145</v>
      </c>
      <c r="M175" s="37" t="s">
        <v>2</v>
      </c>
      <c r="N175" s="35" t="s">
        <v>166</v>
      </c>
      <c r="O175" s="35" t="s">
        <v>166</v>
      </c>
      <c r="P175" s="37">
        <v>80</v>
      </c>
      <c r="Q175" s="37" t="e">
        <f>VLOOKUP(D175,#REF!,9,FALSE)</f>
        <v>#REF!</v>
      </c>
      <c r="R175" s="37" t="s">
        <v>149</v>
      </c>
      <c r="S175" s="35" t="s">
        <v>183</v>
      </c>
      <c r="T175" s="37">
        <v>340</v>
      </c>
      <c r="U175" s="37">
        <v>340</v>
      </c>
      <c r="V175" s="37">
        <v>110</v>
      </c>
      <c r="W175" s="38">
        <f t="shared" si="29"/>
        <v>12716000</v>
      </c>
      <c r="X175" s="38"/>
      <c r="Y175" s="36">
        <v>0.1</v>
      </c>
      <c r="Z175" s="36">
        <v>1</v>
      </c>
      <c r="AA175" s="39">
        <v>9</v>
      </c>
      <c r="AB175" s="37">
        <v>1000</v>
      </c>
      <c r="AC175" s="35">
        <v>1000</v>
      </c>
      <c r="AD175" s="36">
        <v>130</v>
      </c>
      <c r="AE175" s="35">
        <f t="shared" si="31"/>
        <v>130000000</v>
      </c>
      <c r="AF175" s="37">
        <v>13</v>
      </c>
      <c r="AG175" s="37">
        <v>9</v>
      </c>
      <c r="AH175" s="37">
        <v>5</v>
      </c>
      <c r="AI175" s="37" t="s">
        <v>151</v>
      </c>
      <c r="AJ175" s="40">
        <f t="shared" si="27"/>
        <v>1000</v>
      </c>
      <c r="AK175" s="40">
        <f t="shared" si="27"/>
        <v>1000</v>
      </c>
      <c r="AL175" s="40">
        <f t="shared" si="30"/>
        <v>680</v>
      </c>
      <c r="AM175" s="26">
        <f t="shared" si="28"/>
        <v>680000000</v>
      </c>
      <c r="AN175" s="37" t="s">
        <v>152</v>
      </c>
      <c r="AO175" s="37" t="s">
        <v>153</v>
      </c>
      <c r="AP175" s="35"/>
      <c r="AQ175" s="35"/>
      <c r="AR175" s="37"/>
      <c r="AS175" s="35"/>
      <c r="AT175" s="37">
        <v>289</v>
      </c>
      <c r="AU175" s="41">
        <f t="shared" si="25"/>
        <v>3674924000</v>
      </c>
      <c r="AV175" s="42">
        <f t="shared" si="26"/>
        <v>2601</v>
      </c>
      <c r="AW175" s="36" t="s">
        <v>198</v>
      </c>
    </row>
    <row r="176" spans="1:49" hidden="1" x14ac:dyDescent="0.2">
      <c r="A176" s="35" t="s">
        <v>140</v>
      </c>
      <c r="B176" s="35" t="s">
        <v>141</v>
      </c>
      <c r="C176" s="67" t="s">
        <v>476</v>
      </c>
      <c r="D176" s="37"/>
      <c r="E176" s="35"/>
      <c r="F176" s="37"/>
      <c r="G176" s="35" t="s">
        <v>142</v>
      </c>
      <c r="H176" s="37" t="s">
        <v>143</v>
      </c>
      <c r="I176" s="35"/>
      <c r="J176" s="37" t="s">
        <v>54</v>
      </c>
      <c r="K176" s="35" t="s">
        <v>144</v>
      </c>
      <c r="L176" s="37" t="s">
        <v>145</v>
      </c>
      <c r="M176" s="37" t="s">
        <v>2</v>
      </c>
      <c r="N176" s="35" t="s">
        <v>166</v>
      </c>
      <c r="O176" s="35" t="s">
        <v>166</v>
      </c>
      <c r="P176" s="37">
        <v>80</v>
      </c>
      <c r="Q176" s="37" t="e">
        <f>VLOOKUP(D176,#REF!,9,FALSE)</f>
        <v>#REF!</v>
      </c>
      <c r="R176" s="37" t="s">
        <v>149</v>
      </c>
      <c r="S176" s="35" t="s">
        <v>183</v>
      </c>
      <c r="T176" s="37">
        <v>340</v>
      </c>
      <c r="U176" s="37">
        <v>340</v>
      </c>
      <c r="V176" s="37">
        <v>110</v>
      </c>
      <c r="W176" s="38">
        <f t="shared" si="29"/>
        <v>12716000</v>
      </c>
      <c r="X176" s="38"/>
      <c r="Y176" s="36">
        <v>0.109</v>
      </c>
      <c r="Z176" s="36">
        <v>0.69</v>
      </c>
      <c r="AA176" s="39">
        <v>9.41</v>
      </c>
      <c r="AB176" s="37">
        <v>1000</v>
      </c>
      <c r="AC176" s="35">
        <v>1000</v>
      </c>
      <c r="AD176" s="36">
        <v>130</v>
      </c>
      <c r="AE176" s="35">
        <f t="shared" si="31"/>
        <v>130000000</v>
      </c>
      <c r="AF176" s="37">
        <v>13</v>
      </c>
      <c r="AG176" s="37">
        <v>9</v>
      </c>
      <c r="AH176" s="37">
        <v>5</v>
      </c>
      <c r="AI176" s="37" t="s">
        <v>151</v>
      </c>
      <c r="AJ176" s="40">
        <f t="shared" si="27"/>
        <v>1000</v>
      </c>
      <c r="AK176" s="40">
        <f t="shared" si="27"/>
        <v>1000</v>
      </c>
      <c r="AL176" s="40">
        <f t="shared" si="30"/>
        <v>680</v>
      </c>
      <c r="AM176" s="26">
        <f t="shared" si="28"/>
        <v>680000000</v>
      </c>
      <c r="AN176" s="37" t="s">
        <v>152</v>
      </c>
      <c r="AO176" s="37" t="s">
        <v>153</v>
      </c>
      <c r="AP176" s="35"/>
      <c r="AQ176" s="35"/>
      <c r="AR176" s="37"/>
      <c r="AS176" s="35"/>
      <c r="AT176" s="37">
        <v>232</v>
      </c>
      <c r="AU176" s="41">
        <f t="shared" si="25"/>
        <v>2950112000</v>
      </c>
      <c r="AV176" s="42">
        <f t="shared" si="26"/>
        <v>2183.12</v>
      </c>
      <c r="AW176" s="36" t="s">
        <v>198</v>
      </c>
    </row>
    <row r="177" spans="1:49" hidden="1" x14ac:dyDescent="0.2">
      <c r="A177" s="35" t="s">
        <v>140</v>
      </c>
      <c r="B177" s="35" t="s">
        <v>141</v>
      </c>
      <c r="C177" s="67" t="s">
        <v>477</v>
      </c>
      <c r="D177" s="37"/>
      <c r="E177" s="35"/>
      <c r="F177" s="37"/>
      <c r="G177" s="35" t="s">
        <v>142</v>
      </c>
      <c r="H177" s="37" t="s">
        <v>143</v>
      </c>
      <c r="I177" s="35"/>
      <c r="J177" s="37" t="s">
        <v>54</v>
      </c>
      <c r="K177" s="35" t="s">
        <v>144</v>
      </c>
      <c r="L177" s="37" t="s">
        <v>145</v>
      </c>
      <c r="M177" s="37" t="s">
        <v>2</v>
      </c>
      <c r="N177" s="35" t="s">
        <v>166</v>
      </c>
      <c r="O177" s="35" t="s">
        <v>166</v>
      </c>
      <c r="P177" s="37">
        <v>80</v>
      </c>
      <c r="Q177" s="37" t="e">
        <f>VLOOKUP(D177,#REF!,9,FALSE)</f>
        <v>#REF!</v>
      </c>
      <c r="R177" s="37" t="s">
        <v>149</v>
      </c>
      <c r="S177" s="35" t="s">
        <v>183</v>
      </c>
      <c r="T177" s="37">
        <v>340</v>
      </c>
      <c r="U177" s="37">
        <v>340</v>
      </c>
      <c r="V177" s="37">
        <v>110</v>
      </c>
      <c r="W177" s="38">
        <f t="shared" si="29"/>
        <v>12716000</v>
      </c>
      <c r="X177" s="38"/>
      <c r="Y177" s="36">
        <v>0.1</v>
      </c>
      <c r="Z177" s="36">
        <v>1</v>
      </c>
      <c r="AA177" s="39">
        <v>9</v>
      </c>
      <c r="AB177" s="37">
        <v>1000</v>
      </c>
      <c r="AC177" s="35">
        <v>1000</v>
      </c>
      <c r="AD177" s="36">
        <v>130</v>
      </c>
      <c r="AE177" s="35">
        <f t="shared" si="31"/>
        <v>130000000</v>
      </c>
      <c r="AF177" s="37">
        <v>13</v>
      </c>
      <c r="AG177" s="37">
        <v>9</v>
      </c>
      <c r="AH177" s="37">
        <v>5</v>
      </c>
      <c r="AI177" s="37" t="s">
        <v>151</v>
      </c>
      <c r="AJ177" s="40">
        <f t="shared" si="27"/>
        <v>1000</v>
      </c>
      <c r="AK177" s="40">
        <f t="shared" si="27"/>
        <v>1000</v>
      </c>
      <c r="AL177" s="40">
        <f t="shared" si="30"/>
        <v>680</v>
      </c>
      <c r="AM177" s="26">
        <f t="shared" si="28"/>
        <v>680000000</v>
      </c>
      <c r="AN177" s="37" t="s">
        <v>152</v>
      </c>
      <c r="AO177" s="37" t="s">
        <v>153</v>
      </c>
      <c r="AP177" s="35"/>
      <c r="AQ177" s="35"/>
      <c r="AR177" s="37"/>
      <c r="AS177" s="35"/>
      <c r="AT177" s="37">
        <v>13</v>
      </c>
      <c r="AU177" s="41">
        <f t="shared" si="25"/>
        <v>165308000</v>
      </c>
      <c r="AV177" s="42">
        <f t="shared" si="26"/>
        <v>117</v>
      </c>
      <c r="AW177" s="36" t="s">
        <v>198</v>
      </c>
    </row>
    <row r="178" spans="1:49" hidden="1" x14ac:dyDescent="0.2">
      <c r="A178" s="35" t="s">
        <v>140</v>
      </c>
      <c r="B178" s="35" t="s">
        <v>141</v>
      </c>
      <c r="C178" s="67" t="s">
        <v>478</v>
      </c>
      <c r="D178" s="37"/>
      <c r="E178" s="35"/>
      <c r="F178" s="37"/>
      <c r="G178" s="35" t="s">
        <v>142</v>
      </c>
      <c r="H178" s="37" t="s">
        <v>143</v>
      </c>
      <c r="I178" s="35"/>
      <c r="J178" s="37" t="s">
        <v>54</v>
      </c>
      <c r="K178" s="35" t="s">
        <v>144</v>
      </c>
      <c r="L178" s="37" t="s">
        <v>145</v>
      </c>
      <c r="M178" s="37" t="s">
        <v>64</v>
      </c>
      <c r="N178" s="35" t="s">
        <v>171</v>
      </c>
      <c r="O178" s="35" t="s">
        <v>172</v>
      </c>
      <c r="P178" s="37">
        <v>90</v>
      </c>
      <c r="Q178" s="37" t="e">
        <f>VLOOKUP(D178,#REF!,9,FALSE)</f>
        <v>#REF!</v>
      </c>
      <c r="R178" s="37" t="s">
        <v>149</v>
      </c>
      <c r="S178" s="35" t="s">
        <v>150</v>
      </c>
      <c r="T178" s="37">
        <v>340</v>
      </c>
      <c r="U178" s="37">
        <v>170</v>
      </c>
      <c r="V178" s="37">
        <v>110</v>
      </c>
      <c r="W178" s="38">
        <f t="shared" si="29"/>
        <v>6358000</v>
      </c>
      <c r="X178" s="38"/>
      <c r="Y178" s="36">
        <v>0.02</v>
      </c>
      <c r="Z178" s="36">
        <v>0.71</v>
      </c>
      <c r="AA178" s="39">
        <v>2.5099999999999998</v>
      </c>
      <c r="AB178" s="37">
        <v>1000</v>
      </c>
      <c r="AC178" s="35">
        <v>1000</v>
      </c>
      <c r="AD178" s="36">
        <v>130</v>
      </c>
      <c r="AE178" s="35">
        <f t="shared" si="31"/>
        <v>130000000</v>
      </c>
      <c r="AF178" s="37">
        <v>13</v>
      </c>
      <c r="AG178" s="37">
        <v>18</v>
      </c>
      <c r="AH178" s="37">
        <v>5</v>
      </c>
      <c r="AI178" s="37" t="s">
        <v>151</v>
      </c>
      <c r="AJ178" s="40">
        <f t="shared" si="27"/>
        <v>1000</v>
      </c>
      <c r="AK178" s="40">
        <f t="shared" si="27"/>
        <v>1000</v>
      </c>
      <c r="AL178" s="40">
        <f t="shared" si="30"/>
        <v>680</v>
      </c>
      <c r="AM178" s="26">
        <f t="shared" si="28"/>
        <v>680000000</v>
      </c>
      <c r="AN178" s="37" t="s">
        <v>152</v>
      </c>
      <c r="AO178" s="37" t="s">
        <v>153</v>
      </c>
      <c r="AP178" s="35"/>
      <c r="AQ178" s="35"/>
      <c r="AR178" s="37"/>
      <c r="AS178" s="35"/>
      <c r="AT178" s="37">
        <v>45</v>
      </c>
      <c r="AU178" s="41">
        <f t="shared" si="25"/>
        <v>286110000</v>
      </c>
      <c r="AV178" s="42">
        <f t="shared" si="26"/>
        <v>112.94999999999999</v>
      </c>
      <c r="AW178" s="36" t="s">
        <v>173</v>
      </c>
    </row>
    <row r="179" spans="1:49" hidden="1" x14ac:dyDescent="0.2">
      <c r="A179" s="35" t="s">
        <v>140</v>
      </c>
      <c r="B179" s="35" t="s">
        <v>141</v>
      </c>
      <c r="C179" s="37" t="s">
        <v>478</v>
      </c>
      <c r="D179" s="37"/>
      <c r="E179" s="35"/>
      <c r="F179" s="37"/>
      <c r="G179" s="35" t="s">
        <v>142</v>
      </c>
      <c r="H179" s="37" t="s">
        <v>143</v>
      </c>
      <c r="I179" s="35"/>
      <c r="J179" s="37" t="s">
        <v>54</v>
      </c>
      <c r="K179" s="35" t="s">
        <v>144</v>
      </c>
      <c r="L179" s="37" t="s">
        <v>145</v>
      </c>
      <c r="M179" s="37" t="s">
        <v>7</v>
      </c>
      <c r="N179" s="35" t="s">
        <v>171</v>
      </c>
      <c r="O179" s="35" t="s">
        <v>172</v>
      </c>
      <c r="P179" s="37">
        <v>90</v>
      </c>
      <c r="Q179" s="37" t="e">
        <f>VLOOKUP(D179,#REF!,9,FALSE)</f>
        <v>#REF!</v>
      </c>
      <c r="R179" s="37" t="s">
        <v>149</v>
      </c>
      <c r="S179" s="35" t="s">
        <v>150</v>
      </c>
      <c r="T179" s="37">
        <v>340</v>
      </c>
      <c r="U179" s="37">
        <v>170</v>
      </c>
      <c r="V179" s="37">
        <v>110</v>
      </c>
      <c r="W179" s="38">
        <f t="shared" si="29"/>
        <v>6358000</v>
      </c>
      <c r="X179" s="38"/>
      <c r="Y179" s="36">
        <v>0.02</v>
      </c>
      <c r="Z179" s="36">
        <v>0.71</v>
      </c>
      <c r="AA179" s="39">
        <v>2.5099999999999998</v>
      </c>
      <c r="AB179" s="37">
        <v>1000</v>
      </c>
      <c r="AC179" s="35">
        <v>1000</v>
      </c>
      <c r="AD179" s="36">
        <v>130</v>
      </c>
      <c r="AE179" s="35">
        <f t="shared" si="31"/>
        <v>130000000</v>
      </c>
      <c r="AF179" s="37">
        <v>13</v>
      </c>
      <c r="AG179" s="37">
        <v>18</v>
      </c>
      <c r="AH179" s="37">
        <v>5</v>
      </c>
      <c r="AI179" s="37" t="s">
        <v>151</v>
      </c>
      <c r="AJ179" s="40">
        <f t="shared" si="27"/>
        <v>1000</v>
      </c>
      <c r="AK179" s="40">
        <f t="shared" si="27"/>
        <v>1000</v>
      </c>
      <c r="AL179" s="40">
        <f t="shared" si="30"/>
        <v>680</v>
      </c>
      <c r="AM179" s="26">
        <f t="shared" si="28"/>
        <v>680000000</v>
      </c>
      <c r="AN179" s="37" t="s">
        <v>152</v>
      </c>
      <c r="AO179" s="37" t="s">
        <v>153</v>
      </c>
      <c r="AP179" s="35"/>
      <c r="AQ179" s="35"/>
      <c r="AR179" s="37"/>
      <c r="AS179" s="35"/>
      <c r="AT179" s="37">
        <v>26</v>
      </c>
      <c r="AU179" s="41">
        <f t="shared" si="25"/>
        <v>165308000</v>
      </c>
      <c r="AV179" s="42">
        <f t="shared" si="26"/>
        <v>65.259999999999991</v>
      </c>
      <c r="AW179" s="36" t="s">
        <v>173</v>
      </c>
    </row>
    <row r="180" spans="1:49" hidden="1" x14ac:dyDescent="0.2">
      <c r="A180" s="35" t="s">
        <v>140</v>
      </c>
      <c r="B180" s="35" t="s">
        <v>141</v>
      </c>
      <c r="C180" s="67" t="s">
        <v>479</v>
      </c>
      <c r="D180" s="37"/>
      <c r="E180" s="35"/>
      <c r="F180" s="37"/>
      <c r="G180" s="35" t="s">
        <v>142</v>
      </c>
      <c r="H180" s="37" t="s">
        <v>143</v>
      </c>
      <c r="I180" s="35"/>
      <c r="J180" s="37" t="s">
        <v>54</v>
      </c>
      <c r="K180" s="35" t="s">
        <v>144</v>
      </c>
      <c r="L180" s="37" t="s">
        <v>145</v>
      </c>
      <c r="M180" s="37" t="s">
        <v>78</v>
      </c>
      <c r="N180" s="35" t="s">
        <v>174</v>
      </c>
      <c r="O180" s="35" t="s">
        <v>175</v>
      </c>
      <c r="P180" s="37">
        <v>20</v>
      </c>
      <c r="Q180" s="37" t="e">
        <f>VLOOKUP(D180,#REF!,9,FALSE)</f>
        <v>#REF!</v>
      </c>
      <c r="R180" s="37" t="s">
        <v>149</v>
      </c>
      <c r="S180" s="35" t="s">
        <v>182</v>
      </c>
      <c r="T180" s="37">
        <v>340</v>
      </c>
      <c r="U180" s="37">
        <v>340</v>
      </c>
      <c r="V180" s="37">
        <v>200</v>
      </c>
      <c r="W180" s="38">
        <f t="shared" si="29"/>
        <v>23120000</v>
      </c>
      <c r="X180" s="38"/>
      <c r="Y180" s="36">
        <v>0.25800000000000001</v>
      </c>
      <c r="Z180" s="36">
        <v>1.9</v>
      </c>
      <c r="AA180" s="39">
        <v>7.0600000000000005</v>
      </c>
      <c r="AB180" s="37">
        <v>1000</v>
      </c>
      <c r="AC180" s="35">
        <v>1000</v>
      </c>
      <c r="AD180" s="36">
        <v>130</v>
      </c>
      <c r="AE180" s="35">
        <f t="shared" si="31"/>
        <v>130000000</v>
      </c>
      <c r="AF180" s="37">
        <v>13</v>
      </c>
      <c r="AG180" s="37">
        <v>9</v>
      </c>
      <c r="AH180" s="37">
        <v>5</v>
      </c>
      <c r="AI180" s="37" t="s">
        <v>151</v>
      </c>
      <c r="AJ180" s="40">
        <f t="shared" si="27"/>
        <v>1000</v>
      </c>
      <c r="AK180" s="40">
        <f t="shared" si="27"/>
        <v>1000</v>
      </c>
      <c r="AL180" s="40">
        <f t="shared" si="30"/>
        <v>1130</v>
      </c>
      <c r="AM180" s="26">
        <f t="shared" si="28"/>
        <v>1130000000</v>
      </c>
      <c r="AN180" s="37" t="s">
        <v>152</v>
      </c>
      <c r="AO180" s="37" t="s">
        <v>153</v>
      </c>
      <c r="AP180" s="35"/>
      <c r="AQ180" s="35"/>
      <c r="AR180" s="37"/>
      <c r="AS180" s="35"/>
      <c r="AT180" s="37">
        <v>145</v>
      </c>
      <c r="AU180" s="41">
        <f t="shared" si="25"/>
        <v>3352400000</v>
      </c>
      <c r="AV180" s="42">
        <f t="shared" si="26"/>
        <v>1023.7</v>
      </c>
      <c r="AW180" s="36" t="s">
        <v>176</v>
      </c>
    </row>
    <row r="181" spans="1:49" hidden="1" x14ac:dyDescent="0.2">
      <c r="A181" s="35" t="s">
        <v>140</v>
      </c>
      <c r="B181" s="35" t="s">
        <v>141</v>
      </c>
      <c r="C181" s="67" t="s">
        <v>480</v>
      </c>
      <c r="D181" s="37"/>
      <c r="E181" s="35"/>
      <c r="F181" s="37"/>
      <c r="G181" s="35" t="s">
        <v>142</v>
      </c>
      <c r="H181" s="37" t="s">
        <v>143</v>
      </c>
      <c r="I181" s="35"/>
      <c r="J181" s="37" t="s">
        <v>54</v>
      </c>
      <c r="K181" s="35" t="s">
        <v>144</v>
      </c>
      <c r="L181" s="37" t="s">
        <v>145</v>
      </c>
      <c r="M181" s="37" t="s">
        <v>78</v>
      </c>
      <c r="N181" s="35" t="s">
        <v>174</v>
      </c>
      <c r="O181" s="35" t="s">
        <v>175</v>
      </c>
      <c r="P181" s="37">
        <v>20</v>
      </c>
      <c r="Q181" s="37" t="e">
        <f>VLOOKUP(D181,#REF!,9,FALSE)</f>
        <v>#REF!</v>
      </c>
      <c r="R181" s="37" t="s">
        <v>149</v>
      </c>
      <c r="S181" s="35" t="s">
        <v>182</v>
      </c>
      <c r="T181" s="37">
        <v>340</v>
      </c>
      <c r="U181" s="37">
        <v>340</v>
      </c>
      <c r="V181" s="37">
        <v>200</v>
      </c>
      <c r="W181" s="38">
        <f t="shared" si="29"/>
        <v>23120000</v>
      </c>
      <c r="X181" s="38"/>
      <c r="Y181" s="36">
        <v>0.25800000000000001</v>
      </c>
      <c r="Z181" s="36">
        <v>1.9</v>
      </c>
      <c r="AA181" s="39">
        <v>7.0600000000000005</v>
      </c>
      <c r="AB181" s="37">
        <v>1000</v>
      </c>
      <c r="AC181" s="35">
        <v>1000</v>
      </c>
      <c r="AD181" s="36">
        <v>130</v>
      </c>
      <c r="AE181" s="35">
        <f t="shared" si="31"/>
        <v>130000000</v>
      </c>
      <c r="AF181" s="37">
        <v>13</v>
      </c>
      <c r="AG181" s="37">
        <v>9</v>
      </c>
      <c r="AH181" s="37">
        <v>5</v>
      </c>
      <c r="AI181" s="37" t="s">
        <v>151</v>
      </c>
      <c r="AJ181" s="40">
        <f t="shared" si="27"/>
        <v>1000</v>
      </c>
      <c r="AK181" s="40">
        <f t="shared" si="27"/>
        <v>1000</v>
      </c>
      <c r="AL181" s="40">
        <f t="shared" si="30"/>
        <v>1130</v>
      </c>
      <c r="AM181" s="26">
        <f t="shared" si="28"/>
        <v>1130000000</v>
      </c>
      <c r="AN181" s="37" t="s">
        <v>152</v>
      </c>
      <c r="AO181" s="37" t="s">
        <v>153</v>
      </c>
      <c r="AP181" s="35"/>
      <c r="AQ181" s="35"/>
      <c r="AR181" s="37"/>
      <c r="AS181" s="35"/>
      <c r="AT181" s="37">
        <v>216</v>
      </c>
      <c r="AU181" s="41">
        <f t="shared" si="25"/>
        <v>4993920000</v>
      </c>
      <c r="AV181" s="42">
        <f t="shared" si="26"/>
        <v>1524.96</v>
      </c>
      <c r="AW181" s="36" t="s">
        <v>176</v>
      </c>
    </row>
    <row r="182" spans="1:49" hidden="1" x14ac:dyDescent="0.2">
      <c r="A182" s="35" t="s">
        <v>140</v>
      </c>
      <c r="B182" s="35" t="s">
        <v>141</v>
      </c>
      <c r="C182" s="37" t="s">
        <v>480</v>
      </c>
      <c r="D182" s="37"/>
      <c r="E182" s="35"/>
      <c r="F182" s="37"/>
      <c r="G182" s="35" t="s">
        <v>142</v>
      </c>
      <c r="H182" s="37" t="s">
        <v>143</v>
      </c>
      <c r="I182" s="35"/>
      <c r="J182" s="37" t="s">
        <v>54</v>
      </c>
      <c r="K182" s="35" t="s">
        <v>144</v>
      </c>
      <c r="L182" s="37" t="s">
        <v>145</v>
      </c>
      <c r="M182" s="37" t="s">
        <v>79</v>
      </c>
      <c r="N182" s="35" t="s">
        <v>174</v>
      </c>
      <c r="O182" s="35" t="s">
        <v>175</v>
      </c>
      <c r="P182" s="37">
        <v>20</v>
      </c>
      <c r="Q182" s="37" t="e">
        <f>VLOOKUP(D182,#REF!,9,FALSE)</f>
        <v>#REF!</v>
      </c>
      <c r="R182" s="37" t="s">
        <v>149</v>
      </c>
      <c r="S182" s="35" t="s">
        <v>182</v>
      </c>
      <c r="T182" s="37">
        <v>340</v>
      </c>
      <c r="U182" s="37">
        <v>340</v>
      </c>
      <c r="V182" s="37">
        <v>200</v>
      </c>
      <c r="W182" s="38">
        <f t="shared" si="29"/>
        <v>23120000</v>
      </c>
      <c r="X182" s="38"/>
      <c r="Y182" s="36">
        <v>0.25800000000000001</v>
      </c>
      <c r="Z182" s="36">
        <v>1.9</v>
      </c>
      <c r="AA182" s="39">
        <v>7.0600000000000005</v>
      </c>
      <c r="AB182" s="37">
        <v>1000</v>
      </c>
      <c r="AC182" s="35">
        <v>1000</v>
      </c>
      <c r="AD182" s="36">
        <v>130</v>
      </c>
      <c r="AE182" s="35">
        <f t="shared" si="31"/>
        <v>130000000</v>
      </c>
      <c r="AF182" s="37">
        <v>13</v>
      </c>
      <c r="AG182" s="37">
        <v>9</v>
      </c>
      <c r="AH182" s="37">
        <v>5</v>
      </c>
      <c r="AI182" s="37" t="s">
        <v>151</v>
      </c>
      <c r="AJ182" s="40">
        <f t="shared" si="27"/>
        <v>1000</v>
      </c>
      <c r="AK182" s="40">
        <f t="shared" si="27"/>
        <v>1000</v>
      </c>
      <c r="AL182" s="40">
        <f t="shared" si="30"/>
        <v>1130</v>
      </c>
      <c r="AM182" s="26">
        <f t="shared" si="28"/>
        <v>1130000000</v>
      </c>
      <c r="AN182" s="37" t="s">
        <v>152</v>
      </c>
      <c r="AO182" s="37" t="s">
        <v>153</v>
      </c>
      <c r="AP182" s="35"/>
      <c r="AQ182" s="35"/>
      <c r="AR182" s="37"/>
      <c r="AS182" s="35"/>
      <c r="AT182" s="37">
        <v>61</v>
      </c>
      <c r="AU182" s="41">
        <f t="shared" si="25"/>
        <v>1410320000</v>
      </c>
      <c r="AV182" s="42">
        <f t="shared" si="26"/>
        <v>430.66</v>
      </c>
      <c r="AW182" s="36" t="s">
        <v>176</v>
      </c>
    </row>
    <row r="183" spans="1:49" hidden="1" x14ac:dyDescent="0.2">
      <c r="A183" s="35" t="s">
        <v>140</v>
      </c>
      <c r="B183" s="35" t="s">
        <v>141</v>
      </c>
      <c r="C183" s="67" t="s">
        <v>481</v>
      </c>
      <c r="D183" s="37"/>
      <c r="E183" s="35"/>
      <c r="F183" s="37"/>
      <c r="G183" s="35" t="s">
        <v>142</v>
      </c>
      <c r="H183" s="37" t="s">
        <v>143</v>
      </c>
      <c r="I183" s="35"/>
      <c r="J183" s="37" t="s">
        <v>54</v>
      </c>
      <c r="K183" s="35" t="s">
        <v>144</v>
      </c>
      <c r="L183" s="37" t="s">
        <v>145</v>
      </c>
      <c r="M183" s="37" t="s">
        <v>78</v>
      </c>
      <c r="N183" s="35" t="s">
        <v>174</v>
      </c>
      <c r="O183" s="35" t="s">
        <v>175</v>
      </c>
      <c r="P183" s="37">
        <v>18</v>
      </c>
      <c r="Q183" s="37" t="e">
        <f>VLOOKUP(D183,#REF!,9,FALSE)</f>
        <v>#REF!</v>
      </c>
      <c r="R183" s="37" t="s">
        <v>149</v>
      </c>
      <c r="S183" s="35" t="s">
        <v>179</v>
      </c>
      <c r="T183" s="37">
        <v>340</v>
      </c>
      <c r="U183" s="37">
        <v>340</v>
      </c>
      <c r="V183" s="37">
        <v>150</v>
      </c>
      <c r="W183" s="38">
        <f t="shared" si="29"/>
        <v>17340000</v>
      </c>
      <c r="X183" s="38"/>
      <c r="Y183" s="36">
        <v>0.23300000000000001</v>
      </c>
      <c r="Z183" s="36">
        <v>1.3</v>
      </c>
      <c r="AA183" s="39">
        <v>5.4939999999999998</v>
      </c>
      <c r="AB183" s="37">
        <v>1000</v>
      </c>
      <c r="AC183" s="35">
        <v>1000</v>
      </c>
      <c r="AD183" s="36">
        <v>130</v>
      </c>
      <c r="AE183" s="35">
        <f t="shared" si="31"/>
        <v>130000000</v>
      </c>
      <c r="AF183" s="37">
        <v>13</v>
      </c>
      <c r="AG183" s="37">
        <v>9</v>
      </c>
      <c r="AH183" s="37">
        <v>5</v>
      </c>
      <c r="AI183" s="37" t="s">
        <v>151</v>
      </c>
      <c r="AJ183" s="40">
        <f t="shared" si="27"/>
        <v>1000</v>
      </c>
      <c r="AK183" s="40">
        <f t="shared" si="27"/>
        <v>1000</v>
      </c>
      <c r="AL183" s="40">
        <f t="shared" si="30"/>
        <v>880</v>
      </c>
      <c r="AM183" s="26">
        <f t="shared" si="28"/>
        <v>880000000</v>
      </c>
      <c r="AN183" s="37" t="s">
        <v>152</v>
      </c>
      <c r="AO183" s="37" t="s">
        <v>153</v>
      </c>
      <c r="AP183" s="35"/>
      <c r="AQ183" s="35"/>
      <c r="AR183" s="37"/>
      <c r="AS183" s="35"/>
      <c r="AT183" s="37">
        <v>162</v>
      </c>
      <c r="AU183" s="41">
        <f t="shared" si="25"/>
        <v>2809080000</v>
      </c>
      <c r="AV183" s="42">
        <f t="shared" si="26"/>
        <v>890.02800000000002</v>
      </c>
      <c r="AW183" s="36" t="s">
        <v>176</v>
      </c>
    </row>
    <row r="184" spans="1:49" hidden="1" x14ac:dyDescent="0.2">
      <c r="A184" s="35" t="s">
        <v>140</v>
      </c>
      <c r="B184" s="35" t="s">
        <v>141</v>
      </c>
      <c r="C184" s="67" t="s">
        <v>482</v>
      </c>
      <c r="D184" s="37"/>
      <c r="E184" s="35"/>
      <c r="F184" s="37"/>
      <c r="G184" s="35" t="s">
        <v>142</v>
      </c>
      <c r="H184" s="37" t="s">
        <v>143</v>
      </c>
      <c r="I184" s="35"/>
      <c r="J184" s="37" t="s">
        <v>54</v>
      </c>
      <c r="K184" s="35" t="s">
        <v>144</v>
      </c>
      <c r="L184" s="37" t="s">
        <v>145</v>
      </c>
      <c r="M184" s="37" t="s">
        <v>78</v>
      </c>
      <c r="N184" s="35" t="s">
        <v>174</v>
      </c>
      <c r="O184" s="35" t="s">
        <v>175</v>
      </c>
      <c r="P184" s="37">
        <v>18</v>
      </c>
      <c r="Q184" s="37" t="e">
        <f>VLOOKUP(D184,#REF!,9,FALSE)</f>
        <v>#REF!</v>
      </c>
      <c r="R184" s="37" t="s">
        <v>149</v>
      </c>
      <c r="S184" s="35" t="s">
        <v>179</v>
      </c>
      <c r="T184" s="37">
        <v>340</v>
      </c>
      <c r="U184" s="37">
        <v>340</v>
      </c>
      <c r="V184" s="37">
        <v>150</v>
      </c>
      <c r="W184" s="38">
        <f t="shared" si="29"/>
        <v>17340000</v>
      </c>
      <c r="X184" s="38"/>
      <c r="Y184" s="36">
        <v>0.23300000000000001</v>
      </c>
      <c r="Z184" s="36">
        <v>1.3</v>
      </c>
      <c r="AA184" s="39">
        <v>5.4939999999999998</v>
      </c>
      <c r="AB184" s="37">
        <v>1000</v>
      </c>
      <c r="AC184" s="35">
        <v>1000</v>
      </c>
      <c r="AD184" s="36">
        <v>130</v>
      </c>
      <c r="AE184" s="35">
        <f t="shared" si="31"/>
        <v>130000000</v>
      </c>
      <c r="AF184" s="37">
        <v>13</v>
      </c>
      <c r="AG184" s="37">
        <v>9</v>
      </c>
      <c r="AH184" s="37">
        <v>5</v>
      </c>
      <c r="AI184" s="37" t="s">
        <v>151</v>
      </c>
      <c r="AJ184" s="40">
        <f t="shared" si="27"/>
        <v>1000</v>
      </c>
      <c r="AK184" s="40">
        <f t="shared" si="27"/>
        <v>1000</v>
      </c>
      <c r="AL184" s="40">
        <f t="shared" si="30"/>
        <v>880</v>
      </c>
      <c r="AM184" s="26">
        <f t="shared" si="28"/>
        <v>880000000</v>
      </c>
      <c r="AN184" s="37" t="s">
        <v>152</v>
      </c>
      <c r="AO184" s="37" t="s">
        <v>153</v>
      </c>
      <c r="AP184" s="35"/>
      <c r="AQ184" s="35"/>
      <c r="AR184" s="37"/>
      <c r="AS184" s="35"/>
      <c r="AT184" s="37">
        <v>241</v>
      </c>
      <c r="AU184" s="41">
        <f t="shared" si="25"/>
        <v>4178940000</v>
      </c>
      <c r="AV184" s="42">
        <f t="shared" si="26"/>
        <v>1324.0539999999999</v>
      </c>
      <c r="AW184" s="36" t="s">
        <v>176</v>
      </c>
    </row>
    <row r="185" spans="1:49" hidden="1" x14ac:dyDescent="0.2">
      <c r="A185" s="35" t="s">
        <v>140</v>
      </c>
      <c r="B185" s="35" t="s">
        <v>141</v>
      </c>
      <c r="C185" s="37" t="s">
        <v>482</v>
      </c>
      <c r="D185" s="37"/>
      <c r="E185" s="35"/>
      <c r="F185" s="37"/>
      <c r="G185" s="35" t="s">
        <v>142</v>
      </c>
      <c r="H185" s="37" t="s">
        <v>143</v>
      </c>
      <c r="I185" s="35"/>
      <c r="J185" s="37" t="s">
        <v>54</v>
      </c>
      <c r="K185" s="35" t="s">
        <v>144</v>
      </c>
      <c r="L185" s="37" t="s">
        <v>145</v>
      </c>
      <c r="M185" s="37" t="s">
        <v>79</v>
      </c>
      <c r="N185" s="35" t="s">
        <v>174</v>
      </c>
      <c r="O185" s="35" t="s">
        <v>175</v>
      </c>
      <c r="P185" s="37">
        <v>18</v>
      </c>
      <c r="Q185" s="37" t="e">
        <f>VLOOKUP(D185,#REF!,9,FALSE)</f>
        <v>#REF!</v>
      </c>
      <c r="R185" s="37" t="s">
        <v>149</v>
      </c>
      <c r="S185" s="35" t="s">
        <v>179</v>
      </c>
      <c r="T185" s="37">
        <v>340</v>
      </c>
      <c r="U185" s="37">
        <v>340</v>
      </c>
      <c r="V185" s="37">
        <v>150</v>
      </c>
      <c r="W185" s="38">
        <f t="shared" si="29"/>
        <v>17340000</v>
      </c>
      <c r="X185" s="38"/>
      <c r="Y185" s="36">
        <v>0.23300000000000001</v>
      </c>
      <c r="Z185" s="36">
        <v>1.3</v>
      </c>
      <c r="AA185" s="39">
        <v>5.4939999999999998</v>
      </c>
      <c r="AB185" s="37">
        <v>1000</v>
      </c>
      <c r="AC185" s="35">
        <v>1000</v>
      </c>
      <c r="AD185" s="36">
        <v>130</v>
      </c>
      <c r="AE185" s="35">
        <f t="shared" si="31"/>
        <v>130000000</v>
      </c>
      <c r="AF185" s="37">
        <v>13</v>
      </c>
      <c r="AG185" s="37">
        <v>9</v>
      </c>
      <c r="AH185" s="37">
        <v>5</v>
      </c>
      <c r="AI185" s="37" t="s">
        <v>151</v>
      </c>
      <c r="AJ185" s="40">
        <f t="shared" si="27"/>
        <v>1000</v>
      </c>
      <c r="AK185" s="40">
        <f t="shared" si="27"/>
        <v>1000</v>
      </c>
      <c r="AL185" s="40">
        <f t="shared" si="30"/>
        <v>880</v>
      </c>
      <c r="AM185" s="26">
        <f t="shared" si="28"/>
        <v>880000000</v>
      </c>
      <c r="AN185" s="37" t="s">
        <v>152</v>
      </c>
      <c r="AO185" s="37" t="s">
        <v>153</v>
      </c>
      <c r="AP185" s="35"/>
      <c r="AQ185" s="35"/>
      <c r="AR185" s="37"/>
      <c r="AS185" s="35"/>
      <c r="AT185" s="37">
        <v>68</v>
      </c>
      <c r="AU185" s="41">
        <f t="shared" si="25"/>
        <v>1179120000</v>
      </c>
      <c r="AV185" s="42">
        <f t="shared" si="26"/>
        <v>373.59199999999998</v>
      </c>
      <c r="AW185" s="36" t="s">
        <v>176</v>
      </c>
    </row>
    <row r="186" spans="1:49" hidden="1" x14ac:dyDescent="0.2">
      <c r="A186" s="35" t="s">
        <v>140</v>
      </c>
      <c r="B186" s="35" t="s">
        <v>141</v>
      </c>
      <c r="C186" s="67" t="s">
        <v>483</v>
      </c>
      <c r="D186" s="37"/>
      <c r="E186" s="35"/>
      <c r="F186" s="37"/>
      <c r="G186" s="35" t="s">
        <v>142</v>
      </c>
      <c r="H186" s="37" t="s">
        <v>143</v>
      </c>
      <c r="I186" s="35"/>
      <c r="J186" s="37" t="s">
        <v>54</v>
      </c>
      <c r="K186" s="35" t="s">
        <v>144</v>
      </c>
      <c r="L186" s="37" t="s">
        <v>145</v>
      </c>
      <c r="M186" s="37" t="s">
        <v>204</v>
      </c>
      <c r="N186" s="35" t="s">
        <v>147</v>
      </c>
      <c r="O186" s="35" t="s">
        <v>148</v>
      </c>
      <c r="P186" s="37">
        <v>6</v>
      </c>
      <c r="Q186" s="37" t="e">
        <f>VLOOKUP(D186,#REF!,9,FALSE)</f>
        <v>#REF!</v>
      </c>
      <c r="R186" s="37" t="s">
        <v>149</v>
      </c>
      <c r="S186" s="35" t="s">
        <v>179</v>
      </c>
      <c r="T186" s="37">
        <v>340</v>
      </c>
      <c r="U186" s="37">
        <v>340</v>
      </c>
      <c r="V186" s="37">
        <v>160</v>
      </c>
      <c r="W186" s="38">
        <f t="shared" si="29"/>
        <v>18496000</v>
      </c>
      <c r="X186" s="38"/>
      <c r="Y186" s="36">
        <v>1</v>
      </c>
      <c r="Z186" s="36">
        <v>2</v>
      </c>
      <c r="AA186" s="39">
        <v>8</v>
      </c>
      <c r="AB186" s="37">
        <v>1000</v>
      </c>
      <c r="AC186" s="35">
        <v>1000</v>
      </c>
      <c r="AD186" s="36">
        <v>130</v>
      </c>
      <c r="AE186" s="35">
        <f t="shared" si="31"/>
        <v>130000000</v>
      </c>
      <c r="AF186" s="37">
        <v>13</v>
      </c>
      <c r="AG186" s="37">
        <v>9</v>
      </c>
      <c r="AH186" s="37">
        <v>5</v>
      </c>
      <c r="AI186" s="37" t="s">
        <v>151</v>
      </c>
      <c r="AJ186" s="40">
        <f t="shared" si="27"/>
        <v>1000</v>
      </c>
      <c r="AK186" s="40">
        <f t="shared" si="27"/>
        <v>1000</v>
      </c>
      <c r="AL186" s="40">
        <f t="shared" si="30"/>
        <v>930</v>
      </c>
      <c r="AM186" s="26">
        <f t="shared" si="28"/>
        <v>930000000</v>
      </c>
      <c r="AN186" s="37" t="s">
        <v>152</v>
      </c>
      <c r="AO186" s="37" t="s">
        <v>153</v>
      </c>
      <c r="AP186" s="35" t="s">
        <v>207</v>
      </c>
      <c r="AQ186" s="35"/>
      <c r="AR186" s="37"/>
      <c r="AS186" s="35"/>
      <c r="AT186" s="37">
        <v>120</v>
      </c>
      <c r="AU186" s="41">
        <f t="shared" si="25"/>
        <v>2219520000</v>
      </c>
      <c r="AV186" s="42">
        <f t="shared" si="26"/>
        <v>960</v>
      </c>
      <c r="AW186" s="36" t="s">
        <v>154</v>
      </c>
    </row>
    <row r="187" spans="1:49" hidden="1" x14ac:dyDescent="0.2">
      <c r="A187" s="35" t="s">
        <v>140</v>
      </c>
      <c r="B187" s="35" t="s">
        <v>141</v>
      </c>
      <c r="C187" s="67" t="s">
        <v>484</v>
      </c>
      <c r="D187" s="37"/>
      <c r="E187" s="35"/>
      <c r="F187" s="37"/>
      <c r="G187" s="35" t="s">
        <v>142</v>
      </c>
      <c r="H187" s="37" t="s">
        <v>143</v>
      </c>
      <c r="I187" s="35"/>
      <c r="J187" s="37" t="s">
        <v>54</v>
      </c>
      <c r="K187" s="35" t="s">
        <v>144</v>
      </c>
      <c r="L187" s="37" t="s">
        <v>145</v>
      </c>
      <c r="M187" s="37" t="s">
        <v>75</v>
      </c>
      <c r="N187" s="35" t="s">
        <v>147</v>
      </c>
      <c r="O187" s="35" t="s">
        <v>148</v>
      </c>
      <c r="P187" s="37">
        <v>10</v>
      </c>
      <c r="Q187" s="37" t="e">
        <f>VLOOKUP(D187,#REF!,9,FALSE)</f>
        <v>#REF!</v>
      </c>
      <c r="R187" s="37" t="s">
        <v>149</v>
      </c>
      <c r="S187" s="35" t="s">
        <v>182</v>
      </c>
      <c r="T187" s="37">
        <v>340</v>
      </c>
      <c r="U187" s="37">
        <v>340</v>
      </c>
      <c r="V187" s="37">
        <v>200</v>
      </c>
      <c r="W187" s="38">
        <f t="shared" si="29"/>
        <v>23120000</v>
      </c>
      <c r="X187" s="38"/>
      <c r="Y187" s="36">
        <v>0.60499999999999998</v>
      </c>
      <c r="Z187" s="36">
        <v>2.5</v>
      </c>
      <c r="AA187" s="39">
        <v>8.5500000000000007</v>
      </c>
      <c r="AB187" s="37">
        <v>1000</v>
      </c>
      <c r="AC187" s="35">
        <v>1000</v>
      </c>
      <c r="AD187" s="36">
        <v>130</v>
      </c>
      <c r="AE187" s="35">
        <f t="shared" si="31"/>
        <v>130000000</v>
      </c>
      <c r="AF187" s="37">
        <v>13</v>
      </c>
      <c r="AG187" s="37">
        <v>9</v>
      </c>
      <c r="AH187" s="37">
        <v>5</v>
      </c>
      <c r="AI187" s="37" t="s">
        <v>151</v>
      </c>
      <c r="AJ187" s="40">
        <f t="shared" si="27"/>
        <v>1000</v>
      </c>
      <c r="AK187" s="40">
        <f t="shared" si="27"/>
        <v>1000</v>
      </c>
      <c r="AL187" s="40">
        <f t="shared" si="30"/>
        <v>1130</v>
      </c>
      <c r="AM187" s="26">
        <f t="shared" si="28"/>
        <v>1130000000</v>
      </c>
      <c r="AN187" s="37" t="s">
        <v>152</v>
      </c>
      <c r="AO187" s="37" t="s">
        <v>153</v>
      </c>
      <c r="AP187" s="35"/>
      <c r="AQ187" s="35"/>
      <c r="AR187" s="37"/>
      <c r="AS187" s="35"/>
      <c r="AT187" s="37">
        <v>219</v>
      </c>
      <c r="AU187" s="41">
        <f t="shared" si="25"/>
        <v>5063280000</v>
      </c>
      <c r="AV187" s="42">
        <f t="shared" si="26"/>
        <v>1872.45</v>
      </c>
      <c r="AW187" s="36" t="s">
        <v>154</v>
      </c>
    </row>
    <row r="188" spans="1:49" hidden="1" x14ac:dyDescent="0.2">
      <c r="A188" s="35" t="s">
        <v>140</v>
      </c>
      <c r="B188" s="35" t="s">
        <v>141</v>
      </c>
      <c r="C188" s="37" t="s">
        <v>484</v>
      </c>
      <c r="D188" s="37"/>
      <c r="E188" s="35"/>
      <c r="F188" s="37"/>
      <c r="G188" s="35" t="s">
        <v>142</v>
      </c>
      <c r="H188" s="37" t="s">
        <v>143</v>
      </c>
      <c r="I188" s="35"/>
      <c r="J188" s="37" t="s">
        <v>54</v>
      </c>
      <c r="K188" s="35" t="s">
        <v>144</v>
      </c>
      <c r="L188" s="37" t="s">
        <v>145</v>
      </c>
      <c r="M188" s="37" t="s">
        <v>59</v>
      </c>
      <c r="N188" s="35" t="s">
        <v>166</v>
      </c>
      <c r="O188" s="35" t="s">
        <v>163</v>
      </c>
      <c r="P188" s="37">
        <v>10</v>
      </c>
      <c r="Q188" s="37" t="e">
        <f>VLOOKUP(D188,#REF!,9,FALSE)</f>
        <v>#REF!</v>
      </c>
      <c r="R188" s="37" t="s">
        <v>149</v>
      </c>
      <c r="S188" s="35" t="s">
        <v>182</v>
      </c>
      <c r="T188" s="37">
        <v>340</v>
      </c>
      <c r="U188" s="37">
        <v>340</v>
      </c>
      <c r="V188" s="37">
        <v>200</v>
      </c>
      <c r="W188" s="38">
        <f t="shared" si="29"/>
        <v>23120000</v>
      </c>
      <c r="X188" s="38"/>
      <c r="Y188" s="36">
        <v>0.60499999999999998</v>
      </c>
      <c r="Z188" s="36">
        <v>2.5</v>
      </c>
      <c r="AA188" s="39">
        <v>8.5500000000000007</v>
      </c>
      <c r="AB188" s="37">
        <v>1000</v>
      </c>
      <c r="AC188" s="35">
        <v>1000</v>
      </c>
      <c r="AD188" s="36">
        <v>130</v>
      </c>
      <c r="AE188" s="35">
        <f t="shared" si="31"/>
        <v>130000000</v>
      </c>
      <c r="AF188" s="37">
        <v>13</v>
      </c>
      <c r="AG188" s="37">
        <v>9</v>
      </c>
      <c r="AH188" s="37">
        <v>4</v>
      </c>
      <c r="AI188" s="37" t="s">
        <v>180</v>
      </c>
      <c r="AJ188" s="40">
        <f t="shared" si="27"/>
        <v>1000</v>
      </c>
      <c r="AK188" s="40">
        <f t="shared" si="27"/>
        <v>1000</v>
      </c>
      <c r="AL188" s="40">
        <f t="shared" si="30"/>
        <v>930</v>
      </c>
      <c r="AM188" s="26">
        <f t="shared" si="28"/>
        <v>930000000</v>
      </c>
      <c r="AN188" s="37" t="s">
        <v>152</v>
      </c>
      <c r="AO188" s="37" t="s">
        <v>153</v>
      </c>
      <c r="AP188" s="35"/>
      <c r="AQ188" s="35"/>
      <c r="AR188" s="37"/>
      <c r="AS188" s="35"/>
      <c r="AT188" s="37">
        <v>180</v>
      </c>
      <c r="AU188" s="41">
        <f t="shared" si="25"/>
        <v>4161600000</v>
      </c>
      <c r="AV188" s="42">
        <f t="shared" si="26"/>
        <v>1539.0000000000002</v>
      </c>
      <c r="AW188" s="36" t="s">
        <v>164</v>
      </c>
    </row>
    <row r="189" spans="1:49" hidden="1" x14ac:dyDescent="0.2">
      <c r="A189" s="35" t="s">
        <v>140</v>
      </c>
      <c r="B189" s="35" t="s">
        <v>141</v>
      </c>
      <c r="C189" s="67" t="s">
        <v>485</v>
      </c>
      <c r="D189" s="37"/>
      <c r="E189" s="35"/>
      <c r="F189" s="37"/>
      <c r="G189" s="35" t="s">
        <v>142</v>
      </c>
      <c r="H189" s="37" t="s">
        <v>143</v>
      </c>
      <c r="I189" s="35"/>
      <c r="J189" s="37" t="s">
        <v>54</v>
      </c>
      <c r="K189" s="35" t="s">
        <v>144</v>
      </c>
      <c r="L189" s="37" t="s">
        <v>145</v>
      </c>
      <c r="M189" s="37" t="s">
        <v>75</v>
      </c>
      <c r="N189" s="35" t="s">
        <v>147</v>
      </c>
      <c r="O189" s="35" t="s">
        <v>148</v>
      </c>
      <c r="P189" s="37">
        <v>12</v>
      </c>
      <c r="Q189" s="37" t="e">
        <f>VLOOKUP(D189,#REF!,9,FALSE)</f>
        <v>#REF!</v>
      </c>
      <c r="R189" s="37" t="s">
        <v>149</v>
      </c>
      <c r="S189" s="35" t="s">
        <v>182</v>
      </c>
      <c r="T189" s="37">
        <v>340</v>
      </c>
      <c r="U189" s="37">
        <v>340</v>
      </c>
      <c r="V189" s="37">
        <v>200</v>
      </c>
      <c r="W189" s="38">
        <f t="shared" si="29"/>
        <v>23120000</v>
      </c>
      <c r="X189" s="38"/>
      <c r="Y189" s="36">
        <v>0.60499999999999998</v>
      </c>
      <c r="Z189" s="36">
        <v>2.5</v>
      </c>
      <c r="AA189" s="39">
        <v>9.76</v>
      </c>
      <c r="AB189" s="37">
        <v>1000</v>
      </c>
      <c r="AC189" s="35">
        <v>1000</v>
      </c>
      <c r="AD189" s="36">
        <v>130</v>
      </c>
      <c r="AE189" s="35">
        <f t="shared" si="31"/>
        <v>130000000</v>
      </c>
      <c r="AF189" s="37">
        <v>13</v>
      </c>
      <c r="AG189" s="37">
        <v>9</v>
      </c>
      <c r="AH189" s="37">
        <v>5</v>
      </c>
      <c r="AI189" s="37" t="s">
        <v>151</v>
      </c>
      <c r="AJ189" s="40">
        <f t="shared" si="27"/>
        <v>1000</v>
      </c>
      <c r="AK189" s="40">
        <f t="shared" si="27"/>
        <v>1000</v>
      </c>
      <c r="AL189" s="40">
        <f t="shared" si="30"/>
        <v>1130</v>
      </c>
      <c r="AM189" s="26">
        <f t="shared" si="28"/>
        <v>1130000000</v>
      </c>
      <c r="AN189" s="37" t="s">
        <v>152</v>
      </c>
      <c r="AO189" s="37" t="s">
        <v>153</v>
      </c>
      <c r="AP189" s="35"/>
      <c r="AQ189" s="35"/>
      <c r="AR189" s="37"/>
      <c r="AS189" s="35"/>
      <c r="AT189" s="37">
        <v>58</v>
      </c>
      <c r="AU189" s="41">
        <f t="shared" si="25"/>
        <v>1340960000</v>
      </c>
      <c r="AV189" s="42">
        <f t="shared" si="26"/>
        <v>566.08000000000004</v>
      </c>
      <c r="AW189" s="36" t="s">
        <v>154</v>
      </c>
    </row>
    <row r="190" spans="1:49" hidden="1" x14ac:dyDescent="0.2">
      <c r="A190" s="35" t="s">
        <v>140</v>
      </c>
      <c r="B190" s="35" t="s">
        <v>141</v>
      </c>
      <c r="C190" s="37" t="s">
        <v>485</v>
      </c>
      <c r="D190" s="37"/>
      <c r="E190" s="35"/>
      <c r="F190" s="37"/>
      <c r="G190" s="35" t="s">
        <v>142</v>
      </c>
      <c r="H190" s="37" t="s">
        <v>143</v>
      </c>
      <c r="I190" s="35"/>
      <c r="J190" s="37" t="s">
        <v>54</v>
      </c>
      <c r="K190" s="35" t="s">
        <v>144</v>
      </c>
      <c r="L190" s="37" t="s">
        <v>145</v>
      </c>
      <c r="M190" s="37" t="s">
        <v>59</v>
      </c>
      <c r="N190" s="35" t="s">
        <v>166</v>
      </c>
      <c r="O190" s="35" t="s">
        <v>163</v>
      </c>
      <c r="P190" s="37">
        <v>12</v>
      </c>
      <c r="Q190" s="37" t="e">
        <f>VLOOKUP(D190,#REF!,9,FALSE)</f>
        <v>#REF!</v>
      </c>
      <c r="R190" s="37" t="s">
        <v>149</v>
      </c>
      <c r="S190" s="35" t="s">
        <v>182</v>
      </c>
      <c r="T190" s="37">
        <v>340</v>
      </c>
      <c r="U190" s="37">
        <v>340</v>
      </c>
      <c r="V190" s="37">
        <v>200</v>
      </c>
      <c r="W190" s="38">
        <f t="shared" si="29"/>
        <v>23120000</v>
      </c>
      <c r="X190" s="38"/>
      <c r="Y190" s="36">
        <v>0.8</v>
      </c>
      <c r="Z190" s="36">
        <v>2</v>
      </c>
      <c r="AA190" s="39">
        <v>11.600000000000001</v>
      </c>
      <c r="AB190" s="37">
        <v>1000</v>
      </c>
      <c r="AC190" s="35">
        <v>1000</v>
      </c>
      <c r="AD190" s="36">
        <v>130</v>
      </c>
      <c r="AE190" s="35">
        <f t="shared" si="31"/>
        <v>130000000</v>
      </c>
      <c r="AF190" s="37">
        <v>13</v>
      </c>
      <c r="AG190" s="37">
        <v>9</v>
      </c>
      <c r="AH190" s="37">
        <v>4</v>
      </c>
      <c r="AI190" s="37" t="s">
        <v>180</v>
      </c>
      <c r="AJ190" s="40">
        <f t="shared" si="27"/>
        <v>1000</v>
      </c>
      <c r="AK190" s="40">
        <f t="shared" si="27"/>
        <v>1000</v>
      </c>
      <c r="AL190" s="40">
        <f t="shared" si="30"/>
        <v>930</v>
      </c>
      <c r="AM190" s="26">
        <f t="shared" si="28"/>
        <v>930000000</v>
      </c>
      <c r="AN190" s="37" t="s">
        <v>152</v>
      </c>
      <c r="AO190" s="37" t="s">
        <v>153</v>
      </c>
      <c r="AP190" s="35"/>
      <c r="AQ190" s="35"/>
      <c r="AR190" s="37"/>
      <c r="AS190" s="35"/>
      <c r="AT190" s="37">
        <v>108</v>
      </c>
      <c r="AU190" s="41">
        <f t="shared" si="25"/>
        <v>2496960000</v>
      </c>
      <c r="AV190" s="42">
        <f t="shared" si="26"/>
        <v>1252.8000000000002</v>
      </c>
      <c r="AW190" s="36" t="s">
        <v>164</v>
      </c>
    </row>
    <row r="191" spans="1:49" hidden="1" x14ac:dyDescent="0.2">
      <c r="A191" s="35" t="s">
        <v>140</v>
      </c>
      <c r="B191" s="35" t="s">
        <v>141</v>
      </c>
      <c r="C191" s="67" t="s">
        <v>486</v>
      </c>
      <c r="D191" s="37"/>
      <c r="E191" s="35"/>
      <c r="F191" s="37"/>
      <c r="G191" s="35" t="s">
        <v>142</v>
      </c>
      <c r="H191" s="37" t="s">
        <v>143</v>
      </c>
      <c r="I191" s="35"/>
      <c r="J191" s="37" t="s">
        <v>54</v>
      </c>
      <c r="K191" s="35" t="s">
        <v>144</v>
      </c>
      <c r="L191" s="37" t="s">
        <v>145</v>
      </c>
      <c r="M191" s="37" t="s">
        <v>165</v>
      </c>
      <c r="N191" s="35" t="s">
        <v>166</v>
      </c>
      <c r="O191" s="35" t="s">
        <v>167</v>
      </c>
      <c r="P191" s="37">
        <v>5</v>
      </c>
      <c r="Q191" s="37" t="e">
        <f>VLOOKUP(D191,#REF!,9,FALSE)</f>
        <v>#REF!</v>
      </c>
      <c r="R191" s="37" t="s">
        <v>149</v>
      </c>
      <c r="S191" s="35" t="s">
        <v>183</v>
      </c>
      <c r="T191" s="37">
        <v>340</v>
      </c>
      <c r="U191" s="37">
        <v>340</v>
      </c>
      <c r="V191" s="37">
        <v>200</v>
      </c>
      <c r="W191" s="38">
        <f t="shared" si="29"/>
        <v>23120000</v>
      </c>
      <c r="X191" s="38"/>
      <c r="Y191" s="36">
        <v>0.5</v>
      </c>
      <c r="Z191" s="36">
        <v>2</v>
      </c>
      <c r="AA191" s="39">
        <v>4.5</v>
      </c>
      <c r="AB191" s="37">
        <v>1000</v>
      </c>
      <c r="AC191" s="35">
        <v>1000</v>
      </c>
      <c r="AD191" s="36">
        <v>130</v>
      </c>
      <c r="AE191" s="35">
        <f t="shared" si="31"/>
        <v>130000000</v>
      </c>
      <c r="AF191" s="37">
        <v>13</v>
      </c>
      <c r="AG191" s="37">
        <v>9</v>
      </c>
      <c r="AH191" s="37">
        <v>8</v>
      </c>
      <c r="AI191" s="37" t="s">
        <v>151</v>
      </c>
      <c r="AJ191" s="40">
        <f t="shared" si="27"/>
        <v>1000</v>
      </c>
      <c r="AK191" s="40">
        <f t="shared" si="27"/>
        <v>1000</v>
      </c>
      <c r="AL191" s="40">
        <f t="shared" si="30"/>
        <v>1730</v>
      </c>
      <c r="AM191" s="26">
        <f t="shared" si="28"/>
        <v>1730000000</v>
      </c>
      <c r="AN191" s="37" t="s">
        <v>152</v>
      </c>
      <c r="AO191" s="37" t="s">
        <v>153</v>
      </c>
      <c r="AP191" s="35"/>
      <c r="AQ191" s="35"/>
      <c r="AR191" s="37"/>
      <c r="AS191" s="35"/>
      <c r="AT191" s="37">
        <v>54</v>
      </c>
      <c r="AU191" s="41">
        <f t="shared" si="25"/>
        <v>1248480000</v>
      </c>
      <c r="AV191" s="42">
        <f t="shared" si="26"/>
        <v>243</v>
      </c>
      <c r="AW191" s="36" t="s">
        <v>168</v>
      </c>
    </row>
    <row r="192" spans="1:49" hidden="1" x14ac:dyDescent="0.2">
      <c r="A192" s="35" t="s">
        <v>140</v>
      </c>
      <c r="B192" s="35" t="s">
        <v>141</v>
      </c>
      <c r="C192" s="67" t="s">
        <v>487</v>
      </c>
      <c r="D192" s="37"/>
      <c r="E192" s="35"/>
      <c r="F192" s="37"/>
      <c r="G192" s="35" t="s">
        <v>142</v>
      </c>
      <c r="H192" s="37" t="s">
        <v>143</v>
      </c>
      <c r="I192" s="35"/>
      <c r="J192" s="37" t="s">
        <v>54</v>
      </c>
      <c r="K192" s="35" t="s">
        <v>144</v>
      </c>
      <c r="L192" s="37" t="s">
        <v>145</v>
      </c>
      <c r="M192" s="37" t="s">
        <v>71</v>
      </c>
      <c r="N192" s="35" t="s">
        <v>169</v>
      </c>
      <c r="O192" s="35" t="s">
        <v>169</v>
      </c>
      <c r="P192" s="37">
        <v>8</v>
      </c>
      <c r="Q192" s="37" t="e">
        <f>VLOOKUP(D192,#REF!,9,FALSE)</f>
        <v>#REF!</v>
      </c>
      <c r="R192" s="37" t="s">
        <v>149</v>
      </c>
      <c r="S192" s="35" t="s">
        <v>182</v>
      </c>
      <c r="T192" s="37">
        <v>340</v>
      </c>
      <c r="U192" s="37">
        <v>340</v>
      </c>
      <c r="V192" s="37">
        <v>200</v>
      </c>
      <c r="W192" s="38">
        <f t="shared" si="29"/>
        <v>23120000</v>
      </c>
      <c r="X192" s="38"/>
      <c r="Y192" s="36">
        <v>1</v>
      </c>
      <c r="Z192" s="36">
        <v>2</v>
      </c>
      <c r="AA192" s="39">
        <v>10</v>
      </c>
      <c r="AB192" s="37">
        <v>1000</v>
      </c>
      <c r="AC192" s="35">
        <v>1000</v>
      </c>
      <c r="AD192" s="36">
        <v>130</v>
      </c>
      <c r="AE192" s="35">
        <f t="shared" si="31"/>
        <v>130000000</v>
      </c>
      <c r="AF192" s="37">
        <v>13</v>
      </c>
      <c r="AG192" s="37">
        <v>9</v>
      </c>
      <c r="AH192" s="37">
        <v>5</v>
      </c>
      <c r="AI192" s="37" t="s">
        <v>151</v>
      </c>
      <c r="AJ192" s="40">
        <f t="shared" si="27"/>
        <v>1000</v>
      </c>
      <c r="AK192" s="40">
        <f t="shared" si="27"/>
        <v>1000</v>
      </c>
      <c r="AL192" s="40">
        <f t="shared" si="30"/>
        <v>1130</v>
      </c>
      <c r="AM192" s="26">
        <f t="shared" si="28"/>
        <v>1130000000</v>
      </c>
      <c r="AN192" s="37" t="s">
        <v>152</v>
      </c>
      <c r="AO192" s="37" t="s">
        <v>153</v>
      </c>
      <c r="AP192" s="35"/>
      <c r="AQ192" s="35"/>
      <c r="AR192" s="37"/>
      <c r="AS192" s="35"/>
      <c r="AT192" s="37">
        <v>405</v>
      </c>
      <c r="AU192" s="41">
        <f t="shared" si="25"/>
        <v>9363600000</v>
      </c>
      <c r="AV192" s="42">
        <f t="shared" si="26"/>
        <v>4050</v>
      </c>
      <c r="AW192" s="36" t="s">
        <v>198</v>
      </c>
    </row>
    <row r="193" spans="1:49" hidden="1" x14ac:dyDescent="0.2">
      <c r="A193" s="35" t="s">
        <v>140</v>
      </c>
      <c r="B193" s="35" t="s">
        <v>141</v>
      </c>
      <c r="C193" s="67" t="s">
        <v>488</v>
      </c>
      <c r="D193" s="37"/>
      <c r="E193" s="35"/>
      <c r="F193" s="37"/>
      <c r="G193" s="35" t="s">
        <v>142</v>
      </c>
      <c r="H193" s="37" t="s">
        <v>143</v>
      </c>
      <c r="I193" s="35"/>
      <c r="J193" s="37" t="s">
        <v>54</v>
      </c>
      <c r="K193" s="35" t="s">
        <v>144</v>
      </c>
      <c r="L193" s="37" t="s">
        <v>145</v>
      </c>
      <c r="M193" s="37" t="s">
        <v>71</v>
      </c>
      <c r="N193" s="35" t="s">
        <v>169</v>
      </c>
      <c r="O193" s="35" t="s">
        <v>169</v>
      </c>
      <c r="P193" s="37">
        <v>8</v>
      </c>
      <c r="Q193" s="37" t="e">
        <f>VLOOKUP(D193,#REF!,9,FALSE)</f>
        <v>#REF!</v>
      </c>
      <c r="R193" s="37" t="s">
        <v>149</v>
      </c>
      <c r="S193" s="35" t="s">
        <v>182</v>
      </c>
      <c r="T193" s="37">
        <v>340</v>
      </c>
      <c r="U193" s="37">
        <v>340</v>
      </c>
      <c r="V193" s="37">
        <v>200</v>
      </c>
      <c r="W193" s="38">
        <f t="shared" si="29"/>
        <v>23120000</v>
      </c>
      <c r="X193" s="38"/>
      <c r="Y193" s="36">
        <v>1</v>
      </c>
      <c r="Z193" s="36">
        <v>2</v>
      </c>
      <c r="AA193" s="39">
        <v>10</v>
      </c>
      <c r="AB193" s="37">
        <v>1000</v>
      </c>
      <c r="AC193" s="35">
        <v>1000</v>
      </c>
      <c r="AD193" s="36">
        <v>130</v>
      </c>
      <c r="AE193" s="35">
        <f t="shared" si="31"/>
        <v>130000000</v>
      </c>
      <c r="AF193" s="37">
        <v>13</v>
      </c>
      <c r="AG193" s="37">
        <v>9</v>
      </c>
      <c r="AH193" s="37">
        <v>5</v>
      </c>
      <c r="AI193" s="37" t="s">
        <v>151</v>
      </c>
      <c r="AJ193" s="40">
        <f t="shared" si="27"/>
        <v>1000</v>
      </c>
      <c r="AK193" s="40">
        <f t="shared" si="27"/>
        <v>1000</v>
      </c>
      <c r="AL193" s="40">
        <f t="shared" si="30"/>
        <v>1130</v>
      </c>
      <c r="AM193" s="26">
        <f t="shared" si="28"/>
        <v>1130000000</v>
      </c>
      <c r="AN193" s="37" t="s">
        <v>152</v>
      </c>
      <c r="AO193" s="37" t="s">
        <v>153</v>
      </c>
      <c r="AP193" s="35"/>
      <c r="AQ193" s="35"/>
      <c r="AR193" s="37"/>
      <c r="AS193" s="35"/>
      <c r="AT193" s="37">
        <v>68</v>
      </c>
      <c r="AU193" s="41">
        <f t="shared" si="25"/>
        <v>1572160000</v>
      </c>
      <c r="AV193" s="42">
        <f t="shared" si="26"/>
        <v>680</v>
      </c>
      <c r="AW193" s="36" t="s">
        <v>198</v>
      </c>
    </row>
    <row r="194" spans="1:49" hidden="1" x14ac:dyDescent="0.2">
      <c r="A194" s="35" t="s">
        <v>140</v>
      </c>
      <c r="B194" s="35" t="s">
        <v>141</v>
      </c>
      <c r="C194" s="67" t="s">
        <v>489</v>
      </c>
      <c r="D194" s="37"/>
      <c r="E194" s="35"/>
      <c r="F194" s="37"/>
      <c r="G194" s="35" t="s">
        <v>142</v>
      </c>
      <c r="H194" s="37" t="s">
        <v>143</v>
      </c>
      <c r="I194" s="35"/>
      <c r="J194" s="37" t="s">
        <v>54</v>
      </c>
      <c r="K194" s="35" t="s">
        <v>144</v>
      </c>
      <c r="L194" s="37" t="s">
        <v>145</v>
      </c>
      <c r="M194" s="37" t="s">
        <v>81</v>
      </c>
      <c r="N194" s="35" t="s">
        <v>166</v>
      </c>
      <c r="O194" s="35" t="s">
        <v>163</v>
      </c>
      <c r="P194" s="37">
        <v>4</v>
      </c>
      <c r="Q194" s="37" t="e">
        <f>VLOOKUP(D194,#REF!,9,FALSE)</f>
        <v>#REF!</v>
      </c>
      <c r="R194" s="37" t="s">
        <v>149</v>
      </c>
      <c r="S194" s="35" t="s">
        <v>202</v>
      </c>
      <c r="T194" s="37">
        <v>335</v>
      </c>
      <c r="U194" s="37">
        <v>503</v>
      </c>
      <c r="V194" s="37">
        <v>103</v>
      </c>
      <c r="W194" s="38">
        <f t="shared" si="29"/>
        <v>17356015</v>
      </c>
      <c r="X194" s="38"/>
      <c r="Y194" s="36">
        <v>2.35</v>
      </c>
      <c r="Z194" s="36">
        <v>1.1000000000000001</v>
      </c>
      <c r="AA194" s="39">
        <v>10.5</v>
      </c>
      <c r="AB194" s="37">
        <v>1000</v>
      </c>
      <c r="AC194" s="35">
        <v>1000</v>
      </c>
      <c r="AD194" s="36">
        <v>130</v>
      </c>
      <c r="AE194" s="35">
        <f t="shared" si="31"/>
        <v>130000000</v>
      </c>
      <c r="AF194" s="37">
        <v>13</v>
      </c>
      <c r="AG194" s="37">
        <v>6</v>
      </c>
      <c r="AH194" s="37">
        <v>8</v>
      </c>
      <c r="AI194" s="37" t="s">
        <v>151</v>
      </c>
      <c r="AJ194" s="40">
        <f t="shared" si="27"/>
        <v>1000</v>
      </c>
      <c r="AK194" s="40">
        <f t="shared" si="27"/>
        <v>1000</v>
      </c>
      <c r="AL194" s="40">
        <f t="shared" si="30"/>
        <v>954</v>
      </c>
      <c r="AM194" s="26">
        <f t="shared" si="28"/>
        <v>954000000</v>
      </c>
      <c r="AN194" s="37" t="s">
        <v>152</v>
      </c>
      <c r="AO194" s="37" t="s">
        <v>153</v>
      </c>
      <c r="AP194" s="35"/>
      <c r="AQ194" s="35"/>
      <c r="AR194" s="37"/>
      <c r="AS194" s="35"/>
      <c r="AT194" s="37">
        <v>331</v>
      </c>
      <c r="AU194" s="41">
        <f t="shared" si="25"/>
        <v>5744840965</v>
      </c>
      <c r="AV194" s="42">
        <f t="shared" si="26"/>
        <v>3475.5</v>
      </c>
      <c r="AW194" s="36" t="s">
        <v>164</v>
      </c>
    </row>
    <row r="195" spans="1:49" hidden="1" x14ac:dyDescent="0.2">
      <c r="A195" s="35" t="s">
        <v>140</v>
      </c>
      <c r="B195" s="35" t="s">
        <v>141</v>
      </c>
      <c r="C195" s="67" t="s">
        <v>490</v>
      </c>
      <c r="D195" s="37"/>
      <c r="E195" s="35"/>
      <c r="F195" s="37"/>
      <c r="G195" s="35" t="s">
        <v>142</v>
      </c>
      <c r="H195" s="37" t="s">
        <v>143</v>
      </c>
      <c r="I195" s="35"/>
      <c r="J195" s="37" t="s">
        <v>54</v>
      </c>
      <c r="K195" s="35" t="s">
        <v>144</v>
      </c>
      <c r="L195" s="37" t="s">
        <v>145</v>
      </c>
      <c r="M195" s="37" t="s">
        <v>81</v>
      </c>
      <c r="N195" s="35" t="s">
        <v>166</v>
      </c>
      <c r="O195" s="35" t="s">
        <v>163</v>
      </c>
      <c r="P195" s="37">
        <v>6</v>
      </c>
      <c r="Q195" s="37" t="e">
        <f>VLOOKUP(D195,#REF!,9,FALSE)</f>
        <v>#REF!</v>
      </c>
      <c r="R195" s="37" t="s">
        <v>149</v>
      </c>
      <c r="S195" s="35" t="s">
        <v>202</v>
      </c>
      <c r="T195" s="37">
        <v>335</v>
      </c>
      <c r="U195" s="37">
        <v>503</v>
      </c>
      <c r="V195" s="37">
        <v>103</v>
      </c>
      <c r="W195" s="38">
        <f t="shared" si="29"/>
        <v>17356015</v>
      </c>
      <c r="X195" s="38"/>
      <c r="Y195" s="36">
        <v>1.35</v>
      </c>
      <c r="Z195" s="36">
        <v>1.5</v>
      </c>
      <c r="AA195" s="39">
        <v>9.6000000000000014</v>
      </c>
      <c r="AB195" s="37">
        <v>1000</v>
      </c>
      <c r="AC195" s="35">
        <v>1000</v>
      </c>
      <c r="AD195" s="36">
        <v>130</v>
      </c>
      <c r="AE195" s="35">
        <f t="shared" si="31"/>
        <v>130000000</v>
      </c>
      <c r="AF195" s="37">
        <v>13</v>
      </c>
      <c r="AG195" s="37">
        <v>6</v>
      </c>
      <c r="AH195" s="37">
        <v>8</v>
      </c>
      <c r="AI195" s="37" t="s">
        <v>151</v>
      </c>
      <c r="AJ195" s="40">
        <f t="shared" si="27"/>
        <v>1000</v>
      </c>
      <c r="AK195" s="40">
        <f t="shared" si="27"/>
        <v>1000</v>
      </c>
      <c r="AL195" s="40">
        <f t="shared" si="30"/>
        <v>954</v>
      </c>
      <c r="AM195" s="26">
        <f t="shared" si="28"/>
        <v>954000000</v>
      </c>
      <c r="AN195" s="37" t="s">
        <v>152</v>
      </c>
      <c r="AO195" s="37" t="s">
        <v>153</v>
      </c>
      <c r="AP195" s="35"/>
      <c r="AQ195" s="35"/>
      <c r="AR195" s="37"/>
      <c r="AS195" s="35"/>
      <c r="AT195" s="37">
        <v>278</v>
      </c>
      <c r="AU195" s="41">
        <f t="shared" si="25"/>
        <v>4824972170</v>
      </c>
      <c r="AV195" s="42">
        <f t="shared" si="26"/>
        <v>2668.8</v>
      </c>
      <c r="AW195" s="36" t="s">
        <v>164</v>
      </c>
    </row>
    <row r="196" spans="1:49" x14ac:dyDescent="0.2">
      <c r="A196" s="35" t="s">
        <v>140</v>
      </c>
      <c r="B196" s="35" t="s">
        <v>141</v>
      </c>
      <c r="C196" s="37" t="s">
        <v>340</v>
      </c>
      <c r="D196" s="37"/>
      <c r="E196" s="35"/>
      <c r="F196" s="37"/>
      <c r="G196" s="35" t="s">
        <v>142</v>
      </c>
      <c r="H196" s="37" t="s">
        <v>177</v>
      </c>
      <c r="I196" s="35"/>
      <c r="J196" s="37" t="s">
        <v>54</v>
      </c>
      <c r="K196" s="35" t="s">
        <v>178</v>
      </c>
      <c r="L196" s="37" t="s">
        <v>145</v>
      </c>
      <c r="M196" s="37" t="s">
        <v>17</v>
      </c>
      <c r="N196" s="35" t="s">
        <v>156</v>
      </c>
      <c r="O196" s="35" t="s">
        <v>156</v>
      </c>
      <c r="P196" s="37">
        <v>5</v>
      </c>
      <c r="Q196" s="37" t="e">
        <f>VLOOKUP(D196,#REF!,9,FALSE)</f>
        <v>#REF!</v>
      </c>
      <c r="R196" s="37" t="s">
        <v>149</v>
      </c>
      <c r="S196" s="35" t="s">
        <v>183</v>
      </c>
      <c r="T196" s="37">
        <v>340</v>
      </c>
      <c r="U196" s="37">
        <v>340</v>
      </c>
      <c r="V196" s="37">
        <v>110</v>
      </c>
      <c r="W196" s="38">
        <f>T196/1000*U196/1000*V196/1000</f>
        <v>1.2716000000000002E-2</v>
      </c>
      <c r="X196" s="38"/>
      <c r="Y196" s="36">
        <v>1.9</v>
      </c>
      <c r="Z196" s="36">
        <v>1.8</v>
      </c>
      <c r="AA196" s="39">
        <v>11.3</v>
      </c>
      <c r="AB196" s="37">
        <v>1000</v>
      </c>
      <c r="AC196" s="35">
        <v>1000</v>
      </c>
      <c r="AD196" s="36">
        <v>130</v>
      </c>
      <c r="AE196" s="35">
        <f t="shared" si="31"/>
        <v>130000000</v>
      </c>
      <c r="AF196" s="37">
        <v>13</v>
      </c>
      <c r="AG196" s="37">
        <v>9</v>
      </c>
      <c r="AH196" s="37">
        <v>8</v>
      </c>
      <c r="AI196" s="37" t="s">
        <v>151</v>
      </c>
      <c r="AJ196" s="40">
        <f t="shared" si="27"/>
        <v>1000</v>
      </c>
      <c r="AK196" s="40">
        <f t="shared" si="27"/>
        <v>1000</v>
      </c>
      <c r="AL196" s="40">
        <f t="shared" si="30"/>
        <v>1010</v>
      </c>
      <c r="AM196" s="26">
        <f t="shared" si="28"/>
        <v>1010000000</v>
      </c>
      <c r="AN196" s="37" t="s">
        <v>152</v>
      </c>
      <c r="AO196" s="37" t="s">
        <v>153</v>
      </c>
      <c r="AP196" s="35"/>
      <c r="AQ196" s="35"/>
      <c r="AR196" s="37"/>
      <c r="AS196" s="35"/>
      <c r="AT196" s="37">
        <v>27</v>
      </c>
      <c r="AU196" s="41">
        <f t="shared" si="25"/>
        <v>0.34333200000000003</v>
      </c>
      <c r="AV196" s="42">
        <f t="shared" si="26"/>
        <v>305.10000000000002</v>
      </c>
      <c r="AW196" s="36" t="s">
        <v>158</v>
      </c>
    </row>
    <row r="197" spans="1:49" hidden="1" x14ac:dyDescent="0.2">
      <c r="A197" s="35" t="s">
        <v>140</v>
      </c>
      <c r="B197" s="35" t="s">
        <v>141</v>
      </c>
      <c r="C197" s="67" t="s">
        <v>491</v>
      </c>
      <c r="D197" s="37"/>
      <c r="E197" s="35"/>
      <c r="F197" s="37"/>
      <c r="G197" s="35" t="s">
        <v>142</v>
      </c>
      <c r="H197" s="37" t="s">
        <v>143</v>
      </c>
      <c r="I197" s="35"/>
      <c r="J197" s="37" t="s">
        <v>54</v>
      </c>
      <c r="K197" s="35" t="s">
        <v>144</v>
      </c>
      <c r="L197" s="37" t="s">
        <v>145</v>
      </c>
      <c r="M197" s="37" t="s">
        <v>2</v>
      </c>
      <c r="N197" s="35" t="s">
        <v>166</v>
      </c>
      <c r="O197" s="35" t="s">
        <v>166</v>
      </c>
      <c r="P197" s="37">
        <v>5</v>
      </c>
      <c r="Q197" s="37" t="e">
        <f>VLOOKUP(D197,#REF!,9,FALSE)</f>
        <v>#REF!</v>
      </c>
      <c r="R197" s="37" t="s">
        <v>149</v>
      </c>
      <c r="S197" s="35" t="s">
        <v>208</v>
      </c>
      <c r="T197" s="37">
        <v>680</v>
      </c>
      <c r="U197" s="37">
        <v>340</v>
      </c>
      <c r="V197" s="37">
        <v>160</v>
      </c>
      <c r="W197" s="38">
        <f t="shared" si="29"/>
        <v>36992000</v>
      </c>
      <c r="X197" s="38"/>
      <c r="Y197" s="36">
        <v>1.5</v>
      </c>
      <c r="Z197" s="36">
        <v>2</v>
      </c>
      <c r="AA197" s="39">
        <v>9.5</v>
      </c>
      <c r="AB197" s="37">
        <v>1000</v>
      </c>
      <c r="AC197" s="35">
        <v>1000</v>
      </c>
      <c r="AD197" s="36">
        <v>130</v>
      </c>
      <c r="AE197" s="35">
        <f t="shared" si="31"/>
        <v>130000000</v>
      </c>
      <c r="AF197" s="37">
        <v>13</v>
      </c>
      <c r="AG197" s="37">
        <v>4</v>
      </c>
      <c r="AH197" s="37">
        <v>5</v>
      </c>
      <c r="AI197" s="37" t="s">
        <v>151</v>
      </c>
      <c r="AJ197" s="40">
        <f t="shared" si="27"/>
        <v>1000</v>
      </c>
      <c r="AK197" s="40">
        <f t="shared" si="27"/>
        <v>1000</v>
      </c>
      <c r="AL197" s="40">
        <f t="shared" si="30"/>
        <v>930</v>
      </c>
      <c r="AM197" s="26">
        <f t="shared" si="28"/>
        <v>930000000</v>
      </c>
      <c r="AN197" s="37" t="s">
        <v>152</v>
      </c>
      <c r="AO197" s="37" t="s">
        <v>153</v>
      </c>
      <c r="AP197" s="35"/>
      <c r="AQ197" s="35"/>
      <c r="AR197" s="37"/>
      <c r="AS197" s="35"/>
      <c r="AT197" s="37">
        <v>44</v>
      </c>
      <c r="AU197" s="41">
        <f t="shared" ref="AU197:AU232" si="32">W197*AT197</f>
        <v>1627648000</v>
      </c>
      <c r="AV197" s="42">
        <f t="shared" ref="AV197:AV232" si="33">AA197*AT197</f>
        <v>418</v>
      </c>
      <c r="AW197" s="36" t="s">
        <v>198</v>
      </c>
    </row>
    <row r="198" spans="1:49" hidden="1" x14ac:dyDescent="0.2">
      <c r="A198" s="35" t="s">
        <v>140</v>
      </c>
      <c r="B198" s="35" t="s">
        <v>141</v>
      </c>
      <c r="C198" s="67" t="s">
        <v>492</v>
      </c>
      <c r="D198" s="37"/>
      <c r="E198" s="35"/>
      <c r="F198" s="37"/>
      <c r="G198" s="35" t="s">
        <v>142</v>
      </c>
      <c r="H198" s="37" t="s">
        <v>143</v>
      </c>
      <c r="I198" s="35"/>
      <c r="J198" s="37" t="s">
        <v>54</v>
      </c>
      <c r="K198" s="35" t="s">
        <v>144</v>
      </c>
      <c r="L198" s="37" t="s">
        <v>145</v>
      </c>
      <c r="M198" s="37" t="s">
        <v>2</v>
      </c>
      <c r="N198" s="35" t="s">
        <v>166</v>
      </c>
      <c r="O198" s="35" t="s">
        <v>166</v>
      </c>
      <c r="P198" s="37">
        <v>5</v>
      </c>
      <c r="Q198" s="37" t="e">
        <f>VLOOKUP(D198,#REF!,9,FALSE)</f>
        <v>#REF!</v>
      </c>
      <c r="R198" s="37" t="s">
        <v>149</v>
      </c>
      <c r="S198" s="35" t="s">
        <v>179</v>
      </c>
      <c r="T198" s="37">
        <v>340</v>
      </c>
      <c r="U198" s="37">
        <v>340</v>
      </c>
      <c r="V198" s="37">
        <v>160</v>
      </c>
      <c r="W198" s="38">
        <f t="shared" si="29"/>
        <v>18496000</v>
      </c>
      <c r="X198" s="38"/>
      <c r="Y198" s="36">
        <v>1.3</v>
      </c>
      <c r="Z198" s="36">
        <v>2.36</v>
      </c>
      <c r="AA198" s="39">
        <v>8.86</v>
      </c>
      <c r="AB198" s="37">
        <v>1000</v>
      </c>
      <c r="AC198" s="35">
        <v>1000</v>
      </c>
      <c r="AD198" s="36">
        <v>130</v>
      </c>
      <c r="AE198" s="35">
        <f t="shared" si="31"/>
        <v>130000000</v>
      </c>
      <c r="AF198" s="37">
        <v>13</v>
      </c>
      <c r="AG198" s="37">
        <v>9</v>
      </c>
      <c r="AH198" s="37">
        <v>5</v>
      </c>
      <c r="AI198" s="37" t="s">
        <v>151</v>
      </c>
      <c r="AJ198" s="40">
        <f t="shared" ref="AJ198:AK232" si="34">AB198</f>
        <v>1000</v>
      </c>
      <c r="AK198" s="40">
        <f t="shared" si="34"/>
        <v>1000</v>
      </c>
      <c r="AL198" s="40">
        <f t="shared" si="30"/>
        <v>930</v>
      </c>
      <c r="AM198" s="26">
        <f t="shared" ref="AM198:AM232" si="35">AJ198*AK198*AL198</f>
        <v>930000000</v>
      </c>
      <c r="AN198" s="37" t="s">
        <v>152</v>
      </c>
      <c r="AO198" s="37" t="s">
        <v>153</v>
      </c>
      <c r="AP198" s="35"/>
      <c r="AQ198" s="35"/>
      <c r="AR198" s="37"/>
      <c r="AS198" s="35"/>
      <c r="AT198" s="37">
        <v>81</v>
      </c>
      <c r="AU198" s="41">
        <f t="shared" si="32"/>
        <v>1498176000</v>
      </c>
      <c r="AV198" s="42">
        <f t="shared" si="33"/>
        <v>717.66</v>
      </c>
      <c r="AW198" s="36" t="s">
        <v>198</v>
      </c>
    </row>
    <row r="199" spans="1:49" hidden="1" x14ac:dyDescent="0.2">
      <c r="A199" s="35" t="s">
        <v>140</v>
      </c>
      <c r="B199" s="35" t="s">
        <v>141</v>
      </c>
      <c r="C199" s="67" t="s">
        <v>493</v>
      </c>
      <c r="D199" s="37"/>
      <c r="E199" s="35"/>
      <c r="F199" s="37"/>
      <c r="G199" s="35" t="s">
        <v>142</v>
      </c>
      <c r="H199" s="37" t="s">
        <v>143</v>
      </c>
      <c r="I199" s="35"/>
      <c r="J199" s="37" t="s">
        <v>54</v>
      </c>
      <c r="K199" s="35" t="s">
        <v>144</v>
      </c>
      <c r="L199" s="37" t="s">
        <v>145</v>
      </c>
      <c r="M199" s="37" t="s">
        <v>2</v>
      </c>
      <c r="N199" s="35" t="s">
        <v>166</v>
      </c>
      <c r="O199" s="35" t="s">
        <v>166</v>
      </c>
      <c r="P199" s="37">
        <v>5</v>
      </c>
      <c r="Q199" s="37" t="e">
        <f>VLOOKUP(D199,#REF!,9,FALSE)</f>
        <v>#REF!</v>
      </c>
      <c r="R199" s="37" t="s">
        <v>149</v>
      </c>
      <c r="S199" s="35" t="s">
        <v>208</v>
      </c>
      <c r="T199" s="37">
        <v>680</v>
      </c>
      <c r="U199" s="37">
        <v>340</v>
      </c>
      <c r="V199" s="37">
        <v>160</v>
      </c>
      <c r="W199" s="38">
        <f t="shared" ref="W199:W232" si="36">T199*U199*V199</f>
        <v>36992000</v>
      </c>
      <c r="X199" s="38"/>
      <c r="Y199" s="36">
        <v>2.02</v>
      </c>
      <c r="Z199" s="36">
        <v>3.44</v>
      </c>
      <c r="AA199" s="39">
        <v>13.54</v>
      </c>
      <c r="AB199" s="37">
        <v>1000</v>
      </c>
      <c r="AC199" s="35">
        <v>1000</v>
      </c>
      <c r="AD199" s="36">
        <v>130</v>
      </c>
      <c r="AE199" s="35">
        <f t="shared" si="31"/>
        <v>130000000</v>
      </c>
      <c r="AF199" s="37">
        <v>13</v>
      </c>
      <c r="AG199" s="37">
        <v>4</v>
      </c>
      <c r="AH199" s="37">
        <v>5</v>
      </c>
      <c r="AI199" s="37" t="s">
        <v>151</v>
      </c>
      <c r="AJ199" s="40">
        <f t="shared" si="34"/>
        <v>1000</v>
      </c>
      <c r="AK199" s="40">
        <f t="shared" si="34"/>
        <v>1000</v>
      </c>
      <c r="AL199" s="40">
        <f t="shared" si="30"/>
        <v>930</v>
      </c>
      <c r="AM199" s="26">
        <f t="shared" si="35"/>
        <v>930000000</v>
      </c>
      <c r="AN199" s="37" t="s">
        <v>152</v>
      </c>
      <c r="AO199" s="37" t="s">
        <v>153</v>
      </c>
      <c r="AP199" s="35"/>
      <c r="AQ199" s="35"/>
      <c r="AR199" s="37"/>
      <c r="AS199" s="35"/>
      <c r="AT199" s="37">
        <v>196</v>
      </c>
      <c r="AU199" s="41">
        <f t="shared" si="32"/>
        <v>7250432000</v>
      </c>
      <c r="AV199" s="42">
        <f t="shared" si="33"/>
        <v>2653.8399999999997</v>
      </c>
      <c r="AW199" s="36" t="s">
        <v>198</v>
      </c>
    </row>
    <row r="200" spans="1:49" hidden="1" x14ac:dyDescent="0.2">
      <c r="A200" s="35" t="s">
        <v>140</v>
      </c>
      <c r="B200" s="35" t="s">
        <v>141</v>
      </c>
      <c r="C200" s="67" t="s">
        <v>494</v>
      </c>
      <c r="D200" s="37"/>
      <c r="E200" s="35"/>
      <c r="F200" s="37"/>
      <c r="G200" s="35" t="s">
        <v>142</v>
      </c>
      <c r="H200" s="37" t="s">
        <v>143</v>
      </c>
      <c r="I200" s="35"/>
      <c r="J200" s="37" t="s">
        <v>54</v>
      </c>
      <c r="K200" s="35" t="s">
        <v>144</v>
      </c>
      <c r="L200" s="37" t="s">
        <v>145</v>
      </c>
      <c r="M200" s="37" t="s">
        <v>2</v>
      </c>
      <c r="N200" s="35" t="s">
        <v>166</v>
      </c>
      <c r="O200" s="35" t="s">
        <v>166</v>
      </c>
      <c r="P200" s="37">
        <v>5</v>
      </c>
      <c r="Q200" s="37" t="e">
        <f>VLOOKUP(D200,#REF!,9,FALSE)</f>
        <v>#REF!</v>
      </c>
      <c r="R200" s="37" t="s">
        <v>149</v>
      </c>
      <c r="S200" s="35" t="s">
        <v>208</v>
      </c>
      <c r="T200" s="37">
        <v>680</v>
      </c>
      <c r="U200" s="37">
        <v>340</v>
      </c>
      <c r="V200" s="37">
        <v>160</v>
      </c>
      <c r="W200" s="38">
        <f t="shared" si="36"/>
        <v>36992000</v>
      </c>
      <c r="X200" s="38"/>
      <c r="Y200" s="36">
        <v>1.64</v>
      </c>
      <c r="Z200" s="36">
        <v>2.56</v>
      </c>
      <c r="AA200" s="39">
        <v>10.76</v>
      </c>
      <c r="AB200" s="37">
        <v>1000</v>
      </c>
      <c r="AC200" s="35">
        <v>1000</v>
      </c>
      <c r="AD200" s="36">
        <v>130</v>
      </c>
      <c r="AE200" s="35">
        <f t="shared" si="31"/>
        <v>130000000</v>
      </c>
      <c r="AF200" s="37">
        <v>13</v>
      </c>
      <c r="AG200" s="37">
        <v>4</v>
      </c>
      <c r="AH200" s="37">
        <v>5</v>
      </c>
      <c r="AI200" s="37" t="s">
        <v>151</v>
      </c>
      <c r="AJ200" s="40">
        <f t="shared" si="34"/>
        <v>1000</v>
      </c>
      <c r="AK200" s="40">
        <f t="shared" si="34"/>
        <v>1000</v>
      </c>
      <c r="AL200" s="40">
        <f t="shared" ref="AL200:AL232" si="37">(V200*AH200)+AD200</f>
        <v>930</v>
      </c>
      <c r="AM200" s="26">
        <f t="shared" si="35"/>
        <v>930000000</v>
      </c>
      <c r="AN200" s="37" t="s">
        <v>152</v>
      </c>
      <c r="AO200" s="37" t="s">
        <v>153</v>
      </c>
      <c r="AP200" s="35"/>
      <c r="AQ200" s="35"/>
      <c r="AR200" s="37"/>
      <c r="AS200" s="35"/>
      <c r="AT200" s="37">
        <v>193</v>
      </c>
      <c r="AU200" s="41">
        <f t="shared" si="32"/>
        <v>7139456000</v>
      </c>
      <c r="AV200" s="42">
        <f t="shared" si="33"/>
        <v>2076.6799999999998</v>
      </c>
      <c r="AW200" s="36" t="s">
        <v>198</v>
      </c>
    </row>
    <row r="201" spans="1:49" hidden="1" x14ac:dyDescent="0.2">
      <c r="A201" s="35" t="s">
        <v>140</v>
      </c>
      <c r="B201" s="35" t="s">
        <v>141</v>
      </c>
      <c r="C201" s="67" t="s">
        <v>495</v>
      </c>
      <c r="D201" s="37"/>
      <c r="E201" s="35"/>
      <c r="F201" s="37"/>
      <c r="G201" s="35" t="s">
        <v>142</v>
      </c>
      <c r="H201" s="37" t="s">
        <v>143</v>
      </c>
      <c r="I201" s="35"/>
      <c r="J201" s="37" t="s">
        <v>54</v>
      </c>
      <c r="K201" s="35" t="s">
        <v>144</v>
      </c>
      <c r="L201" s="37" t="s">
        <v>145</v>
      </c>
      <c r="M201" s="37" t="s">
        <v>71</v>
      </c>
      <c r="N201" s="35" t="s">
        <v>169</v>
      </c>
      <c r="O201" s="35" t="s">
        <v>170</v>
      </c>
      <c r="P201" s="37">
        <v>36</v>
      </c>
      <c r="Q201" s="37" t="e">
        <f>VLOOKUP(D201,#REF!,9,FALSE)</f>
        <v>#REF!</v>
      </c>
      <c r="R201" s="37" t="s">
        <v>194</v>
      </c>
      <c r="S201" s="35" t="s">
        <v>209</v>
      </c>
      <c r="T201" s="37">
        <v>500</v>
      </c>
      <c r="U201" s="37">
        <v>800</v>
      </c>
      <c r="V201" s="37">
        <v>380</v>
      </c>
      <c r="W201" s="38">
        <f t="shared" si="36"/>
        <v>152000000</v>
      </c>
      <c r="X201" s="38"/>
      <c r="Y201" s="36">
        <v>1.5609999999999999</v>
      </c>
      <c r="Z201" s="36">
        <v>37.94</v>
      </c>
      <c r="AA201" s="39">
        <v>94.135999999999996</v>
      </c>
      <c r="AB201" s="37">
        <v>1000</v>
      </c>
      <c r="AC201" s="35">
        <v>1000</v>
      </c>
      <c r="AD201" s="36">
        <v>130</v>
      </c>
      <c r="AE201" s="35">
        <f t="shared" si="31"/>
        <v>130000000</v>
      </c>
      <c r="AF201" s="37">
        <v>13</v>
      </c>
      <c r="AG201" s="37">
        <v>2</v>
      </c>
      <c r="AH201" s="37">
        <v>4</v>
      </c>
      <c r="AI201" s="37" t="s">
        <v>151</v>
      </c>
      <c r="AJ201" s="40">
        <f t="shared" ref="AJ201:AJ205" si="38">T201*AG201</f>
        <v>1000</v>
      </c>
      <c r="AK201" s="40">
        <f t="shared" ref="AK201:AK205" si="39">U201</f>
        <v>800</v>
      </c>
      <c r="AL201" s="40">
        <f t="shared" ref="AL201:AL205" si="40">(V201*AH201)</f>
        <v>1520</v>
      </c>
      <c r="AM201" s="26">
        <f t="shared" si="35"/>
        <v>1216000000</v>
      </c>
      <c r="AN201" s="37" t="s">
        <v>210</v>
      </c>
      <c r="AO201" s="37" t="s">
        <v>153</v>
      </c>
      <c r="AP201" s="35"/>
      <c r="AQ201" s="35"/>
      <c r="AR201" s="37"/>
      <c r="AS201" s="35"/>
      <c r="AT201" s="37">
        <v>40</v>
      </c>
      <c r="AU201" s="41">
        <f t="shared" si="32"/>
        <v>6080000000</v>
      </c>
      <c r="AV201" s="42">
        <f t="shared" si="33"/>
        <v>3765.4399999999996</v>
      </c>
      <c r="AW201" s="36" t="s">
        <v>198</v>
      </c>
    </row>
    <row r="202" spans="1:49" hidden="1" x14ac:dyDescent="0.2">
      <c r="A202" s="35" t="s">
        <v>140</v>
      </c>
      <c r="B202" s="35" t="s">
        <v>141</v>
      </c>
      <c r="C202" s="67" t="s">
        <v>496</v>
      </c>
      <c r="D202" s="37"/>
      <c r="E202" s="35"/>
      <c r="F202" s="37"/>
      <c r="G202" s="35" t="s">
        <v>142</v>
      </c>
      <c r="H202" s="37" t="s">
        <v>143</v>
      </c>
      <c r="I202" s="35"/>
      <c r="J202" s="37" t="s">
        <v>54</v>
      </c>
      <c r="K202" s="35" t="s">
        <v>144</v>
      </c>
      <c r="L202" s="37" t="s">
        <v>145</v>
      </c>
      <c r="M202" s="37" t="s">
        <v>71</v>
      </c>
      <c r="N202" s="35" t="s">
        <v>169</v>
      </c>
      <c r="O202" s="35" t="s">
        <v>169</v>
      </c>
      <c r="P202" s="37">
        <v>36</v>
      </c>
      <c r="Q202" s="37" t="e">
        <f>VLOOKUP(D202,#REF!,9,FALSE)</f>
        <v>#REF!</v>
      </c>
      <c r="R202" s="37" t="s">
        <v>194</v>
      </c>
      <c r="S202" s="35" t="s">
        <v>211</v>
      </c>
      <c r="T202" s="37">
        <v>500</v>
      </c>
      <c r="U202" s="37">
        <v>800</v>
      </c>
      <c r="V202" s="37">
        <v>360</v>
      </c>
      <c r="W202" s="38">
        <f t="shared" si="36"/>
        <v>144000000</v>
      </c>
      <c r="X202" s="38"/>
      <c r="Y202" s="36">
        <v>1.5</v>
      </c>
      <c r="Z202" s="36">
        <v>40</v>
      </c>
      <c r="AA202" s="39">
        <v>94</v>
      </c>
      <c r="AB202" s="37">
        <v>1000</v>
      </c>
      <c r="AC202" s="35">
        <v>1000</v>
      </c>
      <c r="AD202" s="36">
        <v>130</v>
      </c>
      <c r="AE202" s="35">
        <f t="shared" si="31"/>
        <v>130000000</v>
      </c>
      <c r="AF202" s="37">
        <v>13</v>
      </c>
      <c r="AG202" s="37">
        <v>2</v>
      </c>
      <c r="AH202" s="37">
        <v>4</v>
      </c>
      <c r="AI202" s="37" t="s">
        <v>151</v>
      </c>
      <c r="AJ202" s="40">
        <f t="shared" si="38"/>
        <v>1000</v>
      </c>
      <c r="AK202" s="40">
        <f t="shared" si="39"/>
        <v>800</v>
      </c>
      <c r="AL202" s="40">
        <f t="shared" si="40"/>
        <v>1440</v>
      </c>
      <c r="AM202" s="26">
        <f t="shared" si="35"/>
        <v>1152000000</v>
      </c>
      <c r="AN202" s="37" t="s">
        <v>210</v>
      </c>
      <c r="AO202" s="37" t="s">
        <v>153</v>
      </c>
      <c r="AP202" s="35"/>
      <c r="AQ202" s="35"/>
      <c r="AR202" s="37"/>
      <c r="AS202" s="35"/>
      <c r="AT202" s="37">
        <v>3</v>
      </c>
      <c r="AU202" s="41">
        <f t="shared" si="32"/>
        <v>432000000</v>
      </c>
      <c r="AV202" s="42">
        <f t="shared" si="33"/>
        <v>282</v>
      </c>
      <c r="AW202" s="36" t="s">
        <v>198</v>
      </c>
    </row>
    <row r="203" spans="1:49" hidden="1" x14ac:dyDescent="0.2">
      <c r="A203" s="35" t="s">
        <v>140</v>
      </c>
      <c r="B203" s="35" t="s">
        <v>141</v>
      </c>
      <c r="C203" s="67" t="s">
        <v>497</v>
      </c>
      <c r="D203" s="37"/>
      <c r="E203" s="35"/>
      <c r="F203" s="37"/>
      <c r="G203" s="35" t="s">
        <v>142</v>
      </c>
      <c r="H203" s="37" t="s">
        <v>143</v>
      </c>
      <c r="I203" s="35"/>
      <c r="J203" s="37" t="s">
        <v>54</v>
      </c>
      <c r="K203" s="35" t="s">
        <v>144</v>
      </c>
      <c r="L203" s="37" t="s">
        <v>145</v>
      </c>
      <c r="M203" s="37" t="s">
        <v>71</v>
      </c>
      <c r="N203" s="35" t="s">
        <v>169</v>
      </c>
      <c r="O203" s="35" t="s">
        <v>169</v>
      </c>
      <c r="P203" s="37">
        <v>36</v>
      </c>
      <c r="Q203" s="37" t="e">
        <f>VLOOKUP(D203,#REF!,9,FALSE)</f>
        <v>#REF!</v>
      </c>
      <c r="R203" s="37" t="s">
        <v>194</v>
      </c>
      <c r="S203" s="35" t="s">
        <v>211</v>
      </c>
      <c r="T203" s="37">
        <v>500</v>
      </c>
      <c r="U203" s="37">
        <v>800</v>
      </c>
      <c r="V203" s="37">
        <v>380</v>
      </c>
      <c r="W203" s="38">
        <f t="shared" si="36"/>
        <v>152000000</v>
      </c>
      <c r="X203" s="38"/>
      <c r="Y203" s="36">
        <v>1.76</v>
      </c>
      <c r="Z203" s="36">
        <v>37.94</v>
      </c>
      <c r="AA203" s="39">
        <v>101.3</v>
      </c>
      <c r="AB203" s="37">
        <v>1000</v>
      </c>
      <c r="AC203" s="35">
        <v>1000</v>
      </c>
      <c r="AD203" s="36">
        <v>130</v>
      </c>
      <c r="AE203" s="35">
        <f t="shared" si="31"/>
        <v>130000000</v>
      </c>
      <c r="AF203" s="37">
        <v>13</v>
      </c>
      <c r="AG203" s="37">
        <v>2</v>
      </c>
      <c r="AH203" s="37">
        <v>4</v>
      </c>
      <c r="AI203" s="37" t="s">
        <v>151</v>
      </c>
      <c r="AJ203" s="40">
        <f t="shared" si="38"/>
        <v>1000</v>
      </c>
      <c r="AK203" s="40">
        <f t="shared" si="39"/>
        <v>800</v>
      </c>
      <c r="AL203" s="40">
        <f t="shared" si="40"/>
        <v>1520</v>
      </c>
      <c r="AM203" s="26">
        <f t="shared" si="35"/>
        <v>1216000000</v>
      </c>
      <c r="AN203" s="37" t="s">
        <v>210</v>
      </c>
      <c r="AO203" s="37" t="s">
        <v>153</v>
      </c>
      <c r="AP203" s="35"/>
      <c r="AQ203" s="35"/>
      <c r="AR203" s="37"/>
      <c r="AS203" s="35"/>
      <c r="AT203" s="37">
        <v>4</v>
      </c>
      <c r="AU203" s="41">
        <f t="shared" si="32"/>
        <v>608000000</v>
      </c>
      <c r="AV203" s="42">
        <f t="shared" si="33"/>
        <v>405.2</v>
      </c>
      <c r="AW203" s="36" t="s">
        <v>198</v>
      </c>
    </row>
    <row r="204" spans="1:49" hidden="1" x14ac:dyDescent="0.2">
      <c r="A204" s="35" t="s">
        <v>140</v>
      </c>
      <c r="B204" s="35" t="s">
        <v>141</v>
      </c>
      <c r="C204" s="67" t="s">
        <v>498</v>
      </c>
      <c r="D204" s="37"/>
      <c r="E204" s="35"/>
      <c r="F204" s="37"/>
      <c r="G204" s="35" t="s">
        <v>142</v>
      </c>
      <c r="H204" s="37" t="s">
        <v>143</v>
      </c>
      <c r="I204" s="35"/>
      <c r="J204" s="37" t="s">
        <v>54</v>
      </c>
      <c r="K204" s="35" t="s">
        <v>144</v>
      </c>
      <c r="L204" s="37" t="s">
        <v>145</v>
      </c>
      <c r="M204" s="37" t="s">
        <v>71</v>
      </c>
      <c r="N204" s="35" t="s">
        <v>169</v>
      </c>
      <c r="O204" s="35" t="s">
        <v>169</v>
      </c>
      <c r="P204" s="37">
        <v>36</v>
      </c>
      <c r="Q204" s="37" t="e">
        <f>VLOOKUP(D204,#REF!,9,FALSE)</f>
        <v>#REF!</v>
      </c>
      <c r="R204" s="37" t="s">
        <v>194</v>
      </c>
      <c r="S204" s="35" t="s">
        <v>211</v>
      </c>
      <c r="T204" s="37">
        <v>500</v>
      </c>
      <c r="U204" s="37">
        <v>800</v>
      </c>
      <c r="V204" s="37">
        <v>360</v>
      </c>
      <c r="W204" s="38">
        <f t="shared" si="36"/>
        <v>144000000</v>
      </c>
      <c r="X204" s="38"/>
      <c r="Y204" s="36">
        <v>1.92</v>
      </c>
      <c r="Z204" s="36">
        <v>37.94</v>
      </c>
      <c r="AA204" s="39">
        <v>107.06</v>
      </c>
      <c r="AB204" s="37">
        <v>1000</v>
      </c>
      <c r="AC204" s="35">
        <v>1000</v>
      </c>
      <c r="AD204" s="36">
        <v>130</v>
      </c>
      <c r="AE204" s="35">
        <f t="shared" si="31"/>
        <v>130000000</v>
      </c>
      <c r="AF204" s="37">
        <v>13</v>
      </c>
      <c r="AG204" s="37">
        <v>2</v>
      </c>
      <c r="AH204" s="37">
        <v>4</v>
      </c>
      <c r="AI204" s="37" t="s">
        <v>151</v>
      </c>
      <c r="AJ204" s="40">
        <f t="shared" si="38"/>
        <v>1000</v>
      </c>
      <c r="AK204" s="40">
        <f t="shared" si="39"/>
        <v>800</v>
      </c>
      <c r="AL204" s="40">
        <f t="shared" si="40"/>
        <v>1440</v>
      </c>
      <c r="AM204" s="26">
        <f t="shared" si="35"/>
        <v>1152000000</v>
      </c>
      <c r="AN204" s="37" t="s">
        <v>210</v>
      </c>
      <c r="AO204" s="37" t="s">
        <v>153</v>
      </c>
      <c r="AP204" s="35"/>
      <c r="AQ204" s="35"/>
      <c r="AR204" s="37"/>
      <c r="AS204" s="35"/>
      <c r="AT204" s="37">
        <v>8</v>
      </c>
      <c r="AU204" s="41">
        <f t="shared" si="32"/>
        <v>1152000000</v>
      </c>
      <c r="AV204" s="42">
        <f t="shared" si="33"/>
        <v>856.48</v>
      </c>
      <c r="AW204" s="36" t="s">
        <v>198</v>
      </c>
    </row>
    <row r="205" spans="1:49" hidden="1" x14ac:dyDescent="0.2">
      <c r="A205" s="35" t="s">
        <v>140</v>
      </c>
      <c r="B205" s="35" t="s">
        <v>141</v>
      </c>
      <c r="C205" s="67" t="s">
        <v>499</v>
      </c>
      <c r="D205" s="37"/>
      <c r="E205" s="35"/>
      <c r="F205" s="37"/>
      <c r="G205" s="35" t="s">
        <v>142</v>
      </c>
      <c r="H205" s="37" t="s">
        <v>143</v>
      </c>
      <c r="I205" s="35"/>
      <c r="J205" s="37" t="s">
        <v>54</v>
      </c>
      <c r="K205" s="35" t="s">
        <v>144</v>
      </c>
      <c r="L205" s="37" t="s">
        <v>145</v>
      </c>
      <c r="M205" s="37" t="s">
        <v>71</v>
      </c>
      <c r="N205" s="35" t="s">
        <v>169</v>
      </c>
      <c r="O205" s="35" t="s">
        <v>169</v>
      </c>
      <c r="P205" s="37">
        <v>36</v>
      </c>
      <c r="Q205" s="37" t="e">
        <f>VLOOKUP(D205,#REF!,9,FALSE)</f>
        <v>#REF!</v>
      </c>
      <c r="R205" s="37" t="s">
        <v>194</v>
      </c>
      <c r="S205" s="35" t="s">
        <v>211</v>
      </c>
      <c r="T205" s="37">
        <v>500</v>
      </c>
      <c r="U205" s="37">
        <v>800</v>
      </c>
      <c r="V205" s="37">
        <v>380</v>
      </c>
      <c r="W205" s="38">
        <f t="shared" si="36"/>
        <v>152000000</v>
      </c>
      <c r="X205" s="38"/>
      <c r="Y205" s="36">
        <v>1.46</v>
      </c>
      <c r="Z205" s="36">
        <v>37.94</v>
      </c>
      <c r="AA205" s="39">
        <v>90.5</v>
      </c>
      <c r="AB205" s="37">
        <v>1000</v>
      </c>
      <c r="AC205" s="35">
        <v>1000</v>
      </c>
      <c r="AD205" s="36">
        <v>130</v>
      </c>
      <c r="AE205" s="35">
        <f t="shared" si="31"/>
        <v>130000000</v>
      </c>
      <c r="AF205" s="37">
        <v>13</v>
      </c>
      <c r="AG205" s="37">
        <v>2</v>
      </c>
      <c r="AH205" s="37">
        <v>4</v>
      </c>
      <c r="AI205" s="37" t="s">
        <v>151</v>
      </c>
      <c r="AJ205" s="40">
        <f t="shared" si="38"/>
        <v>1000</v>
      </c>
      <c r="AK205" s="40">
        <f t="shared" si="39"/>
        <v>800</v>
      </c>
      <c r="AL205" s="40">
        <f t="shared" si="40"/>
        <v>1520</v>
      </c>
      <c r="AM205" s="26">
        <f t="shared" si="35"/>
        <v>1216000000</v>
      </c>
      <c r="AN205" s="37" t="s">
        <v>210</v>
      </c>
      <c r="AO205" s="37" t="s">
        <v>153</v>
      </c>
      <c r="AP205" s="35"/>
      <c r="AQ205" s="35"/>
      <c r="AR205" s="37"/>
      <c r="AS205" s="35"/>
      <c r="AT205" s="37">
        <v>1</v>
      </c>
      <c r="AU205" s="41">
        <f t="shared" si="32"/>
        <v>152000000</v>
      </c>
      <c r="AV205" s="42">
        <f t="shared" si="33"/>
        <v>90.5</v>
      </c>
      <c r="AW205" s="36" t="s">
        <v>198</v>
      </c>
    </row>
    <row r="206" spans="1:49" hidden="1" x14ac:dyDescent="0.2">
      <c r="A206" s="35" t="s">
        <v>140</v>
      </c>
      <c r="B206" s="35" t="s">
        <v>141</v>
      </c>
      <c r="C206" s="67" t="s">
        <v>500</v>
      </c>
      <c r="D206" s="37"/>
      <c r="E206" s="35"/>
      <c r="F206" s="37"/>
      <c r="G206" s="35" t="s">
        <v>142</v>
      </c>
      <c r="H206" s="37" t="s">
        <v>143</v>
      </c>
      <c r="I206" s="35"/>
      <c r="J206" s="37" t="s">
        <v>54</v>
      </c>
      <c r="K206" s="35" t="s">
        <v>144</v>
      </c>
      <c r="L206" s="37" t="s">
        <v>145</v>
      </c>
      <c r="M206" s="37" t="s">
        <v>165</v>
      </c>
      <c r="N206" s="35" t="s">
        <v>166</v>
      </c>
      <c r="O206" s="35" t="s">
        <v>167</v>
      </c>
      <c r="P206" s="37">
        <v>18</v>
      </c>
      <c r="Q206" s="37" t="e">
        <f>VLOOKUP(D206,#REF!,9,FALSE)</f>
        <v>#REF!</v>
      </c>
      <c r="R206" s="37" t="s">
        <v>149</v>
      </c>
      <c r="S206" s="35" t="s">
        <v>182</v>
      </c>
      <c r="T206" s="37">
        <v>340</v>
      </c>
      <c r="U206" s="37">
        <v>340</v>
      </c>
      <c r="V206" s="37">
        <v>200</v>
      </c>
      <c r="W206" s="38">
        <f t="shared" si="36"/>
        <v>23120000</v>
      </c>
      <c r="X206" s="38"/>
      <c r="Y206" s="36">
        <v>0.7</v>
      </c>
      <c r="Z206" s="36">
        <v>1</v>
      </c>
      <c r="AA206" s="39">
        <v>13.6</v>
      </c>
      <c r="AB206" s="37">
        <v>1000</v>
      </c>
      <c r="AC206" s="35">
        <v>1000</v>
      </c>
      <c r="AD206" s="36">
        <v>130</v>
      </c>
      <c r="AE206" s="35">
        <f t="shared" si="31"/>
        <v>130000000</v>
      </c>
      <c r="AF206" s="37">
        <v>13</v>
      </c>
      <c r="AG206" s="37">
        <v>9</v>
      </c>
      <c r="AH206" s="37">
        <v>5</v>
      </c>
      <c r="AI206" s="37" t="s">
        <v>151</v>
      </c>
      <c r="AJ206" s="40">
        <f t="shared" si="34"/>
        <v>1000</v>
      </c>
      <c r="AK206" s="40">
        <f t="shared" si="34"/>
        <v>1000</v>
      </c>
      <c r="AL206" s="40">
        <f t="shared" si="37"/>
        <v>1130</v>
      </c>
      <c r="AM206" s="26">
        <f t="shared" si="35"/>
        <v>1130000000</v>
      </c>
      <c r="AN206" s="37" t="s">
        <v>152</v>
      </c>
      <c r="AO206" s="37" t="s">
        <v>153</v>
      </c>
      <c r="AP206" s="35"/>
      <c r="AQ206" s="35"/>
      <c r="AR206" s="37"/>
      <c r="AS206" s="35"/>
      <c r="AT206" s="37">
        <v>152</v>
      </c>
      <c r="AU206" s="41">
        <f t="shared" si="32"/>
        <v>3514240000</v>
      </c>
      <c r="AV206" s="42">
        <f t="shared" si="33"/>
        <v>2067.1999999999998</v>
      </c>
      <c r="AW206" s="36" t="s">
        <v>168</v>
      </c>
    </row>
    <row r="207" spans="1:49" hidden="1" x14ac:dyDescent="0.2">
      <c r="A207" s="35" t="s">
        <v>140</v>
      </c>
      <c r="B207" s="35" t="s">
        <v>141</v>
      </c>
      <c r="C207" s="67" t="s">
        <v>501</v>
      </c>
      <c r="D207" s="37"/>
      <c r="E207" s="35"/>
      <c r="F207" s="37"/>
      <c r="G207" s="35" t="s">
        <v>142</v>
      </c>
      <c r="H207" s="37" t="s">
        <v>143</v>
      </c>
      <c r="I207" s="35"/>
      <c r="J207" s="37" t="s">
        <v>54</v>
      </c>
      <c r="K207" s="35" t="s">
        <v>144</v>
      </c>
      <c r="L207" s="37" t="s">
        <v>145</v>
      </c>
      <c r="M207" s="37" t="s">
        <v>165</v>
      </c>
      <c r="N207" s="35" t="s">
        <v>166</v>
      </c>
      <c r="O207" s="35" t="s">
        <v>167</v>
      </c>
      <c r="P207" s="37">
        <v>8</v>
      </c>
      <c r="Q207" s="37" t="e">
        <f>VLOOKUP(D207,#REF!,9,FALSE)</f>
        <v>#REF!</v>
      </c>
      <c r="R207" s="37" t="s">
        <v>149</v>
      </c>
      <c r="S207" s="35" t="s">
        <v>182</v>
      </c>
      <c r="T207" s="37">
        <v>340</v>
      </c>
      <c r="U207" s="37">
        <v>340</v>
      </c>
      <c r="V207" s="37">
        <v>200</v>
      </c>
      <c r="W207" s="38">
        <f t="shared" si="36"/>
        <v>23120000</v>
      </c>
      <c r="X207" s="38"/>
      <c r="Y207" s="36">
        <v>0.7</v>
      </c>
      <c r="Z207" s="36">
        <v>1</v>
      </c>
      <c r="AA207" s="39">
        <v>6.6</v>
      </c>
      <c r="AB207" s="37">
        <v>1000</v>
      </c>
      <c r="AC207" s="35">
        <v>1000</v>
      </c>
      <c r="AD207" s="36">
        <v>130</v>
      </c>
      <c r="AE207" s="35">
        <f t="shared" si="31"/>
        <v>130000000</v>
      </c>
      <c r="AF207" s="37">
        <v>13</v>
      </c>
      <c r="AG207" s="37">
        <v>9</v>
      </c>
      <c r="AH207" s="37">
        <v>5</v>
      </c>
      <c r="AI207" s="37" t="s">
        <v>180</v>
      </c>
      <c r="AJ207" s="40">
        <f t="shared" si="34"/>
        <v>1000</v>
      </c>
      <c r="AK207" s="40">
        <f t="shared" si="34"/>
        <v>1000</v>
      </c>
      <c r="AL207" s="40">
        <f t="shared" si="37"/>
        <v>1130</v>
      </c>
      <c r="AM207" s="26">
        <f t="shared" si="35"/>
        <v>1130000000</v>
      </c>
      <c r="AN207" s="37" t="s">
        <v>152</v>
      </c>
      <c r="AO207" s="37" t="s">
        <v>153</v>
      </c>
      <c r="AP207" s="35"/>
      <c r="AQ207" s="35"/>
      <c r="AR207" s="37"/>
      <c r="AS207" s="35"/>
      <c r="AT207" s="37">
        <v>1575</v>
      </c>
      <c r="AU207" s="41">
        <f t="shared" si="32"/>
        <v>36414000000</v>
      </c>
      <c r="AV207" s="42">
        <f t="shared" si="33"/>
        <v>10395</v>
      </c>
      <c r="AW207" s="36" t="s">
        <v>168</v>
      </c>
    </row>
    <row r="208" spans="1:49" hidden="1" x14ac:dyDescent="0.2">
      <c r="A208" s="35" t="s">
        <v>140</v>
      </c>
      <c r="B208" s="35" t="s">
        <v>141</v>
      </c>
      <c r="C208" s="67" t="s">
        <v>502</v>
      </c>
      <c r="D208" s="37"/>
      <c r="E208" s="35"/>
      <c r="F208" s="37"/>
      <c r="G208" s="35" t="s">
        <v>142</v>
      </c>
      <c r="H208" s="37" t="s">
        <v>143</v>
      </c>
      <c r="I208" s="35"/>
      <c r="J208" s="37" t="s">
        <v>54</v>
      </c>
      <c r="K208" s="35" t="s">
        <v>144</v>
      </c>
      <c r="L208" s="37" t="s">
        <v>145</v>
      </c>
      <c r="M208" s="37" t="s">
        <v>165</v>
      </c>
      <c r="N208" s="35" t="s">
        <v>166</v>
      </c>
      <c r="O208" s="35" t="s">
        <v>167</v>
      </c>
      <c r="P208" s="37">
        <v>8</v>
      </c>
      <c r="Q208" s="37" t="e">
        <f>VLOOKUP(D208,#REF!,9,FALSE)</f>
        <v>#REF!</v>
      </c>
      <c r="R208" s="37" t="s">
        <v>149</v>
      </c>
      <c r="S208" s="35" t="s">
        <v>182</v>
      </c>
      <c r="T208" s="37">
        <v>340</v>
      </c>
      <c r="U208" s="37">
        <v>340</v>
      </c>
      <c r="V208" s="37">
        <v>200</v>
      </c>
      <c r="W208" s="38">
        <f t="shared" si="36"/>
        <v>23120000</v>
      </c>
      <c r="X208" s="38"/>
      <c r="Y208" s="36">
        <v>0.7</v>
      </c>
      <c r="Z208" s="36">
        <v>1</v>
      </c>
      <c r="AA208" s="39">
        <v>6.6</v>
      </c>
      <c r="AB208" s="37">
        <v>1000</v>
      </c>
      <c r="AC208" s="35">
        <v>1000</v>
      </c>
      <c r="AD208" s="36">
        <v>130</v>
      </c>
      <c r="AE208" s="35">
        <f t="shared" si="31"/>
        <v>130000000</v>
      </c>
      <c r="AF208" s="37">
        <v>13</v>
      </c>
      <c r="AG208" s="37">
        <v>9</v>
      </c>
      <c r="AH208" s="37">
        <v>5</v>
      </c>
      <c r="AI208" s="37" t="s">
        <v>151</v>
      </c>
      <c r="AJ208" s="40">
        <f t="shared" si="34"/>
        <v>1000</v>
      </c>
      <c r="AK208" s="40">
        <f t="shared" si="34"/>
        <v>1000</v>
      </c>
      <c r="AL208" s="40">
        <f t="shared" si="37"/>
        <v>1130</v>
      </c>
      <c r="AM208" s="26">
        <f t="shared" si="35"/>
        <v>1130000000</v>
      </c>
      <c r="AN208" s="37" t="s">
        <v>152</v>
      </c>
      <c r="AO208" s="37" t="s">
        <v>153</v>
      </c>
      <c r="AP208" s="35"/>
      <c r="AQ208" s="35"/>
      <c r="AR208" s="37"/>
      <c r="AS208" s="35"/>
      <c r="AT208" s="37">
        <v>21</v>
      </c>
      <c r="AU208" s="41">
        <f t="shared" si="32"/>
        <v>485520000</v>
      </c>
      <c r="AV208" s="42">
        <f t="shared" si="33"/>
        <v>138.6</v>
      </c>
      <c r="AW208" s="36" t="s">
        <v>168</v>
      </c>
    </row>
    <row r="209" spans="1:49" hidden="1" x14ac:dyDescent="0.2">
      <c r="A209" s="35" t="s">
        <v>140</v>
      </c>
      <c r="B209" s="35" t="s">
        <v>141</v>
      </c>
      <c r="C209" s="67" t="s">
        <v>503</v>
      </c>
      <c r="D209" s="37"/>
      <c r="E209" s="35"/>
      <c r="F209" s="37"/>
      <c r="G209" s="35" t="s">
        <v>142</v>
      </c>
      <c r="H209" s="37" t="s">
        <v>143</v>
      </c>
      <c r="I209" s="35"/>
      <c r="J209" s="37" t="s">
        <v>54</v>
      </c>
      <c r="K209" s="35" t="s">
        <v>144</v>
      </c>
      <c r="L209" s="37" t="s">
        <v>145</v>
      </c>
      <c r="M209" s="37" t="s">
        <v>165</v>
      </c>
      <c r="N209" s="35" t="s">
        <v>166</v>
      </c>
      <c r="O209" s="35" t="s">
        <v>167</v>
      </c>
      <c r="P209" s="37">
        <v>18</v>
      </c>
      <c r="Q209" s="37" t="e">
        <f>VLOOKUP(D209,#REF!,9,FALSE)</f>
        <v>#REF!</v>
      </c>
      <c r="R209" s="37" t="s">
        <v>149</v>
      </c>
      <c r="S209" s="35" t="s">
        <v>182</v>
      </c>
      <c r="T209" s="37">
        <v>340</v>
      </c>
      <c r="U209" s="37">
        <v>340</v>
      </c>
      <c r="V209" s="37">
        <v>200</v>
      </c>
      <c r="W209" s="38">
        <f t="shared" si="36"/>
        <v>23120000</v>
      </c>
      <c r="X209" s="38"/>
      <c r="Y209" s="36">
        <v>0.6</v>
      </c>
      <c r="Z209" s="36">
        <v>1</v>
      </c>
      <c r="AA209" s="39">
        <v>11.799999999999999</v>
      </c>
      <c r="AB209" s="37">
        <v>1000</v>
      </c>
      <c r="AC209" s="35">
        <v>1000</v>
      </c>
      <c r="AD209" s="36">
        <v>130</v>
      </c>
      <c r="AE209" s="35">
        <f t="shared" si="31"/>
        <v>130000000</v>
      </c>
      <c r="AF209" s="37">
        <v>13</v>
      </c>
      <c r="AG209" s="37">
        <v>9</v>
      </c>
      <c r="AH209" s="37">
        <v>5</v>
      </c>
      <c r="AI209" s="37" t="s">
        <v>151</v>
      </c>
      <c r="AJ209" s="40">
        <f t="shared" si="34"/>
        <v>1000</v>
      </c>
      <c r="AK209" s="40">
        <f t="shared" si="34"/>
        <v>1000</v>
      </c>
      <c r="AL209" s="40">
        <f t="shared" si="37"/>
        <v>1130</v>
      </c>
      <c r="AM209" s="26">
        <f t="shared" si="35"/>
        <v>1130000000</v>
      </c>
      <c r="AN209" s="37" t="s">
        <v>152</v>
      </c>
      <c r="AO209" s="37" t="s">
        <v>153</v>
      </c>
      <c r="AP209" s="35"/>
      <c r="AQ209" s="35"/>
      <c r="AR209" s="37"/>
      <c r="AS209" s="35"/>
      <c r="AT209" s="37">
        <v>15</v>
      </c>
      <c r="AU209" s="41">
        <f t="shared" si="32"/>
        <v>346800000</v>
      </c>
      <c r="AV209" s="42">
        <f t="shared" si="33"/>
        <v>176.99999999999997</v>
      </c>
      <c r="AW209" s="36" t="s">
        <v>168</v>
      </c>
    </row>
    <row r="210" spans="1:49" hidden="1" x14ac:dyDescent="0.2">
      <c r="A210" s="35" t="s">
        <v>140</v>
      </c>
      <c r="B210" s="35" t="s">
        <v>141</v>
      </c>
      <c r="C210" s="67" t="s">
        <v>504</v>
      </c>
      <c r="D210" s="37"/>
      <c r="E210" s="35"/>
      <c r="F210" s="37"/>
      <c r="G210" s="35" t="s">
        <v>142</v>
      </c>
      <c r="H210" s="37" t="s">
        <v>143</v>
      </c>
      <c r="I210" s="35"/>
      <c r="J210" s="37" t="s">
        <v>54</v>
      </c>
      <c r="K210" s="35" t="s">
        <v>144</v>
      </c>
      <c r="L210" s="37" t="s">
        <v>145</v>
      </c>
      <c r="M210" s="37" t="s">
        <v>165</v>
      </c>
      <c r="N210" s="35" t="s">
        <v>166</v>
      </c>
      <c r="O210" s="35" t="s">
        <v>167</v>
      </c>
      <c r="P210" s="37">
        <v>12</v>
      </c>
      <c r="Q210" s="37" t="e">
        <f>VLOOKUP(D210,#REF!,9,FALSE)</f>
        <v>#REF!</v>
      </c>
      <c r="R210" s="37" t="s">
        <v>149</v>
      </c>
      <c r="S210" s="35" t="s">
        <v>182</v>
      </c>
      <c r="T210" s="37">
        <v>340</v>
      </c>
      <c r="U210" s="37">
        <v>340</v>
      </c>
      <c r="V210" s="37">
        <v>200</v>
      </c>
      <c r="W210" s="38">
        <f t="shared" si="36"/>
        <v>23120000</v>
      </c>
      <c r="X210" s="38"/>
      <c r="Y210" s="36">
        <v>0.6</v>
      </c>
      <c r="Z210" s="36">
        <v>1</v>
      </c>
      <c r="AA210" s="39">
        <v>8.1999999999999993</v>
      </c>
      <c r="AB210" s="37">
        <v>1000</v>
      </c>
      <c r="AC210" s="35">
        <v>1000</v>
      </c>
      <c r="AD210" s="36">
        <v>130</v>
      </c>
      <c r="AE210" s="35">
        <f t="shared" si="31"/>
        <v>130000000</v>
      </c>
      <c r="AF210" s="37">
        <v>13</v>
      </c>
      <c r="AG210" s="37">
        <v>9</v>
      </c>
      <c r="AH210" s="37">
        <v>5</v>
      </c>
      <c r="AI210" s="37" t="s">
        <v>151</v>
      </c>
      <c r="AJ210" s="40">
        <f t="shared" si="34"/>
        <v>1000</v>
      </c>
      <c r="AK210" s="40">
        <f t="shared" si="34"/>
        <v>1000</v>
      </c>
      <c r="AL210" s="40">
        <f t="shared" si="37"/>
        <v>1130</v>
      </c>
      <c r="AM210" s="26">
        <f t="shared" si="35"/>
        <v>1130000000</v>
      </c>
      <c r="AN210" s="37" t="s">
        <v>152</v>
      </c>
      <c r="AO210" s="37" t="s">
        <v>153</v>
      </c>
      <c r="AP210" s="35"/>
      <c r="AQ210" s="35"/>
      <c r="AR210" s="37"/>
      <c r="AS210" s="35"/>
      <c r="AT210" s="37">
        <v>22</v>
      </c>
      <c r="AU210" s="41">
        <f t="shared" si="32"/>
        <v>508640000</v>
      </c>
      <c r="AV210" s="42">
        <f t="shared" si="33"/>
        <v>180.39999999999998</v>
      </c>
      <c r="AW210" s="36" t="s">
        <v>168</v>
      </c>
    </row>
    <row r="211" spans="1:49" hidden="1" x14ac:dyDescent="0.2">
      <c r="A211" s="35" t="s">
        <v>140</v>
      </c>
      <c r="B211" s="35" t="s">
        <v>141</v>
      </c>
      <c r="C211" s="67" t="s">
        <v>505</v>
      </c>
      <c r="D211" s="37"/>
      <c r="E211" s="35"/>
      <c r="F211" s="37"/>
      <c r="G211" s="35" t="s">
        <v>142</v>
      </c>
      <c r="H211" s="37" t="s">
        <v>143</v>
      </c>
      <c r="I211" s="35"/>
      <c r="J211" s="37" t="s">
        <v>54</v>
      </c>
      <c r="K211" s="35" t="s">
        <v>144</v>
      </c>
      <c r="L211" s="37" t="s">
        <v>145</v>
      </c>
      <c r="M211" s="37" t="s">
        <v>71</v>
      </c>
      <c r="N211" s="35" t="s">
        <v>169</v>
      </c>
      <c r="O211" s="35" t="s">
        <v>169</v>
      </c>
      <c r="P211" s="37">
        <v>4</v>
      </c>
      <c r="Q211" s="37" t="e">
        <f>VLOOKUP(D211,#REF!,9,FALSE)</f>
        <v>#REF!</v>
      </c>
      <c r="R211" s="37" t="s">
        <v>149</v>
      </c>
      <c r="S211" s="35" t="s">
        <v>182</v>
      </c>
      <c r="T211" s="37">
        <v>340</v>
      </c>
      <c r="U211" s="37">
        <v>340</v>
      </c>
      <c r="V211" s="37">
        <v>200</v>
      </c>
      <c r="W211" s="38">
        <f t="shared" si="36"/>
        <v>23120000</v>
      </c>
      <c r="X211" s="38"/>
      <c r="Y211" s="36">
        <v>1</v>
      </c>
      <c r="Z211" s="36">
        <v>2</v>
      </c>
      <c r="AA211" s="39">
        <v>6</v>
      </c>
      <c r="AB211" s="37">
        <v>1000</v>
      </c>
      <c r="AC211" s="35">
        <v>1000</v>
      </c>
      <c r="AD211" s="36">
        <v>130</v>
      </c>
      <c r="AE211" s="35">
        <f t="shared" si="31"/>
        <v>130000000</v>
      </c>
      <c r="AF211" s="37">
        <v>13</v>
      </c>
      <c r="AG211" s="37">
        <v>9</v>
      </c>
      <c r="AH211" s="37">
        <v>5</v>
      </c>
      <c r="AI211" s="37" t="s">
        <v>180</v>
      </c>
      <c r="AJ211" s="40">
        <f t="shared" si="34"/>
        <v>1000</v>
      </c>
      <c r="AK211" s="40">
        <f t="shared" si="34"/>
        <v>1000</v>
      </c>
      <c r="AL211" s="40">
        <f t="shared" si="37"/>
        <v>1130</v>
      </c>
      <c r="AM211" s="26">
        <f t="shared" si="35"/>
        <v>1130000000</v>
      </c>
      <c r="AN211" s="37" t="s">
        <v>152</v>
      </c>
      <c r="AO211" s="37" t="s">
        <v>153</v>
      </c>
      <c r="AP211" s="35"/>
      <c r="AQ211" s="35"/>
      <c r="AR211" s="37"/>
      <c r="AS211" s="35"/>
      <c r="AT211" s="37">
        <v>945</v>
      </c>
      <c r="AU211" s="41">
        <f t="shared" si="32"/>
        <v>21848400000</v>
      </c>
      <c r="AV211" s="42">
        <f t="shared" si="33"/>
        <v>5670</v>
      </c>
      <c r="AW211" s="36" t="s">
        <v>198</v>
      </c>
    </row>
    <row r="212" spans="1:49" x14ac:dyDescent="0.2">
      <c r="A212" s="35" t="s">
        <v>140</v>
      </c>
      <c r="B212" s="35" t="s">
        <v>141</v>
      </c>
      <c r="C212" s="37" t="s">
        <v>342</v>
      </c>
      <c r="D212" s="37"/>
      <c r="E212" s="35"/>
      <c r="F212" s="37"/>
      <c r="G212" s="35" t="s">
        <v>142</v>
      </c>
      <c r="H212" s="37" t="s">
        <v>177</v>
      </c>
      <c r="I212" s="35"/>
      <c r="J212" s="37" t="s">
        <v>54</v>
      </c>
      <c r="K212" s="35" t="s">
        <v>178</v>
      </c>
      <c r="L212" s="37" t="s">
        <v>145</v>
      </c>
      <c r="M212" s="37" t="s">
        <v>18</v>
      </c>
      <c r="N212" s="35" t="s">
        <v>156</v>
      </c>
      <c r="O212" s="35" t="s">
        <v>156</v>
      </c>
      <c r="P212" s="37">
        <v>8</v>
      </c>
      <c r="Q212" s="37" t="e">
        <f>VLOOKUP(D212,#REF!,9,FALSE)</f>
        <v>#REF!</v>
      </c>
      <c r="R212" s="37" t="s">
        <v>149</v>
      </c>
      <c r="S212" s="35" t="s">
        <v>179</v>
      </c>
      <c r="T212" s="37">
        <v>340</v>
      </c>
      <c r="U212" s="37">
        <v>340</v>
      </c>
      <c r="V212" s="37">
        <v>100</v>
      </c>
      <c r="W212" s="38">
        <f t="shared" ref="W212:W215" si="41">T212/1000*U212/1000*V212/1000</f>
        <v>1.1560000000000001E-2</v>
      </c>
      <c r="X212" s="38"/>
      <c r="Y212" s="36">
        <v>1</v>
      </c>
      <c r="Z212" s="36">
        <v>1.08</v>
      </c>
      <c r="AA212" s="39">
        <v>9.08</v>
      </c>
      <c r="AB212" s="37">
        <v>1000</v>
      </c>
      <c r="AC212" s="35">
        <v>1000</v>
      </c>
      <c r="AD212" s="36">
        <v>130</v>
      </c>
      <c r="AE212" s="35">
        <f t="shared" si="31"/>
        <v>130000000</v>
      </c>
      <c r="AF212" s="37">
        <v>13</v>
      </c>
      <c r="AG212" s="37">
        <v>9</v>
      </c>
      <c r="AH212" s="37">
        <v>7</v>
      </c>
      <c r="AI212" s="37" t="s">
        <v>151</v>
      </c>
      <c r="AJ212" s="40">
        <f t="shared" si="34"/>
        <v>1000</v>
      </c>
      <c r="AK212" s="40">
        <f t="shared" si="34"/>
        <v>1000</v>
      </c>
      <c r="AL212" s="40">
        <f t="shared" si="37"/>
        <v>830</v>
      </c>
      <c r="AM212" s="26">
        <f t="shared" si="35"/>
        <v>830000000</v>
      </c>
      <c r="AN212" s="37" t="s">
        <v>152</v>
      </c>
      <c r="AO212" s="37" t="s">
        <v>153</v>
      </c>
      <c r="AP212" s="35"/>
      <c r="AQ212" s="35"/>
      <c r="AR212" s="37"/>
      <c r="AS212" s="35"/>
      <c r="AT212" s="37">
        <v>86</v>
      </c>
      <c r="AU212" s="41">
        <f t="shared" si="32"/>
        <v>0.99416000000000004</v>
      </c>
      <c r="AV212" s="42">
        <f t="shared" si="33"/>
        <v>780.88</v>
      </c>
      <c r="AW212" s="36" t="s">
        <v>158</v>
      </c>
    </row>
    <row r="213" spans="1:49" x14ac:dyDescent="0.2">
      <c r="A213" s="35" t="s">
        <v>140</v>
      </c>
      <c r="B213" s="35" t="s">
        <v>141</v>
      </c>
      <c r="C213" s="37" t="s">
        <v>343</v>
      </c>
      <c r="D213" s="37"/>
      <c r="E213" s="35"/>
      <c r="F213" s="37"/>
      <c r="G213" s="35" t="s">
        <v>142</v>
      </c>
      <c r="H213" s="37" t="s">
        <v>177</v>
      </c>
      <c r="I213" s="35"/>
      <c r="J213" s="37" t="s">
        <v>54</v>
      </c>
      <c r="K213" s="35" t="s">
        <v>178</v>
      </c>
      <c r="L213" s="37" t="s">
        <v>145</v>
      </c>
      <c r="M213" s="37" t="s">
        <v>18</v>
      </c>
      <c r="N213" s="35" t="s">
        <v>156</v>
      </c>
      <c r="O213" s="35" t="s">
        <v>156</v>
      </c>
      <c r="P213" s="37">
        <v>8</v>
      </c>
      <c r="Q213" s="37" t="e">
        <f>VLOOKUP(D213,#REF!,9,FALSE)</f>
        <v>#REF!</v>
      </c>
      <c r="R213" s="37" t="s">
        <v>149</v>
      </c>
      <c r="S213" s="35" t="s">
        <v>179</v>
      </c>
      <c r="T213" s="37">
        <v>340</v>
      </c>
      <c r="U213" s="37">
        <v>340</v>
      </c>
      <c r="V213" s="37">
        <v>100</v>
      </c>
      <c r="W213" s="38">
        <f t="shared" si="41"/>
        <v>1.1560000000000001E-2</v>
      </c>
      <c r="X213" s="38"/>
      <c r="Y213" s="36">
        <v>1.0900000000000001</v>
      </c>
      <c r="Z213" s="36">
        <v>1.08</v>
      </c>
      <c r="AA213" s="39">
        <v>9.8000000000000007</v>
      </c>
      <c r="AB213" s="37">
        <v>1000</v>
      </c>
      <c r="AC213" s="35">
        <v>1000</v>
      </c>
      <c r="AD213" s="36">
        <v>130</v>
      </c>
      <c r="AE213" s="35">
        <f t="shared" si="31"/>
        <v>130000000</v>
      </c>
      <c r="AF213" s="37">
        <v>13</v>
      </c>
      <c r="AG213" s="37">
        <v>9</v>
      </c>
      <c r="AH213" s="37">
        <v>7</v>
      </c>
      <c r="AI213" s="37" t="s">
        <v>151</v>
      </c>
      <c r="AJ213" s="40">
        <f t="shared" si="34"/>
        <v>1000</v>
      </c>
      <c r="AK213" s="40">
        <f t="shared" si="34"/>
        <v>1000</v>
      </c>
      <c r="AL213" s="40">
        <f t="shared" si="37"/>
        <v>830</v>
      </c>
      <c r="AM213" s="26">
        <f t="shared" si="35"/>
        <v>830000000</v>
      </c>
      <c r="AN213" s="37" t="s">
        <v>152</v>
      </c>
      <c r="AO213" s="37" t="s">
        <v>153</v>
      </c>
      <c r="AP213" s="35"/>
      <c r="AQ213" s="35"/>
      <c r="AR213" s="37"/>
      <c r="AS213" s="35"/>
      <c r="AT213" s="37">
        <v>156</v>
      </c>
      <c r="AU213" s="41">
        <f t="shared" si="32"/>
        <v>1.8033600000000001</v>
      </c>
      <c r="AV213" s="42">
        <f t="shared" si="33"/>
        <v>1528.8000000000002</v>
      </c>
      <c r="AW213" s="36" t="s">
        <v>158</v>
      </c>
    </row>
    <row r="214" spans="1:49" x14ac:dyDescent="0.2">
      <c r="A214" s="35" t="s">
        <v>140</v>
      </c>
      <c r="B214" s="35" t="s">
        <v>141</v>
      </c>
      <c r="C214" s="37" t="s">
        <v>344</v>
      </c>
      <c r="D214" s="37"/>
      <c r="E214" s="35"/>
      <c r="F214" s="37"/>
      <c r="G214" s="35" t="s">
        <v>142</v>
      </c>
      <c r="H214" s="37" t="s">
        <v>177</v>
      </c>
      <c r="I214" s="35"/>
      <c r="J214" s="37" t="s">
        <v>54</v>
      </c>
      <c r="K214" s="35" t="s">
        <v>178</v>
      </c>
      <c r="L214" s="37" t="s">
        <v>145</v>
      </c>
      <c r="M214" s="37" t="s">
        <v>18</v>
      </c>
      <c r="N214" s="35" t="s">
        <v>156</v>
      </c>
      <c r="O214" s="35" t="s">
        <v>156</v>
      </c>
      <c r="P214" s="37">
        <v>8</v>
      </c>
      <c r="Q214" s="37" t="e">
        <f>VLOOKUP(D214,#REF!,9,FALSE)</f>
        <v>#REF!</v>
      </c>
      <c r="R214" s="37" t="s">
        <v>149</v>
      </c>
      <c r="S214" s="35" t="s">
        <v>179</v>
      </c>
      <c r="T214" s="37">
        <v>340</v>
      </c>
      <c r="U214" s="37">
        <v>340</v>
      </c>
      <c r="V214" s="37">
        <v>100</v>
      </c>
      <c r="W214" s="38">
        <f t="shared" si="41"/>
        <v>1.1560000000000001E-2</v>
      </c>
      <c r="X214" s="38"/>
      <c r="Y214" s="36">
        <v>0.91</v>
      </c>
      <c r="Z214" s="36">
        <v>1.08</v>
      </c>
      <c r="AA214" s="39">
        <v>8.36</v>
      </c>
      <c r="AB214" s="37">
        <v>1000</v>
      </c>
      <c r="AC214" s="35">
        <v>1000</v>
      </c>
      <c r="AD214" s="36">
        <v>130</v>
      </c>
      <c r="AE214" s="35">
        <f t="shared" si="31"/>
        <v>130000000</v>
      </c>
      <c r="AF214" s="37">
        <v>13</v>
      </c>
      <c r="AG214" s="37">
        <v>9</v>
      </c>
      <c r="AH214" s="37">
        <v>7</v>
      </c>
      <c r="AI214" s="37" t="s">
        <v>151</v>
      </c>
      <c r="AJ214" s="40">
        <f t="shared" si="34"/>
        <v>1000</v>
      </c>
      <c r="AK214" s="40">
        <f t="shared" si="34"/>
        <v>1000</v>
      </c>
      <c r="AL214" s="40">
        <f t="shared" si="37"/>
        <v>830</v>
      </c>
      <c r="AM214" s="26">
        <f t="shared" si="35"/>
        <v>830000000</v>
      </c>
      <c r="AN214" s="37" t="s">
        <v>152</v>
      </c>
      <c r="AO214" s="37" t="s">
        <v>153</v>
      </c>
      <c r="AP214" s="35"/>
      <c r="AQ214" s="35"/>
      <c r="AR214" s="37"/>
      <c r="AS214" s="35"/>
      <c r="AT214" s="37">
        <v>34</v>
      </c>
      <c r="AU214" s="41">
        <f t="shared" si="32"/>
        <v>0.39304000000000006</v>
      </c>
      <c r="AV214" s="42">
        <f t="shared" si="33"/>
        <v>284.24</v>
      </c>
      <c r="AW214" s="36" t="s">
        <v>158</v>
      </c>
    </row>
    <row r="215" spans="1:49" x14ac:dyDescent="0.2">
      <c r="A215" s="35" t="s">
        <v>140</v>
      </c>
      <c r="B215" s="35" t="s">
        <v>141</v>
      </c>
      <c r="C215" s="37" t="s">
        <v>347</v>
      </c>
      <c r="D215" s="37"/>
      <c r="E215" s="35"/>
      <c r="F215" s="37"/>
      <c r="G215" s="35" t="s">
        <v>142</v>
      </c>
      <c r="H215" s="37" t="s">
        <v>177</v>
      </c>
      <c r="I215" s="35"/>
      <c r="J215" s="37" t="s">
        <v>54</v>
      </c>
      <c r="K215" s="35" t="s">
        <v>178</v>
      </c>
      <c r="L215" s="37" t="s">
        <v>145</v>
      </c>
      <c r="M215" s="37" t="s">
        <v>62</v>
      </c>
      <c r="N215" s="35" t="s">
        <v>156</v>
      </c>
      <c r="O215" s="35" t="s">
        <v>156</v>
      </c>
      <c r="P215" s="37">
        <v>8</v>
      </c>
      <c r="Q215" s="37" t="e">
        <f>VLOOKUP(D215,#REF!,9,FALSE)</f>
        <v>#REF!</v>
      </c>
      <c r="R215" s="37" t="s">
        <v>149</v>
      </c>
      <c r="S215" s="35" t="s">
        <v>184</v>
      </c>
      <c r="T215" s="37">
        <v>340</v>
      </c>
      <c r="U215" s="37">
        <v>340</v>
      </c>
      <c r="V215" s="37">
        <v>250</v>
      </c>
      <c r="W215" s="38">
        <f t="shared" si="41"/>
        <v>2.8900000000000002E-2</v>
      </c>
      <c r="X215" s="38"/>
      <c r="Y215" s="36">
        <v>1.8</v>
      </c>
      <c r="Z215" s="36">
        <v>1.8</v>
      </c>
      <c r="AA215" s="39">
        <v>16.2</v>
      </c>
      <c r="AB215" s="37">
        <v>1000</v>
      </c>
      <c r="AC215" s="35">
        <v>1000</v>
      </c>
      <c r="AD215" s="36">
        <v>130</v>
      </c>
      <c r="AE215" s="35">
        <f t="shared" si="31"/>
        <v>130000000</v>
      </c>
      <c r="AF215" s="37">
        <v>13</v>
      </c>
      <c r="AG215" s="37">
        <v>9</v>
      </c>
      <c r="AH215" s="37">
        <v>3</v>
      </c>
      <c r="AI215" s="37" t="s">
        <v>180</v>
      </c>
      <c r="AJ215" s="40">
        <f t="shared" si="34"/>
        <v>1000</v>
      </c>
      <c r="AK215" s="40">
        <f t="shared" si="34"/>
        <v>1000</v>
      </c>
      <c r="AL215" s="40">
        <f t="shared" si="37"/>
        <v>880</v>
      </c>
      <c r="AM215" s="26">
        <f t="shared" si="35"/>
        <v>880000000</v>
      </c>
      <c r="AN215" s="37" t="s">
        <v>152</v>
      </c>
      <c r="AO215" s="37" t="s">
        <v>153</v>
      </c>
      <c r="AP215" s="35"/>
      <c r="AQ215" s="35"/>
      <c r="AR215" s="37"/>
      <c r="AS215" s="35"/>
      <c r="AT215" s="37">
        <v>324</v>
      </c>
      <c r="AU215" s="41">
        <f t="shared" si="32"/>
        <v>9.3635999999999999</v>
      </c>
      <c r="AV215" s="42">
        <f t="shared" si="33"/>
        <v>5248.8</v>
      </c>
      <c r="AW215" s="36" t="s">
        <v>158</v>
      </c>
    </row>
    <row r="216" spans="1:49" hidden="1" x14ac:dyDescent="0.2">
      <c r="A216" s="35" t="s">
        <v>140</v>
      </c>
      <c r="B216" s="35" t="s">
        <v>141</v>
      </c>
      <c r="C216" s="67" t="s">
        <v>506</v>
      </c>
      <c r="D216" s="37"/>
      <c r="E216" s="35"/>
      <c r="F216" s="37"/>
      <c r="G216" s="35" t="s">
        <v>142</v>
      </c>
      <c r="H216" s="37" t="s">
        <v>143</v>
      </c>
      <c r="I216" s="35"/>
      <c r="J216" s="37" t="s">
        <v>54</v>
      </c>
      <c r="K216" s="35" t="s">
        <v>144</v>
      </c>
      <c r="L216" s="37" t="s">
        <v>145</v>
      </c>
      <c r="M216" s="37" t="s">
        <v>71</v>
      </c>
      <c r="N216" s="35" t="s">
        <v>169</v>
      </c>
      <c r="O216" s="35" t="s">
        <v>169</v>
      </c>
      <c r="P216" s="37">
        <v>40</v>
      </c>
      <c r="Q216" s="37" t="e">
        <f>VLOOKUP(D216,#REF!,9,FALSE)</f>
        <v>#REF!</v>
      </c>
      <c r="R216" s="37" t="s">
        <v>194</v>
      </c>
      <c r="S216" s="35" t="s">
        <v>211</v>
      </c>
      <c r="T216" s="37">
        <v>500</v>
      </c>
      <c r="U216" s="37">
        <v>800</v>
      </c>
      <c r="V216" s="37">
        <v>380</v>
      </c>
      <c r="W216" s="38">
        <f t="shared" si="36"/>
        <v>152000000</v>
      </c>
      <c r="X216" s="38"/>
      <c r="Y216" s="36">
        <v>2.2999999999999998</v>
      </c>
      <c r="Z216" s="36">
        <v>30</v>
      </c>
      <c r="AA216" s="39">
        <v>122</v>
      </c>
      <c r="AB216" s="37">
        <v>1000</v>
      </c>
      <c r="AC216" s="35">
        <v>1000</v>
      </c>
      <c r="AD216" s="36">
        <v>130</v>
      </c>
      <c r="AE216" s="35">
        <f t="shared" si="31"/>
        <v>130000000</v>
      </c>
      <c r="AF216" s="37">
        <v>13</v>
      </c>
      <c r="AG216" s="37">
        <v>2</v>
      </c>
      <c r="AH216" s="37">
        <v>4</v>
      </c>
      <c r="AI216" s="37" t="s">
        <v>151</v>
      </c>
      <c r="AJ216" s="40">
        <f t="shared" ref="AJ216:AJ217" si="42">T216*AG216</f>
        <v>1000</v>
      </c>
      <c r="AK216" s="40">
        <f t="shared" ref="AK216:AK217" si="43">U216</f>
        <v>800</v>
      </c>
      <c r="AL216" s="40">
        <f t="shared" ref="AL216:AL217" si="44">(V216*AH216)</f>
        <v>1520</v>
      </c>
      <c r="AM216" s="26">
        <f t="shared" si="35"/>
        <v>1216000000</v>
      </c>
      <c r="AN216" s="37" t="s">
        <v>210</v>
      </c>
      <c r="AO216" s="37" t="s">
        <v>153</v>
      </c>
      <c r="AP216" s="35"/>
      <c r="AQ216" s="35"/>
      <c r="AR216" s="37"/>
      <c r="AS216" s="35"/>
      <c r="AT216" s="37">
        <v>4</v>
      </c>
      <c r="AU216" s="41">
        <f t="shared" si="32"/>
        <v>608000000</v>
      </c>
      <c r="AV216" s="42">
        <f t="shared" si="33"/>
        <v>488</v>
      </c>
      <c r="AW216" s="36" t="s">
        <v>198</v>
      </c>
    </row>
    <row r="217" spans="1:49" hidden="1" x14ac:dyDescent="0.2">
      <c r="A217" s="35" t="s">
        <v>140</v>
      </c>
      <c r="B217" s="35" t="s">
        <v>141</v>
      </c>
      <c r="C217" s="67" t="s">
        <v>507</v>
      </c>
      <c r="D217" s="37"/>
      <c r="E217" s="35"/>
      <c r="F217" s="37"/>
      <c r="G217" s="35" t="s">
        <v>142</v>
      </c>
      <c r="H217" s="37" t="s">
        <v>143</v>
      </c>
      <c r="I217" s="35"/>
      <c r="J217" s="37" t="s">
        <v>54</v>
      </c>
      <c r="K217" s="35" t="s">
        <v>144</v>
      </c>
      <c r="L217" s="37" t="s">
        <v>145</v>
      </c>
      <c r="M217" s="37" t="s">
        <v>71</v>
      </c>
      <c r="N217" s="35" t="s">
        <v>169</v>
      </c>
      <c r="O217" s="35" t="s">
        <v>169</v>
      </c>
      <c r="P217" s="37">
        <v>40</v>
      </c>
      <c r="Q217" s="37" t="e">
        <f>VLOOKUP(D217,#REF!,9,FALSE)</f>
        <v>#REF!</v>
      </c>
      <c r="R217" s="37" t="s">
        <v>194</v>
      </c>
      <c r="S217" s="35" t="s">
        <v>211</v>
      </c>
      <c r="T217" s="37">
        <v>500</v>
      </c>
      <c r="U217" s="37">
        <v>800</v>
      </c>
      <c r="V217" s="37">
        <v>380</v>
      </c>
      <c r="W217" s="38">
        <f t="shared" si="36"/>
        <v>152000000</v>
      </c>
      <c r="X217" s="38"/>
      <c r="Y217" s="36">
        <v>2.15</v>
      </c>
      <c r="Z217" s="36">
        <v>40</v>
      </c>
      <c r="AA217" s="39">
        <v>126</v>
      </c>
      <c r="AB217" s="37">
        <v>1000</v>
      </c>
      <c r="AC217" s="35">
        <v>1000</v>
      </c>
      <c r="AD217" s="36">
        <v>130</v>
      </c>
      <c r="AE217" s="35">
        <f t="shared" si="31"/>
        <v>130000000</v>
      </c>
      <c r="AF217" s="37">
        <v>13</v>
      </c>
      <c r="AG217" s="37">
        <v>2</v>
      </c>
      <c r="AH217" s="37">
        <v>4</v>
      </c>
      <c r="AI217" s="37" t="s">
        <v>151</v>
      </c>
      <c r="AJ217" s="40">
        <f t="shared" si="42"/>
        <v>1000</v>
      </c>
      <c r="AK217" s="40">
        <f t="shared" si="43"/>
        <v>800</v>
      </c>
      <c r="AL217" s="40">
        <f t="shared" si="44"/>
        <v>1520</v>
      </c>
      <c r="AM217" s="26">
        <f t="shared" si="35"/>
        <v>1216000000</v>
      </c>
      <c r="AN217" s="37" t="s">
        <v>210</v>
      </c>
      <c r="AO217" s="37" t="s">
        <v>153</v>
      </c>
      <c r="AP217" s="35"/>
      <c r="AQ217" s="35"/>
      <c r="AR217" s="37"/>
      <c r="AS217" s="35"/>
      <c r="AT217" s="37">
        <v>43</v>
      </c>
      <c r="AU217" s="41">
        <f t="shared" si="32"/>
        <v>6536000000</v>
      </c>
      <c r="AV217" s="42">
        <f t="shared" si="33"/>
        <v>5418</v>
      </c>
      <c r="AW217" s="36" t="s">
        <v>198</v>
      </c>
    </row>
    <row r="218" spans="1:49" hidden="1" x14ac:dyDescent="0.2">
      <c r="A218" s="35" t="s">
        <v>140</v>
      </c>
      <c r="B218" s="35" t="s">
        <v>141</v>
      </c>
      <c r="C218" s="67" t="s">
        <v>508</v>
      </c>
      <c r="D218" s="37"/>
      <c r="E218" s="35"/>
      <c r="F218" s="37"/>
      <c r="G218" s="35" t="s">
        <v>142</v>
      </c>
      <c r="H218" s="37" t="s">
        <v>177</v>
      </c>
      <c r="I218" s="35"/>
      <c r="J218" s="37" t="s">
        <v>54</v>
      </c>
      <c r="K218" s="35" t="s">
        <v>178</v>
      </c>
      <c r="L218" s="37" t="s">
        <v>145</v>
      </c>
      <c r="M218" s="37" t="s">
        <v>6</v>
      </c>
      <c r="N218" s="35" t="s">
        <v>171</v>
      </c>
      <c r="O218" s="35" t="s">
        <v>172</v>
      </c>
      <c r="P218" s="37">
        <v>10</v>
      </c>
      <c r="Q218" s="37" t="e">
        <f>VLOOKUP(D218,#REF!,9,FALSE)</f>
        <v>#REF!</v>
      </c>
      <c r="R218" s="37" t="s">
        <v>149</v>
      </c>
      <c r="S218" s="35" t="s">
        <v>183</v>
      </c>
      <c r="T218" s="37">
        <v>340</v>
      </c>
      <c r="U218" s="37">
        <v>340</v>
      </c>
      <c r="V218" s="37">
        <v>110</v>
      </c>
      <c r="W218" s="38">
        <f t="shared" si="36"/>
        <v>12716000</v>
      </c>
      <c r="X218" s="38"/>
      <c r="Y218" s="36">
        <v>1</v>
      </c>
      <c r="Z218" s="36">
        <v>1</v>
      </c>
      <c r="AA218" s="39">
        <v>11</v>
      </c>
      <c r="AB218" s="37">
        <v>1000</v>
      </c>
      <c r="AC218" s="35">
        <v>1000</v>
      </c>
      <c r="AD218" s="36">
        <v>130</v>
      </c>
      <c r="AE218" s="35">
        <f t="shared" si="31"/>
        <v>130000000</v>
      </c>
      <c r="AF218" s="37">
        <v>13</v>
      </c>
      <c r="AG218" s="37">
        <v>9</v>
      </c>
      <c r="AH218" s="37">
        <v>4</v>
      </c>
      <c r="AI218" s="37" t="s">
        <v>180</v>
      </c>
      <c r="AJ218" s="40">
        <f t="shared" si="34"/>
        <v>1000</v>
      </c>
      <c r="AK218" s="40">
        <f t="shared" si="34"/>
        <v>1000</v>
      </c>
      <c r="AL218" s="40">
        <f t="shared" si="37"/>
        <v>570</v>
      </c>
      <c r="AM218" s="26">
        <f t="shared" si="35"/>
        <v>570000000</v>
      </c>
      <c r="AN218" s="37" t="s">
        <v>152</v>
      </c>
      <c r="AO218" s="37" t="s">
        <v>153</v>
      </c>
      <c r="AP218" s="35"/>
      <c r="AQ218" s="35"/>
      <c r="AR218" s="37"/>
      <c r="AS218" s="35"/>
      <c r="AT218" s="37">
        <v>72</v>
      </c>
      <c r="AU218" s="41">
        <f t="shared" si="32"/>
        <v>915552000</v>
      </c>
      <c r="AV218" s="42">
        <f t="shared" si="33"/>
        <v>792</v>
      </c>
      <c r="AW218" s="36" t="s">
        <v>173</v>
      </c>
    </row>
    <row r="219" spans="1:49" hidden="1" x14ac:dyDescent="0.2">
      <c r="A219" s="35" t="s">
        <v>140</v>
      </c>
      <c r="B219" s="35" t="s">
        <v>141</v>
      </c>
      <c r="C219" s="67" t="s">
        <v>509</v>
      </c>
      <c r="D219" s="37"/>
      <c r="E219" s="35"/>
      <c r="F219" s="37"/>
      <c r="G219" s="35" t="s">
        <v>142</v>
      </c>
      <c r="H219" s="37" t="s">
        <v>177</v>
      </c>
      <c r="I219" s="35"/>
      <c r="J219" s="37" t="s">
        <v>54</v>
      </c>
      <c r="K219" s="35" t="s">
        <v>178</v>
      </c>
      <c r="L219" s="37" t="s">
        <v>145</v>
      </c>
      <c r="M219" s="37" t="s">
        <v>6</v>
      </c>
      <c r="N219" s="35" t="s">
        <v>171</v>
      </c>
      <c r="O219" s="35" t="s">
        <v>172</v>
      </c>
      <c r="P219" s="37">
        <v>10</v>
      </c>
      <c r="Q219" s="37" t="e">
        <f>VLOOKUP(D219,#REF!,9,FALSE)</f>
        <v>#REF!</v>
      </c>
      <c r="R219" s="37" t="s">
        <v>149</v>
      </c>
      <c r="S219" s="35" t="s">
        <v>183</v>
      </c>
      <c r="T219" s="37">
        <v>340</v>
      </c>
      <c r="U219" s="37">
        <v>340</v>
      </c>
      <c r="V219" s="37">
        <v>110</v>
      </c>
      <c r="W219" s="38">
        <f t="shared" si="36"/>
        <v>12716000</v>
      </c>
      <c r="X219" s="38"/>
      <c r="Y219" s="36">
        <v>0.7</v>
      </c>
      <c r="Z219" s="36">
        <v>0.92</v>
      </c>
      <c r="AA219" s="39">
        <v>7.92</v>
      </c>
      <c r="AB219" s="37">
        <v>1000</v>
      </c>
      <c r="AC219" s="35">
        <v>1000</v>
      </c>
      <c r="AD219" s="36">
        <v>130</v>
      </c>
      <c r="AE219" s="35">
        <f t="shared" si="31"/>
        <v>130000000</v>
      </c>
      <c r="AF219" s="37">
        <v>13</v>
      </c>
      <c r="AG219" s="37">
        <v>9</v>
      </c>
      <c r="AH219" s="37">
        <v>1</v>
      </c>
      <c r="AI219" s="37" t="s">
        <v>180</v>
      </c>
      <c r="AJ219" s="40">
        <f t="shared" si="34"/>
        <v>1000</v>
      </c>
      <c r="AK219" s="40">
        <f t="shared" si="34"/>
        <v>1000</v>
      </c>
      <c r="AL219" s="40">
        <f t="shared" si="37"/>
        <v>240</v>
      </c>
      <c r="AM219" s="26">
        <f t="shared" si="35"/>
        <v>240000000</v>
      </c>
      <c r="AN219" s="37" t="s">
        <v>152</v>
      </c>
      <c r="AO219" s="37" t="s">
        <v>153</v>
      </c>
      <c r="AP219" s="35"/>
      <c r="AQ219" s="35"/>
      <c r="AR219" s="37"/>
      <c r="AS219" s="35"/>
      <c r="AT219" s="37">
        <v>18</v>
      </c>
      <c r="AU219" s="41">
        <f t="shared" si="32"/>
        <v>228888000</v>
      </c>
      <c r="AV219" s="42">
        <f t="shared" si="33"/>
        <v>142.56</v>
      </c>
      <c r="AW219" s="36" t="s">
        <v>173</v>
      </c>
    </row>
    <row r="220" spans="1:49" x14ac:dyDescent="0.2">
      <c r="A220" s="35" t="s">
        <v>140</v>
      </c>
      <c r="B220" s="35" t="s">
        <v>141</v>
      </c>
      <c r="C220" s="37" t="s">
        <v>349</v>
      </c>
      <c r="D220" s="37"/>
      <c r="E220" s="35"/>
      <c r="F220" s="37"/>
      <c r="G220" s="35" t="s">
        <v>142</v>
      </c>
      <c r="H220" s="37" t="s">
        <v>177</v>
      </c>
      <c r="I220" s="35"/>
      <c r="J220" s="37" t="s">
        <v>54</v>
      </c>
      <c r="K220" s="35" t="s">
        <v>178</v>
      </c>
      <c r="L220" s="37" t="s">
        <v>145</v>
      </c>
      <c r="M220" s="37" t="s">
        <v>18</v>
      </c>
      <c r="N220" s="35" t="s">
        <v>156</v>
      </c>
      <c r="O220" s="35" t="s">
        <v>156</v>
      </c>
      <c r="P220" s="37">
        <v>8</v>
      </c>
      <c r="Q220" s="37" t="e">
        <f>VLOOKUP(D220,#REF!,9,FALSE)</f>
        <v>#REF!</v>
      </c>
      <c r="R220" s="37" t="s">
        <v>149</v>
      </c>
      <c r="S220" s="35" t="s">
        <v>183</v>
      </c>
      <c r="T220" s="37">
        <v>340</v>
      </c>
      <c r="U220" s="37">
        <v>340</v>
      </c>
      <c r="V220" s="37">
        <v>100</v>
      </c>
      <c r="W220" s="38">
        <f t="shared" ref="W220:W223" si="45">T220/1000*U220/1000*V220/1000</f>
        <v>1.1560000000000001E-2</v>
      </c>
      <c r="X220" s="38"/>
      <c r="Y220" s="36">
        <v>1.01</v>
      </c>
      <c r="Z220" s="36">
        <v>1.08</v>
      </c>
      <c r="AA220" s="39">
        <v>9.16</v>
      </c>
      <c r="AB220" s="37">
        <v>1000</v>
      </c>
      <c r="AC220" s="35">
        <v>1000</v>
      </c>
      <c r="AD220" s="36">
        <v>130</v>
      </c>
      <c r="AE220" s="35">
        <f t="shared" ref="AE220:AE232" si="46">AB220*AC220*AD220</f>
        <v>130000000</v>
      </c>
      <c r="AF220" s="37">
        <v>13</v>
      </c>
      <c r="AG220" s="37">
        <v>9</v>
      </c>
      <c r="AH220" s="37">
        <v>7</v>
      </c>
      <c r="AI220" s="37" t="s">
        <v>151</v>
      </c>
      <c r="AJ220" s="40">
        <f t="shared" si="34"/>
        <v>1000</v>
      </c>
      <c r="AK220" s="40">
        <f t="shared" si="34"/>
        <v>1000</v>
      </c>
      <c r="AL220" s="40">
        <f t="shared" si="37"/>
        <v>830</v>
      </c>
      <c r="AM220" s="26">
        <f t="shared" si="35"/>
        <v>830000000</v>
      </c>
      <c r="AN220" s="37" t="s">
        <v>152</v>
      </c>
      <c r="AO220" s="37" t="s">
        <v>153</v>
      </c>
      <c r="AP220" s="35"/>
      <c r="AQ220" s="35"/>
      <c r="AR220" s="37"/>
      <c r="AS220" s="35"/>
      <c r="AT220" s="37">
        <v>399</v>
      </c>
      <c r="AU220" s="41">
        <f t="shared" si="32"/>
        <v>4.6124400000000003</v>
      </c>
      <c r="AV220" s="42">
        <f t="shared" si="33"/>
        <v>3654.84</v>
      </c>
      <c r="AW220" s="36" t="s">
        <v>158</v>
      </c>
    </row>
    <row r="221" spans="1:49" x14ac:dyDescent="0.2">
      <c r="A221" s="35" t="s">
        <v>140</v>
      </c>
      <c r="B221" s="35" t="s">
        <v>141</v>
      </c>
      <c r="C221" s="37" t="s">
        <v>350</v>
      </c>
      <c r="D221" s="37"/>
      <c r="E221" s="35"/>
      <c r="F221" s="37"/>
      <c r="G221" s="35" t="s">
        <v>142</v>
      </c>
      <c r="H221" s="37" t="s">
        <v>177</v>
      </c>
      <c r="I221" s="35"/>
      <c r="J221" s="37" t="s">
        <v>54</v>
      </c>
      <c r="K221" s="35" t="s">
        <v>178</v>
      </c>
      <c r="L221" s="37" t="s">
        <v>145</v>
      </c>
      <c r="M221" s="37" t="s">
        <v>18</v>
      </c>
      <c r="N221" s="35" t="s">
        <v>156</v>
      </c>
      <c r="O221" s="35" t="s">
        <v>156</v>
      </c>
      <c r="P221" s="37">
        <v>30</v>
      </c>
      <c r="Q221" s="37" t="e">
        <f>VLOOKUP(D221,#REF!,9,FALSE)</f>
        <v>#REF!</v>
      </c>
      <c r="R221" s="37" t="s">
        <v>194</v>
      </c>
      <c r="S221" s="35" t="s">
        <v>226</v>
      </c>
      <c r="T221" s="37">
        <v>500</v>
      </c>
      <c r="U221" s="37">
        <v>800</v>
      </c>
      <c r="V221" s="37">
        <v>380</v>
      </c>
      <c r="W221" s="38">
        <f t="shared" si="45"/>
        <v>0.152</v>
      </c>
      <c r="X221" s="38"/>
      <c r="Y221" s="36">
        <v>2.6</v>
      </c>
      <c r="Z221" s="36">
        <v>36.700000000000003</v>
      </c>
      <c r="AA221" s="39">
        <v>114.7</v>
      </c>
      <c r="AB221" s="37">
        <v>1000</v>
      </c>
      <c r="AC221" s="35">
        <v>1000</v>
      </c>
      <c r="AD221" s="36">
        <v>130</v>
      </c>
      <c r="AE221" s="35">
        <f t="shared" si="46"/>
        <v>130000000</v>
      </c>
      <c r="AF221" s="37">
        <v>13</v>
      </c>
      <c r="AG221" s="37">
        <v>2</v>
      </c>
      <c r="AH221" s="37">
        <v>4</v>
      </c>
      <c r="AI221" s="37" t="s">
        <v>151</v>
      </c>
      <c r="AJ221" s="40">
        <f t="shared" ref="AJ221:AJ224" si="47">T221*AG221</f>
        <v>1000</v>
      </c>
      <c r="AK221" s="40">
        <f t="shared" ref="AK221:AK224" si="48">U221</f>
        <v>800</v>
      </c>
      <c r="AL221" s="40">
        <f t="shared" ref="AL221:AL224" si="49">(V221*AH221)</f>
        <v>1520</v>
      </c>
      <c r="AM221" s="26">
        <f t="shared" si="35"/>
        <v>1216000000</v>
      </c>
      <c r="AN221" s="37" t="s">
        <v>210</v>
      </c>
      <c r="AO221" s="37" t="s">
        <v>153</v>
      </c>
      <c r="AP221" s="35"/>
      <c r="AQ221" s="35"/>
      <c r="AR221" s="37"/>
      <c r="AS221" s="35"/>
      <c r="AT221" s="37">
        <v>20</v>
      </c>
      <c r="AU221" s="41">
        <f t="shared" si="32"/>
        <v>3.04</v>
      </c>
      <c r="AV221" s="42">
        <f t="shared" si="33"/>
        <v>2294</v>
      </c>
      <c r="AW221" s="36" t="s">
        <v>158</v>
      </c>
    </row>
    <row r="222" spans="1:49" x14ac:dyDescent="0.2">
      <c r="A222" s="35" t="s">
        <v>140</v>
      </c>
      <c r="B222" s="35" t="s">
        <v>141</v>
      </c>
      <c r="C222" s="37" t="s">
        <v>351</v>
      </c>
      <c r="D222" s="37"/>
      <c r="E222" s="35"/>
      <c r="F222" s="37"/>
      <c r="G222" s="35" t="s">
        <v>142</v>
      </c>
      <c r="H222" s="37" t="s">
        <v>177</v>
      </c>
      <c r="I222" s="35"/>
      <c r="J222" s="37" t="s">
        <v>54</v>
      </c>
      <c r="K222" s="35" t="s">
        <v>178</v>
      </c>
      <c r="L222" s="37" t="s">
        <v>145</v>
      </c>
      <c r="M222" s="37" t="s">
        <v>18</v>
      </c>
      <c r="N222" s="35" t="s">
        <v>156</v>
      </c>
      <c r="O222" s="35" t="s">
        <v>156</v>
      </c>
      <c r="P222" s="37">
        <v>30</v>
      </c>
      <c r="Q222" s="37" t="e">
        <f>VLOOKUP(D222,#REF!,9,FALSE)</f>
        <v>#REF!</v>
      </c>
      <c r="R222" s="37" t="s">
        <v>194</v>
      </c>
      <c r="S222" s="35" t="s">
        <v>211</v>
      </c>
      <c r="T222" s="37">
        <v>500</v>
      </c>
      <c r="U222" s="37">
        <v>800</v>
      </c>
      <c r="V222" s="37">
        <v>380</v>
      </c>
      <c r="W222" s="38">
        <f t="shared" si="45"/>
        <v>0.152</v>
      </c>
      <c r="X222" s="38"/>
      <c r="Y222" s="36">
        <v>2.4300000000000002</v>
      </c>
      <c r="Z222" s="36">
        <v>36.700000000000003</v>
      </c>
      <c r="AA222" s="39">
        <v>109.6</v>
      </c>
      <c r="AB222" s="37">
        <v>1000</v>
      </c>
      <c r="AC222" s="35">
        <v>1000</v>
      </c>
      <c r="AD222" s="36">
        <v>130</v>
      </c>
      <c r="AE222" s="35">
        <f t="shared" si="46"/>
        <v>130000000</v>
      </c>
      <c r="AF222" s="37">
        <v>13</v>
      </c>
      <c r="AG222" s="37">
        <v>2</v>
      </c>
      <c r="AH222" s="37">
        <v>4</v>
      </c>
      <c r="AI222" s="37" t="s">
        <v>151</v>
      </c>
      <c r="AJ222" s="40">
        <f t="shared" si="47"/>
        <v>1000</v>
      </c>
      <c r="AK222" s="40">
        <f t="shared" si="48"/>
        <v>800</v>
      </c>
      <c r="AL222" s="40">
        <f t="shared" si="49"/>
        <v>1520</v>
      </c>
      <c r="AM222" s="26">
        <f t="shared" si="35"/>
        <v>1216000000</v>
      </c>
      <c r="AN222" s="37" t="s">
        <v>210</v>
      </c>
      <c r="AO222" s="37" t="s">
        <v>153</v>
      </c>
      <c r="AP222" s="35"/>
      <c r="AQ222" s="35"/>
      <c r="AR222" s="37"/>
      <c r="AS222" s="35"/>
      <c r="AT222" s="37">
        <v>48</v>
      </c>
      <c r="AU222" s="41">
        <f t="shared" si="32"/>
        <v>7.2959999999999994</v>
      </c>
      <c r="AV222" s="42">
        <f t="shared" si="33"/>
        <v>5260.7999999999993</v>
      </c>
      <c r="AW222" s="36" t="s">
        <v>158</v>
      </c>
    </row>
    <row r="223" spans="1:49" x14ac:dyDescent="0.2">
      <c r="A223" s="35" t="s">
        <v>140</v>
      </c>
      <c r="B223" s="35" t="s">
        <v>141</v>
      </c>
      <c r="C223" s="37" t="s">
        <v>352</v>
      </c>
      <c r="D223" s="37"/>
      <c r="E223" s="35"/>
      <c r="F223" s="37"/>
      <c r="G223" s="35" t="s">
        <v>142</v>
      </c>
      <c r="H223" s="37" t="s">
        <v>177</v>
      </c>
      <c r="I223" s="35"/>
      <c r="J223" s="37" t="s">
        <v>54</v>
      </c>
      <c r="K223" s="35" t="s">
        <v>178</v>
      </c>
      <c r="L223" s="37" t="s">
        <v>145</v>
      </c>
      <c r="M223" s="37" t="s">
        <v>18</v>
      </c>
      <c r="N223" s="35" t="s">
        <v>156</v>
      </c>
      <c r="O223" s="35" t="s">
        <v>156</v>
      </c>
      <c r="P223" s="37">
        <v>30</v>
      </c>
      <c r="Q223" s="37" t="e">
        <f>VLOOKUP(D223,#REF!,9,FALSE)</f>
        <v>#REF!</v>
      </c>
      <c r="R223" s="37" t="s">
        <v>194</v>
      </c>
      <c r="S223" s="35" t="s">
        <v>211</v>
      </c>
      <c r="T223" s="37">
        <v>500</v>
      </c>
      <c r="U223" s="37">
        <v>800</v>
      </c>
      <c r="V223" s="37">
        <v>380</v>
      </c>
      <c r="W223" s="38">
        <f t="shared" si="45"/>
        <v>0.152</v>
      </c>
      <c r="X223" s="38"/>
      <c r="Y223" s="36">
        <v>2.82</v>
      </c>
      <c r="Z223" s="36">
        <v>36.700000000000003</v>
      </c>
      <c r="AA223" s="39">
        <v>121.3</v>
      </c>
      <c r="AB223" s="37">
        <v>1000</v>
      </c>
      <c r="AC223" s="35">
        <v>1000</v>
      </c>
      <c r="AD223" s="36">
        <v>130</v>
      </c>
      <c r="AE223" s="35">
        <f t="shared" si="46"/>
        <v>130000000</v>
      </c>
      <c r="AF223" s="37">
        <v>13</v>
      </c>
      <c r="AG223" s="37">
        <v>2</v>
      </c>
      <c r="AH223" s="37">
        <v>4</v>
      </c>
      <c r="AI223" s="37" t="s">
        <v>151</v>
      </c>
      <c r="AJ223" s="40">
        <f t="shared" si="47"/>
        <v>1000</v>
      </c>
      <c r="AK223" s="40">
        <f t="shared" si="48"/>
        <v>800</v>
      </c>
      <c r="AL223" s="40">
        <f t="shared" si="49"/>
        <v>1520</v>
      </c>
      <c r="AM223" s="26">
        <f t="shared" si="35"/>
        <v>1216000000</v>
      </c>
      <c r="AN223" s="37" t="s">
        <v>210</v>
      </c>
      <c r="AO223" s="37" t="s">
        <v>153</v>
      </c>
      <c r="AP223" s="35"/>
      <c r="AQ223" s="35"/>
      <c r="AR223" s="37"/>
      <c r="AS223" s="35"/>
      <c r="AT223" s="37">
        <v>11</v>
      </c>
      <c r="AU223" s="41">
        <f t="shared" si="32"/>
        <v>1.6719999999999999</v>
      </c>
      <c r="AV223" s="42">
        <f t="shared" si="33"/>
        <v>1334.3</v>
      </c>
      <c r="AW223" s="36" t="s">
        <v>158</v>
      </c>
    </row>
    <row r="224" spans="1:49" hidden="1" x14ac:dyDescent="0.2">
      <c r="A224" s="35" t="s">
        <v>140</v>
      </c>
      <c r="B224" s="35" t="s">
        <v>141</v>
      </c>
      <c r="C224" s="67" t="s">
        <v>510</v>
      </c>
      <c r="D224" s="37"/>
      <c r="E224" s="35"/>
      <c r="F224" s="37"/>
      <c r="G224" s="35" t="s">
        <v>142</v>
      </c>
      <c r="H224" s="37" t="s">
        <v>143</v>
      </c>
      <c r="I224" s="35"/>
      <c r="J224" s="37" t="s">
        <v>54</v>
      </c>
      <c r="K224" s="35" t="s">
        <v>144</v>
      </c>
      <c r="L224" s="37" t="s">
        <v>145</v>
      </c>
      <c r="M224" s="37" t="s">
        <v>71</v>
      </c>
      <c r="N224" s="35" t="s">
        <v>169</v>
      </c>
      <c r="O224" s="35" t="s">
        <v>169</v>
      </c>
      <c r="P224" s="37">
        <v>21</v>
      </c>
      <c r="Q224" s="37" t="e">
        <f>VLOOKUP(D224,#REF!,9,FALSE)</f>
        <v>#REF!</v>
      </c>
      <c r="R224" s="37" t="s">
        <v>194</v>
      </c>
      <c r="S224" s="35" t="s">
        <v>211</v>
      </c>
      <c r="T224" s="37">
        <v>500</v>
      </c>
      <c r="U224" s="37">
        <v>800</v>
      </c>
      <c r="V224" s="37">
        <v>380</v>
      </c>
      <c r="W224" s="38">
        <f t="shared" si="36"/>
        <v>152000000</v>
      </c>
      <c r="X224" s="38"/>
      <c r="Y224" s="36">
        <v>4.7</v>
      </c>
      <c r="Z224" s="36">
        <v>40</v>
      </c>
      <c r="AA224" s="39">
        <v>138.69999999999999</v>
      </c>
      <c r="AB224" s="37">
        <v>1000</v>
      </c>
      <c r="AC224" s="35">
        <v>1000</v>
      </c>
      <c r="AD224" s="36">
        <v>130</v>
      </c>
      <c r="AE224" s="35">
        <f t="shared" si="46"/>
        <v>130000000</v>
      </c>
      <c r="AF224" s="37">
        <v>13</v>
      </c>
      <c r="AG224" s="37">
        <v>2</v>
      </c>
      <c r="AH224" s="37">
        <v>4</v>
      </c>
      <c r="AI224" s="37" t="s">
        <v>151</v>
      </c>
      <c r="AJ224" s="40">
        <f t="shared" si="47"/>
        <v>1000</v>
      </c>
      <c r="AK224" s="40">
        <f t="shared" si="48"/>
        <v>800</v>
      </c>
      <c r="AL224" s="40">
        <f t="shared" si="49"/>
        <v>1520</v>
      </c>
      <c r="AM224" s="26">
        <f t="shared" si="35"/>
        <v>1216000000</v>
      </c>
      <c r="AN224" s="37" t="s">
        <v>210</v>
      </c>
      <c r="AO224" s="37" t="s">
        <v>153</v>
      </c>
      <c r="AP224" s="35"/>
      <c r="AQ224" s="35"/>
      <c r="AR224" s="37"/>
      <c r="AS224" s="35"/>
      <c r="AT224" s="37">
        <v>3</v>
      </c>
      <c r="AU224" s="41">
        <f t="shared" si="32"/>
        <v>456000000</v>
      </c>
      <c r="AV224" s="42">
        <f t="shared" si="33"/>
        <v>416.09999999999997</v>
      </c>
      <c r="AW224" s="36" t="s">
        <v>198</v>
      </c>
    </row>
    <row r="225" spans="1:49" hidden="1" x14ac:dyDescent="0.2">
      <c r="A225" s="35" t="s">
        <v>140</v>
      </c>
      <c r="B225" s="35" t="s">
        <v>141</v>
      </c>
      <c r="C225" s="67" t="s">
        <v>511</v>
      </c>
      <c r="D225" s="37"/>
      <c r="E225" s="35"/>
      <c r="F225" s="37"/>
      <c r="G225" s="35" t="s">
        <v>142</v>
      </c>
      <c r="H225" s="37" t="s">
        <v>143</v>
      </c>
      <c r="I225" s="35"/>
      <c r="J225" s="37" t="s">
        <v>54</v>
      </c>
      <c r="K225" s="35" t="s">
        <v>144</v>
      </c>
      <c r="L225" s="37" t="s">
        <v>145</v>
      </c>
      <c r="M225" s="37" t="s">
        <v>82</v>
      </c>
      <c r="N225" s="35" t="s">
        <v>166</v>
      </c>
      <c r="O225" s="35" t="s">
        <v>166</v>
      </c>
      <c r="P225" s="37">
        <v>3</v>
      </c>
      <c r="Q225" s="37" t="e">
        <f>VLOOKUP(D225,#REF!,9,FALSE)</f>
        <v>#REF!</v>
      </c>
      <c r="R225" s="37" t="s">
        <v>149</v>
      </c>
      <c r="S225" s="35" t="s">
        <v>179</v>
      </c>
      <c r="T225" s="37">
        <v>335</v>
      </c>
      <c r="U225" s="37">
        <v>335</v>
      </c>
      <c r="V225" s="37">
        <v>149</v>
      </c>
      <c r="W225" s="38">
        <f t="shared" si="36"/>
        <v>16721525</v>
      </c>
      <c r="X225" s="38"/>
      <c r="Y225" s="36">
        <v>2.6970000000000001</v>
      </c>
      <c r="Z225" s="36">
        <v>1</v>
      </c>
      <c r="AA225" s="39">
        <v>9.0910000000000011</v>
      </c>
      <c r="AB225" s="37">
        <v>1000</v>
      </c>
      <c r="AC225" s="35">
        <v>1000</v>
      </c>
      <c r="AD225" s="36">
        <v>130</v>
      </c>
      <c r="AE225" s="35">
        <f t="shared" si="46"/>
        <v>130000000</v>
      </c>
      <c r="AF225" s="37">
        <v>13</v>
      </c>
      <c r="AG225" s="37">
        <v>9</v>
      </c>
      <c r="AH225" s="37">
        <v>6</v>
      </c>
      <c r="AI225" s="37" t="s">
        <v>151</v>
      </c>
      <c r="AJ225" s="40">
        <f t="shared" si="34"/>
        <v>1000</v>
      </c>
      <c r="AK225" s="40">
        <f t="shared" si="34"/>
        <v>1000</v>
      </c>
      <c r="AL225" s="40">
        <f t="shared" si="37"/>
        <v>1024</v>
      </c>
      <c r="AM225" s="26">
        <f t="shared" si="35"/>
        <v>1024000000</v>
      </c>
      <c r="AN225" s="37" t="s">
        <v>152</v>
      </c>
      <c r="AO225" s="37" t="s">
        <v>153</v>
      </c>
      <c r="AP225" s="35"/>
      <c r="AQ225" s="35"/>
      <c r="AR225" s="37"/>
      <c r="AS225" s="35"/>
      <c r="AT225" s="37">
        <v>218</v>
      </c>
      <c r="AU225" s="41">
        <f t="shared" si="32"/>
        <v>3645292450</v>
      </c>
      <c r="AV225" s="42">
        <f t="shared" si="33"/>
        <v>1981.8380000000002</v>
      </c>
      <c r="AW225" s="36" t="s">
        <v>198</v>
      </c>
    </row>
    <row r="226" spans="1:49" hidden="1" x14ac:dyDescent="0.2">
      <c r="A226" s="35" t="s">
        <v>140</v>
      </c>
      <c r="B226" s="35" t="s">
        <v>141</v>
      </c>
      <c r="C226" s="67" t="s">
        <v>512</v>
      </c>
      <c r="D226" s="37"/>
      <c r="E226" s="35"/>
      <c r="F226" s="37"/>
      <c r="G226" s="35" t="s">
        <v>142</v>
      </c>
      <c r="H226" s="37" t="s">
        <v>143</v>
      </c>
      <c r="I226" s="35"/>
      <c r="J226" s="37" t="s">
        <v>54</v>
      </c>
      <c r="K226" s="35" t="s">
        <v>144</v>
      </c>
      <c r="L226" s="37" t="s">
        <v>145</v>
      </c>
      <c r="M226" s="37" t="s">
        <v>82</v>
      </c>
      <c r="N226" s="35" t="s">
        <v>166</v>
      </c>
      <c r="O226" s="35" t="s">
        <v>166</v>
      </c>
      <c r="P226" s="37">
        <v>3</v>
      </c>
      <c r="Q226" s="37" t="e">
        <f>VLOOKUP(D226,#REF!,9,FALSE)</f>
        <v>#REF!</v>
      </c>
      <c r="R226" s="37" t="s">
        <v>149</v>
      </c>
      <c r="S226" s="35" t="s">
        <v>179</v>
      </c>
      <c r="T226" s="37">
        <v>335</v>
      </c>
      <c r="U226" s="37">
        <v>335</v>
      </c>
      <c r="V226" s="37">
        <v>149</v>
      </c>
      <c r="W226" s="38">
        <f t="shared" si="36"/>
        <v>16721525</v>
      </c>
      <c r="X226" s="38"/>
      <c r="Y226" s="36">
        <v>2.806</v>
      </c>
      <c r="Z226" s="36">
        <v>1</v>
      </c>
      <c r="AA226" s="39">
        <v>9.4179999999999993</v>
      </c>
      <c r="AB226" s="37">
        <v>1000</v>
      </c>
      <c r="AC226" s="35">
        <v>1000</v>
      </c>
      <c r="AD226" s="36">
        <v>130</v>
      </c>
      <c r="AE226" s="35">
        <f t="shared" si="46"/>
        <v>130000000</v>
      </c>
      <c r="AF226" s="37">
        <v>13</v>
      </c>
      <c r="AG226" s="37">
        <v>9</v>
      </c>
      <c r="AH226" s="37">
        <v>6</v>
      </c>
      <c r="AI226" s="37" t="s">
        <v>151</v>
      </c>
      <c r="AJ226" s="40">
        <f t="shared" si="34"/>
        <v>1000</v>
      </c>
      <c r="AK226" s="40">
        <f t="shared" si="34"/>
        <v>1000</v>
      </c>
      <c r="AL226" s="40">
        <f t="shared" si="37"/>
        <v>1024</v>
      </c>
      <c r="AM226" s="26">
        <f t="shared" si="35"/>
        <v>1024000000</v>
      </c>
      <c r="AN226" s="37" t="s">
        <v>152</v>
      </c>
      <c r="AO226" s="37" t="s">
        <v>153</v>
      </c>
      <c r="AP226" s="35"/>
      <c r="AQ226" s="35"/>
      <c r="AR226" s="37"/>
      <c r="AS226" s="35"/>
      <c r="AT226" s="37">
        <v>170</v>
      </c>
      <c r="AU226" s="41">
        <f t="shared" si="32"/>
        <v>2842659250</v>
      </c>
      <c r="AV226" s="42">
        <f t="shared" si="33"/>
        <v>1601.06</v>
      </c>
      <c r="AW226" s="36" t="s">
        <v>198</v>
      </c>
    </row>
    <row r="227" spans="1:49" hidden="1" x14ac:dyDescent="0.2">
      <c r="A227" s="35" t="s">
        <v>140</v>
      </c>
      <c r="B227" s="35" t="s">
        <v>141</v>
      </c>
      <c r="C227" s="67" t="s">
        <v>513</v>
      </c>
      <c r="D227" s="37"/>
      <c r="E227" s="35"/>
      <c r="F227" s="37"/>
      <c r="G227" s="35" t="s">
        <v>142</v>
      </c>
      <c r="H227" s="37" t="s">
        <v>143</v>
      </c>
      <c r="I227" s="35"/>
      <c r="J227" s="37" t="s">
        <v>54</v>
      </c>
      <c r="K227" s="35" t="s">
        <v>144</v>
      </c>
      <c r="L227" s="37" t="s">
        <v>145</v>
      </c>
      <c r="M227" s="37" t="s">
        <v>82</v>
      </c>
      <c r="N227" s="35" t="s">
        <v>166</v>
      </c>
      <c r="O227" s="35" t="s">
        <v>166</v>
      </c>
      <c r="P227" s="37">
        <v>3</v>
      </c>
      <c r="Q227" s="37" t="e">
        <f>VLOOKUP(D227,#REF!,9,FALSE)</f>
        <v>#REF!</v>
      </c>
      <c r="R227" s="37" t="s">
        <v>149</v>
      </c>
      <c r="S227" s="35" t="s">
        <v>179</v>
      </c>
      <c r="T227" s="37">
        <v>335</v>
      </c>
      <c r="U227" s="37">
        <v>335</v>
      </c>
      <c r="V227" s="37">
        <v>149</v>
      </c>
      <c r="W227" s="38">
        <f t="shared" si="36"/>
        <v>16721525</v>
      </c>
      <c r="X227" s="38"/>
      <c r="Y227" s="36">
        <v>2.3730000000000002</v>
      </c>
      <c r="Z227" s="36">
        <v>1</v>
      </c>
      <c r="AA227" s="39">
        <v>8.1189999999999998</v>
      </c>
      <c r="AB227" s="37">
        <v>1000</v>
      </c>
      <c r="AC227" s="35">
        <v>1000</v>
      </c>
      <c r="AD227" s="36">
        <v>130</v>
      </c>
      <c r="AE227" s="35">
        <f t="shared" si="46"/>
        <v>130000000</v>
      </c>
      <c r="AF227" s="37">
        <v>13</v>
      </c>
      <c r="AG227" s="37">
        <v>9</v>
      </c>
      <c r="AH227" s="37">
        <v>6</v>
      </c>
      <c r="AI227" s="37" t="s">
        <v>151</v>
      </c>
      <c r="AJ227" s="40">
        <f t="shared" si="34"/>
        <v>1000</v>
      </c>
      <c r="AK227" s="40">
        <f t="shared" si="34"/>
        <v>1000</v>
      </c>
      <c r="AL227" s="40">
        <f t="shared" si="37"/>
        <v>1024</v>
      </c>
      <c r="AM227" s="26">
        <f t="shared" si="35"/>
        <v>1024000000</v>
      </c>
      <c r="AN227" s="37" t="s">
        <v>152</v>
      </c>
      <c r="AO227" s="37" t="s">
        <v>153</v>
      </c>
      <c r="AP227" s="35"/>
      <c r="AQ227" s="35"/>
      <c r="AR227" s="37"/>
      <c r="AS227" s="35"/>
      <c r="AT227" s="37">
        <v>512</v>
      </c>
      <c r="AU227" s="41">
        <f t="shared" si="32"/>
        <v>8561420800</v>
      </c>
      <c r="AV227" s="42">
        <f t="shared" si="33"/>
        <v>4156.9279999999999</v>
      </c>
      <c r="AW227" s="36" t="s">
        <v>198</v>
      </c>
    </row>
    <row r="228" spans="1:49" hidden="1" x14ac:dyDescent="0.2">
      <c r="A228" s="35" t="s">
        <v>140</v>
      </c>
      <c r="B228" s="35" t="s">
        <v>141</v>
      </c>
      <c r="C228" s="37" t="s">
        <v>444</v>
      </c>
      <c r="D228" s="37"/>
      <c r="E228" s="35"/>
      <c r="F228" s="37"/>
      <c r="G228" s="35" t="s">
        <v>142</v>
      </c>
      <c r="H228" s="37" t="s">
        <v>143</v>
      </c>
      <c r="I228" s="35"/>
      <c r="J228" s="37" t="s">
        <v>54</v>
      </c>
      <c r="K228" s="35" t="s">
        <v>144</v>
      </c>
      <c r="L228" s="37" t="s">
        <v>145</v>
      </c>
      <c r="M228" s="37" t="s">
        <v>199</v>
      </c>
      <c r="N228" s="35" t="s">
        <v>200</v>
      </c>
      <c r="O228" s="35" t="s">
        <v>175</v>
      </c>
      <c r="P228" s="37">
        <v>4</v>
      </c>
      <c r="Q228" s="37" t="e">
        <f>VLOOKUP(D228,#REF!,9,FALSE)</f>
        <v>#REF!</v>
      </c>
      <c r="R228" s="37" t="s">
        <v>149</v>
      </c>
      <c r="S228" s="35" t="s">
        <v>179</v>
      </c>
      <c r="T228" s="37">
        <v>340</v>
      </c>
      <c r="U228" s="37">
        <v>340</v>
      </c>
      <c r="V228" s="37">
        <v>160</v>
      </c>
      <c r="W228" s="38">
        <f t="shared" si="36"/>
        <v>18496000</v>
      </c>
      <c r="X228" s="38"/>
      <c r="Y228" s="36">
        <v>1.22</v>
      </c>
      <c r="Z228" s="36">
        <v>1.32</v>
      </c>
      <c r="AA228" s="39">
        <v>6.2</v>
      </c>
      <c r="AB228" s="37">
        <v>1000</v>
      </c>
      <c r="AC228" s="35">
        <v>1000</v>
      </c>
      <c r="AD228" s="36">
        <v>130</v>
      </c>
      <c r="AE228" s="35">
        <f t="shared" si="46"/>
        <v>130000000</v>
      </c>
      <c r="AF228" s="37">
        <v>13</v>
      </c>
      <c r="AG228" s="37">
        <v>9</v>
      </c>
      <c r="AH228" s="37">
        <v>6</v>
      </c>
      <c r="AI228" s="37" t="s">
        <v>180</v>
      </c>
      <c r="AJ228" s="40">
        <f t="shared" si="34"/>
        <v>1000</v>
      </c>
      <c r="AK228" s="40">
        <f t="shared" si="34"/>
        <v>1000</v>
      </c>
      <c r="AL228" s="40">
        <f t="shared" si="37"/>
        <v>1090</v>
      </c>
      <c r="AM228" s="26">
        <f t="shared" si="35"/>
        <v>1090000000</v>
      </c>
      <c r="AN228" s="37" t="s">
        <v>152</v>
      </c>
      <c r="AO228" s="37" t="s">
        <v>153</v>
      </c>
      <c r="AP228" s="35"/>
      <c r="AQ228" s="35"/>
      <c r="AR228" s="37"/>
      <c r="AS228" s="35"/>
      <c r="AT228" s="37">
        <v>378</v>
      </c>
      <c r="AU228" s="41">
        <f t="shared" si="32"/>
        <v>6991488000</v>
      </c>
      <c r="AV228" s="42">
        <f t="shared" si="33"/>
        <v>2343.6</v>
      </c>
      <c r="AW228" s="36" t="s">
        <v>176</v>
      </c>
    </row>
    <row r="229" spans="1:49" hidden="1" x14ac:dyDescent="0.2">
      <c r="A229" s="35" t="s">
        <v>212</v>
      </c>
      <c r="B229" s="35" t="s">
        <v>141</v>
      </c>
      <c r="C229" s="67" t="s">
        <v>514</v>
      </c>
      <c r="D229" s="37"/>
      <c r="E229" s="35"/>
      <c r="F229" s="37"/>
      <c r="G229" s="35" t="s">
        <v>213</v>
      </c>
      <c r="H229" s="37" t="s">
        <v>214</v>
      </c>
      <c r="I229" s="35"/>
      <c r="J229" s="37" t="s">
        <v>215</v>
      </c>
      <c r="K229" s="35" t="s">
        <v>144</v>
      </c>
      <c r="L229" s="37"/>
      <c r="M229" s="37" t="s">
        <v>216</v>
      </c>
      <c r="N229" s="35" t="s">
        <v>217</v>
      </c>
      <c r="O229" s="35" t="s">
        <v>217</v>
      </c>
      <c r="P229" s="37" t="s">
        <v>218</v>
      </c>
      <c r="Q229" s="37" t="e">
        <f>VLOOKUP(D229,#REF!,9,FALSE)</f>
        <v>#REF!</v>
      </c>
      <c r="R229" s="37" t="s">
        <v>149</v>
      </c>
      <c r="S229" s="35" t="s">
        <v>183</v>
      </c>
      <c r="T229" s="37">
        <v>340</v>
      </c>
      <c r="U229" s="37">
        <v>340</v>
      </c>
      <c r="V229" s="37">
        <v>110</v>
      </c>
      <c r="W229" s="38">
        <f t="shared" si="36"/>
        <v>12716000</v>
      </c>
      <c r="X229" s="38"/>
      <c r="Y229" s="36">
        <v>0.28000000000000003</v>
      </c>
      <c r="Z229" s="35">
        <v>1.24</v>
      </c>
      <c r="AA229" s="37">
        <v>5.44</v>
      </c>
      <c r="AB229" s="37">
        <v>1000</v>
      </c>
      <c r="AC229" s="35">
        <v>1000</v>
      </c>
      <c r="AD229" s="36">
        <v>130</v>
      </c>
      <c r="AE229" s="35">
        <f t="shared" si="46"/>
        <v>130000000</v>
      </c>
      <c r="AF229" s="37">
        <v>13</v>
      </c>
      <c r="AG229" s="37">
        <v>9</v>
      </c>
      <c r="AH229" s="37">
        <v>5</v>
      </c>
      <c r="AI229" s="37" t="s">
        <v>151</v>
      </c>
      <c r="AJ229" s="40">
        <f t="shared" si="34"/>
        <v>1000</v>
      </c>
      <c r="AK229" s="40">
        <f t="shared" si="34"/>
        <v>1000</v>
      </c>
      <c r="AL229" s="40">
        <f t="shared" si="37"/>
        <v>680</v>
      </c>
      <c r="AM229" s="26">
        <f t="shared" si="35"/>
        <v>680000000</v>
      </c>
      <c r="AN229" s="37" t="s">
        <v>152</v>
      </c>
      <c r="AO229" s="37" t="s">
        <v>153</v>
      </c>
      <c r="AP229" s="35"/>
      <c r="AQ229" s="35" t="s">
        <v>219</v>
      </c>
      <c r="AR229" s="37" t="s">
        <v>84</v>
      </c>
      <c r="AS229" s="35" t="s">
        <v>84</v>
      </c>
      <c r="AT229" s="37">
        <v>2</v>
      </c>
      <c r="AU229" s="41">
        <f t="shared" si="32"/>
        <v>25432000</v>
      </c>
      <c r="AV229" s="42">
        <f t="shared" si="33"/>
        <v>10.88</v>
      </c>
      <c r="AW229" s="36" t="s">
        <v>176</v>
      </c>
    </row>
    <row r="230" spans="1:49" hidden="1" x14ac:dyDescent="0.2">
      <c r="A230" s="35" t="s">
        <v>212</v>
      </c>
      <c r="B230" s="35" t="s">
        <v>141</v>
      </c>
      <c r="C230" s="67" t="s">
        <v>515</v>
      </c>
      <c r="D230" s="37"/>
      <c r="E230" s="35"/>
      <c r="F230" s="37"/>
      <c r="G230" s="35" t="s">
        <v>213</v>
      </c>
      <c r="H230" s="37" t="s">
        <v>214</v>
      </c>
      <c r="I230" s="35"/>
      <c r="J230" s="37" t="s">
        <v>215</v>
      </c>
      <c r="K230" s="35" t="s">
        <v>144</v>
      </c>
      <c r="L230" s="37"/>
      <c r="M230" s="37" t="s">
        <v>220</v>
      </c>
      <c r="N230" s="35" t="s">
        <v>217</v>
      </c>
      <c r="O230" s="35" t="s">
        <v>217</v>
      </c>
      <c r="P230" s="37" t="s">
        <v>85</v>
      </c>
      <c r="Q230" s="37" t="e">
        <f>VLOOKUP(D230,#REF!,9,FALSE)</f>
        <v>#REF!</v>
      </c>
      <c r="R230" s="37" t="s">
        <v>149</v>
      </c>
      <c r="S230" s="35" t="s">
        <v>179</v>
      </c>
      <c r="T230" s="37">
        <v>340</v>
      </c>
      <c r="U230" s="37">
        <v>340</v>
      </c>
      <c r="V230" s="37">
        <v>160</v>
      </c>
      <c r="W230" s="38">
        <f t="shared" si="36"/>
        <v>18496000</v>
      </c>
      <c r="X230" s="38"/>
      <c r="Y230" s="36">
        <v>1.48</v>
      </c>
      <c r="Z230" s="35">
        <v>2.16</v>
      </c>
      <c r="AA230" s="37">
        <v>8.08</v>
      </c>
      <c r="AB230" s="37">
        <v>1000</v>
      </c>
      <c r="AC230" s="35">
        <v>1000</v>
      </c>
      <c r="AD230" s="36">
        <v>130</v>
      </c>
      <c r="AE230" s="35">
        <f t="shared" si="46"/>
        <v>130000000</v>
      </c>
      <c r="AF230" s="37">
        <v>13</v>
      </c>
      <c r="AG230" s="37">
        <v>9</v>
      </c>
      <c r="AH230" s="37">
        <v>6</v>
      </c>
      <c r="AI230" s="37" t="s">
        <v>151</v>
      </c>
      <c r="AJ230" s="40">
        <f t="shared" si="34"/>
        <v>1000</v>
      </c>
      <c r="AK230" s="40">
        <f t="shared" si="34"/>
        <v>1000</v>
      </c>
      <c r="AL230" s="40">
        <f t="shared" si="37"/>
        <v>1090</v>
      </c>
      <c r="AM230" s="26">
        <f t="shared" si="35"/>
        <v>1090000000</v>
      </c>
      <c r="AN230" s="37" t="s">
        <v>152</v>
      </c>
      <c r="AO230" s="37" t="s">
        <v>153</v>
      </c>
      <c r="AP230" s="35"/>
      <c r="AQ230" s="35" t="s">
        <v>219</v>
      </c>
      <c r="AR230" s="37" t="s">
        <v>84</v>
      </c>
      <c r="AS230" s="35" t="s">
        <v>84</v>
      </c>
      <c r="AT230" s="37">
        <v>644</v>
      </c>
      <c r="AU230" s="41">
        <f t="shared" si="32"/>
        <v>11911424000</v>
      </c>
      <c r="AV230" s="42">
        <f t="shared" si="33"/>
        <v>5203.5200000000004</v>
      </c>
      <c r="AW230" s="36" t="s">
        <v>176</v>
      </c>
    </row>
    <row r="231" spans="1:49" hidden="1" x14ac:dyDescent="0.2">
      <c r="A231" s="35" t="s">
        <v>212</v>
      </c>
      <c r="B231" s="35" t="s">
        <v>141</v>
      </c>
      <c r="C231" s="67" t="s">
        <v>516</v>
      </c>
      <c r="D231" s="37"/>
      <c r="E231" s="35"/>
      <c r="F231" s="37"/>
      <c r="G231" s="35" t="s">
        <v>213</v>
      </c>
      <c r="H231" s="37" t="s">
        <v>214</v>
      </c>
      <c r="I231" s="35"/>
      <c r="J231" s="37" t="s">
        <v>215</v>
      </c>
      <c r="K231" s="35" t="s">
        <v>144</v>
      </c>
      <c r="L231" s="37"/>
      <c r="M231" s="37" t="s">
        <v>221</v>
      </c>
      <c r="N231" s="35" t="s">
        <v>217</v>
      </c>
      <c r="O231" s="35" t="s">
        <v>217</v>
      </c>
      <c r="P231" s="37" t="s">
        <v>222</v>
      </c>
      <c r="Q231" s="37" t="e">
        <f>VLOOKUP(D231,#REF!,9,FALSE)</f>
        <v>#REF!</v>
      </c>
      <c r="R231" s="37" t="s">
        <v>149</v>
      </c>
      <c r="S231" s="35" t="s">
        <v>183</v>
      </c>
      <c r="T231" s="37">
        <v>340</v>
      </c>
      <c r="U231" s="37">
        <v>340</v>
      </c>
      <c r="V231" s="37">
        <v>110</v>
      </c>
      <c r="W231" s="38">
        <f t="shared" si="36"/>
        <v>12716000</v>
      </c>
      <c r="X231" s="38"/>
      <c r="Y231" s="36">
        <v>0.14000000000000001</v>
      </c>
      <c r="Z231" s="35">
        <v>0.92</v>
      </c>
      <c r="AA231" s="37">
        <v>12.120000000000001</v>
      </c>
      <c r="AB231" s="37">
        <v>1000</v>
      </c>
      <c r="AC231" s="35">
        <v>1000</v>
      </c>
      <c r="AD231" s="36">
        <v>130</v>
      </c>
      <c r="AE231" s="35">
        <f t="shared" si="46"/>
        <v>130000000</v>
      </c>
      <c r="AF231" s="37">
        <v>13</v>
      </c>
      <c r="AG231" s="37">
        <v>9</v>
      </c>
      <c r="AH231" s="37">
        <v>6</v>
      </c>
      <c r="AI231" s="37" t="s">
        <v>151</v>
      </c>
      <c r="AJ231" s="40">
        <f t="shared" si="34"/>
        <v>1000</v>
      </c>
      <c r="AK231" s="40">
        <f t="shared" si="34"/>
        <v>1000</v>
      </c>
      <c r="AL231" s="40">
        <f t="shared" si="37"/>
        <v>790</v>
      </c>
      <c r="AM231" s="26">
        <f t="shared" si="35"/>
        <v>790000000</v>
      </c>
      <c r="AN231" s="37" t="s">
        <v>152</v>
      </c>
      <c r="AO231" s="37" t="s">
        <v>153</v>
      </c>
      <c r="AP231" s="35"/>
      <c r="AQ231" s="35" t="s">
        <v>219</v>
      </c>
      <c r="AR231" s="37" t="s">
        <v>84</v>
      </c>
      <c r="AS231" s="35" t="s">
        <v>84</v>
      </c>
      <c r="AT231" s="37">
        <v>152</v>
      </c>
      <c r="AU231" s="41">
        <f t="shared" si="32"/>
        <v>1932832000</v>
      </c>
      <c r="AV231" s="42">
        <f t="shared" si="33"/>
        <v>1842.2400000000002</v>
      </c>
      <c r="AW231" s="36" t="s">
        <v>176</v>
      </c>
    </row>
    <row r="232" spans="1:49" hidden="1" x14ac:dyDescent="0.2">
      <c r="A232" s="35" t="s">
        <v>212</v>
      </c>
      <c r="B232" s="35" t="s">
        <v>141</v>
      </c>
      <c r="C232" s="67" t="s">
        <v>517</v>
      </c>
      <c r="D232" s="37"/>
      <c r="E232" s="35"/>
      <c r="F232" s="37"/>
      <c r="G232" s="35" t="s">
        <v>213</v>
      </c>
      <c r="H232" s="37" t="s">
        <v>214</v>
      </c>
      <c r="I232" s="35"/>
      <c r="J232" s="37" t="s">
        <v>215</v>
      </c>
      <c r="K232" s="35" t="s">
        <v>144</v>
      </c>
      <c r="L232" s="37"/>
      <c r="M232" s="37" t="s">
        <v>223</v>
      </c>
      <c r="N232" s="35" t="s">
        <v>217</v>
      </c>
      <c r="O232" s="35" t="s">
        <v>217</v>
      </c>
      <c r="P232" s="37" t="s">
        <v>224</v>
      </c>
      <c r="Q232" s="37" t="e">
        <f>VLOOKUP(D232,#REF!,9,FALSE)</f>
        <v>#REF!</v>
      </c>
      <c r="R232" s="37" t="s">
        <v>149</v>
      </c>
      <c r="S232" s="35" t="s">
        <v>183</v>
      </c>
      <c r="T232" s="37">
        <v>340</v>
      </c>
      <c r="U232" s="37">
        <v>340</v>
      </c>
      <c r="V232" s="37">
        <v>110</v>
      </c>
      <c r="W232" s="38">
        <f t="shared" si="36"/>
        <v>12716000</v>
      </c>
      <c r="X232" s="38"/>
      <c r="Y232" s="36">
        <v>0.1</v>
      </c>
      <c r="Z232" s="35">
        <v>1.8</v>
      </c>
      <c r="AA232" s="37">
        <v>9</v>
      </c>
      <c r="AB232" s="37">
        <v>1000</v>
      </c>
      <c r="AC232" s="35">
        <v>1000</v>
      </c>
      <c r="AD232" s="36">
        <v>130</v>
      </c>
      <c r="AE232" s="35">
        <f t="shared" si="46"/>
        <v>130000000</v>
      </c>
      <c r="AF232" s="37">
        <v>13</v>
      </c>
      <c r="AG232" s="37">
        <v>9</v>
      </c>
      <c r="AH232" s="37">
        <v>6</v>
      </c>
      <c r="AI232" s="37" t="s">
        <v>151</v>
      </c>
      <c r="AJ232" s="40">
        <f t="shared" si="34"/>
        <v>1000</v>
      </c>
      <c r="AK232" s="40">
        <f t="shared" si="34"/>
        <v>1000</v>
      </c>
      <c r="AL232" s="40">
        <f t="shared" si="37"/>
        <v>790</v>
      </c>
      <c r="AM232" s="26">
        <f t="shared" si="35"/>
        <v>790000000</v>
      </c>
      <c r="AN232" s="37" t="s">
        <v>152</v>
      </c>
      <c r="AO232" s="37" t="s">
        <v>153</v>
      </c>
      <c r="AP232" s="35"/>
      <c r="AQ232" s="35" t="s">
        <v>219</v>
      </c>
      <c r="AR232" s="37" t="s">
        <v>84</v>
      </c>
      <c r="AS232" s="35" t="s">
        <v>84</v>
      </c>
      <c r="AT232" s="37">
        <v>291</v>
      </c>
      <c r="AU232" s="41">
        <f t="shared" si="32"/>
        <v>3700356000</v>
      </c>
      <c r="AV232" s="42">
        <f t="shared" si="33"/>
        <v>2619</v>
      </c>
      <c r="AW232" s="36" t="s">
        <v>176</v>
      </c>
    </row>
    <row r="233" spans="1:49" hidden="1" x14ac:dyDescent="0.2">
      <c r="C233" s="10" t="s">
        <v>322</v>
      </c>
      <c r="P233" s="47">
        <v>1</v>
      </c>
      <c r="R233" s="47" t="s">
        <v>149</v>
      </c>
      <c r="S233" s="48" t="s">
        <v>179</v>
      </c>
      <c r="T233" s="47">
        <v>335</v>
      </c>
      <c r="U233" s="47">
        <v>335</v>
      </c>
      <c r="V233" s="47">
        <v>149</v>
      </c>
      <c r="W233" s="38">
        <f t="shared" ref="W233:W251" si="50">T233/1000*U233/1000*V233/1000</f>
        <v>1.6721525000000001E-2</v>
      </c>
      <c r="X233" s="52"/>
      <c r="Y233" s="47">
        <v>4</v>
      </c>
      <c r="Z233" s="47">
        <v>1.7</v>
      </c>
    </row>
    <row r="234" spans="1:49" hidden="1" x14ac:dyDescent="0.2">
      <c r="C234" s="10" t="s">
        <v>323</v>
      </c>
      <c r="P234" s="47"/>
      <c r="R234" s="47" t="s">
        <v>149</v>
      </c>
      <c r="S234" s="47" t="s">
        <v>149</v>
      </c>
      <c r="T234" s="47">
        <v>340</v>
      </c>
      <c r="U234" s="47">
        <v>500</v>
      </c>
      <c r="V234" s="47">
        <v>390</v>
      </c>
      <c r="W234" s="38">
        <f t="shared" si="50"/>
        <v>6.6300000000000012E-2</v>
      </c>
      <c r="X234" s="52"/>
      <c r="Y234" s="47">
        <v>2.66</v>
      </c>
      <c r="Z234" s="47">
        <v>4.0999999999999996</v>
      </c>
    </row>
    <row r="235" spans="1:49" hidden="1" x14ac:dyDescent="0.2">
      <c r="C235" s="10" t="s">
        <v>324</v>
      </c>
      <c r="P235" s="47"/>
      <c r="R235" s="47" t="s">
        <v>149</v>
      </c>
      <c r="S235" s="47" t="s">
        <v>149</v>
      </c>
      <c r="T235" s="47">
        <v>340</v>
      </c>
      <c r="U235" s="47">
        <v>500</v>
      </c>
      <c r="V235" s="47">
        <v>330</v>
      </c>
      <c r="W235" s="38">
        <f t="shared" si="50"/>
        <v>5.6100000000000004E-2</v>
      </c>
      <c r="X235" s="52"/>
      <c r="Y235" s="47">
        <v>2.5</v>
      </c>
      <c r="Z235" s="47">
        <v>3.94</v>
      </c>
    </row>
    <row r="236" spans="1:49" hidden="1" x14ac:dyDescent="0.2">
      <c r="C236" s="10" t="s">
        <v>326</v>
      </c>
      <c r="P236" s="47">
        <v>3</v>
      </c>
      <c r="R236" s="47" t="s">
        <v>149</v>
      </c>
      <c r="S236" s="47" t="s">
        <v>229</v>
      </c>
      <c r="T236" s="47">
        <v>333</v>
      </c>
      <c r="U236" s="47">
        <v>500</v>
      </c>
      <c r="V236" s="47">
        <v>300</v>
      </c>
      <c r="W236" s="38">
        <f t="shared" si="50"/>
        <v>4.9950000000000001E-2</v>
      </c>
      <c r="X236" s="52"/>
      <c r="Y236" s="47">
        <v>1.19</v>
      </c>
      <c r="Z236" s="47">
        <v>4.53</v>
      </c>
    </row>
    <row r="237" spans="1:49" hidden="1" x14ac:dyDescent="0.2">
      <c r="C237" s="10" t="s">
        <v>335</v>
      </c>
      <c r="P237" s="47">
        <v>15</v>
      </c>
      <c r="R237" s="47" t="s">
        <v>231</v>
      </c>
      <c r="S237" s="47" t="s">
        <v>232</v>
      </c>
      <c r="T237" s="47">
        <v>335</v>
      </c>
      <c r="U237" s="47">
        <v>500</v>
      </c>
      <c r="V237" s="47">
        <v>100</v>
      </c>
      <c r="W237" s="38">
        <f t="shared" si="50"/>
        <v>1.6750000000000001E-2</v>
      </c>
      <c r="X237" s="52"/>
      <c r="Y237" s="47">
        <v>0.5</v>
      </c>
      <c r="Z237" s="47">
        <v>1.8</v>
      </c>
    </row>
    <row r="238" spans="1:49" hidden="1" x14ac:dyDescent="0.2">
      <c r="C238" s="10" t="s">
        <v>336</v>
      </c>
      <c r="P238" s="47">
        <v>4</v>
      </c>
      <c r="R238" s="47" t="s">
        <v>231</v>
      </c>
      <c r="S238" s="47" t="s">
        <v>179</v>
      </c>
      <c r="T238" s="47">
        <v>335</v>
      </c>
      <c r="U238" s="47">
        <v>335</v>
      </c>
      <c r="V238" s="47">
        <v>150</v>
      </c>
      <c r="W238" s="38">
        <f t="shared" si="50"/>
        <v>1.6833750000000001E-2</v>
      </c>
      <c r="X238" s="52"/>
      <c r="Y238" s="47">
        <v>1.9</v>
      </c>
      <c r="Z238" s="47">
        <v>1.2</v>
      </c>
    </row>
    <row r="239" spans="1:49" hidden="1" x14ac:dyDescent="0.2">
      <c r="C239" s="10" t="s">
        <v>337</v>
      </c>
      <c r="P239" s="47">
        <v>4</v>
      </c>
      <c r="R239" s="47" t="s">
        <v>231</v>
      </c>
      <c r="S239" s="47" t="s">
        <v>179</v>
      </c>
      <c r="T239" s="47">
        <v>335</v>
      </c>
      <c r="U239" s="47">
        <v>335</v>
      </c>
      <c r="V239" s="47">
        <v>150</v>
      </c>
      <c r="W239" s="38">
        <f t="shared" si="50"/>
        <v>1.6833750000000001E-2</v>
      </c>
      <c r="X239" s="52"/>
      <c r="Y239" s="47">
        <v>1.9</v>
      </c>
      <c r="Z239" s="47">
        <v>1.2</v>
      </c>
    </row>
    <row r="240" spans="1:49" hidden="1" x14ac:dyDescent="0.2">
      <c r="C240" s="10" t="s">
        <v>338</v>
      </c>
      <c r="P240" s="47">
        <v>8</v>
      </c>
      <c r="R240" s="47" t="s">
        <v>149</v>
      </c>
      <c r="S240" s="47" t="s">
        <v>234</v>
      </c>
      <c r="T240" s="47">
        <v>335</v>
      </c>
      <c r="U240" s="47">
        <v>335</v>
      </c>
      <c r="V240" s="47">
        <v>103</v>
      </c>
      <c r="W240" s="38">
        <f t="shared" si="50"/>
        <v>1.1559175E-2</v>
      </c>
      <c r="X240" s="52"/>
      <c r="Y240" s="47">
        <v>0.8</v>
      </c>
      <c r="Z240" s="47">
        <v>1.2</v>
      </c>
    </row>
    <row r="241" spans="3:26" hidden="1" x14ac:dyDescent="0.2">
      <c r="C241" s="10" t="s">
        <v>339</v>
      </c>
      <c r="P241" s="47">
        <v>10</v>
      </c>
      <c r="R241" s="47" t="s">
        <v>231</v>
      </c>
      <c r="S241" s="47" t="s">
        <v>234</v>
      </c>
      <c r="T241" s="47">
        <v>335</v>
      </c>
      <c r="U241" s="47">
        <v>335</v>
      </c>
      <c r="V241" s="47">
        <v>100</v>
      </c>
      <c r="W241" s="38">
        <f t="shared" si="50"/>
        <v>1.12225E-2</v>
      </c>
      <c r="X241" s="52"/>
      <c r="Y241" s="47">
        <v>0.57999999999999996</v>
      </c>
      <c r="Z241" s="47">
        <v>1.2</v>
      </c>
    </row>
    <row r="242" spans="3:26" hidden="1" x14ac:dyDescent="0.2">
      <c r="C242" s="10" t="s">
        <v>341</v>
      </c>
      <c r="P242" s="47"/>
      <c r="R242" s="47"/>
      <c r="S242" s="47"/>
      <c r="T242" s="47"/>
      <c r="U242" s="47"/>
      <c r="V242" s="47"/>
      <c r="W242" s="38">
        <f t="shared" si="50"/>
        <v>0</v>
      </c>
      <c r="X242" s="52"/>
      <c r="Y242" s="47"/>
      <c r="Z242" s="47"/>
    </row>
    <row r="243" spans="3:26" hidden="1" x14ac:dyDescent="0.2">
      <c r="C243" s="10" t="s">
        <v>342</v>
      </c>
      <c r="P243" s="47">
        <v>8</v>
      </c>
      <c r="R243" s="47" t="s">
        <v>231</v>
      </c>
      <c r="S243" s="47" t="s">
        <v>234</v>
      </c>
      <c r="T243" s="47">
        <v>335</v>
      </c>
      <c r="U243" s="47">
        <v>335</v>
      </c>
      <c r="V243" s="47">
        <v>100</v>
      </c>
      <c r="W243" s="38">
        <f t="shared" si="50"/>
        <v>1.12225E-2</v>
      </c>
      <c r="X243" s="52"/>
      <c r="Y243" s="47">
        <v>1</v>
      </c>
      <c r="Z243" s="47">
        <v>2</v>
      </c>
    </row>
    <row r="244" spans="3:26" hidden="1" x14ac:dyDescent="0.2">
      <c r="C244" s="10" t="s">
        <v>343</v>
      </c>
      <c r="P244" s="47">
        <v>8</v>
      </c>
      <c r="R244" s="47" t="s">
        <v>231</v>
      </c>
      <c r="S244" s="47" t="s">
        <v>234</v>
      </c>
      <c r="T244" s="47">
        <v>335</v>
      </c>
      <c r="U244" s="47">
        <v>335</v>
      </c>
      <c r="V244" s="47">
        <v>100</v>
      </c>
      <c r="W244" s="38">
        <f t="shared" si="50"/>
        <v>1.12225E-2</v>
      </c>
      <c r="X244" s="52"/>
      <c r="Y244" s="47">
        <v>0.91</v>
      </c>
      <c r="Z244" s="47">
        <v>1.08</v>
      </c>
    </row>
    <row r="245" spans="3:26" hidden="1" x14ac:dyDescent="0.2">
      <c r="C245" s="10" t="s">
        <v>344</v>
      </c>
      <c r="P245" s="47">
        <v>8</v>
      </c>
      <c r="R245" s="47" t="s">
        <v>231</v>
      </c>
      <c r="S245" s="47" t="s">
        <v>234</v>
      </c>
      <c r="T245" s="47">
        <v>335</v>
      </c>
      <c r="U245" s="47">
        <v>335</v>
      </c>
      <c r="V245" s="47">
        <v>100</v>
      </c>
      <c r="W245" s="38">
        <f t="shared" si="50"/>
        <v>1.12225E-2</v>
      </c>
      <c r="X245" s="52"/>
      <c r="Y245" s="47">
        <v>0.91</v>
      </c>
      <c r="Z245" s="47">
        <v>1.08</v>
      </c>
    </row>
    <row r="246" spans="3:26" hidden="1" x14ac:dyDescent="0.2">
      <c r="C246" s="10" t="s">
        <v>345</v>
      </c>
      <c r="P246" s="47">
        <v>8</v>
      </c>
      <c r="R246" s="47" t="s">
        <v>231</v>
      </c>
      <c r="S246" s="47" t="s">
        <v>184</v>
      </c>
      <c r="T246" s="47">
        <v>335</v>
      </c>
      <c r="U246" s="47">
        <v>335</v>
      </c>
      <c r="V246" s="47">
        <v>241</v>
      </c>
      <c r="W246" s="38">
        <f t="shared" si="50"/>
        <v>2.7046225E-2</v>
      </c>
      <c r="X246" s="52"/>
      <c r="Y246" s="47">
        <v>1.95</v>
      </c>
      <c r="Z246" s="47">
        <v>1.8</v>
      </c>
    </row>
    <row r="247" spans="3:26" hidden="1" x14ac:dyDescent="0.2">
      <c r="C247" s="10" t="s">
        <v>346</v>
      </c>
      <c r="P247" s="47">
        <v>8</v>
      </c>
      <c r="R247" s="47" t="s">
        <v>231</v>
      </c>
      <c r="S247" s="47" t="s">
        <v>184</v>
      </c>
      <c r="T247" s="47">
        <v>335</v>
      </c>
      <c r="U247" s="47">
        <v>335</v>
      </c>
      <c r="V247" s="47">
        <v>241</v>
      </c>
      <c r="W247" s="38">
        <f t="shared" si="50"/>
        <v>2.7046225E-2</v>
      </c>
      <c r="X247" s="52"/>
      <c r="Y247" s="47">
        <v>1.95</v>
      </c>
      <c r="Z247" s="47">
        <v>1.8</v>
      </c>
    </row>
    <row r="248" spans="3:26" hidden="1" x14ac:dyDescent="0.2">
      <c r="C248" s="10" t="s">
        <v>348</v>
      </c>
      <c r="P248" s="47">
        <v>6</v>
      </c>
      <c r="R248" s="47" t="s">
        <v>149</v>
      </c>
      <c r="S248" s="47" t="s">
        <v>184</v>
      </c>
      <c r="T248" s="47">
        <v>335</v>
      </c>
      <c r="U248" s="47">
        <v>335</v>
      </c>
      <c r="V248" s="47">
        <v>241</v>
      </c>
      <c r="W248" s="38">
        <f t="shared" si="50"/>
        <v>2.7046225E-2</v>
      </c>
      <c r="X248" s="52"/>
      <c r="Y248" s="47">
        <v>1.9</v>
      </c>
      <c r="Z248" s="47">
        <v>2</v>
      </c>
    </row>
    <row r="249" spans="3:26" hidden="1" x14ac:dyDescent="0.2">
      <c r="C249" s="10" t="s">
        <v>350</v>
      </c>
      <c r="P249" s="47">
        <v>30</v>
      </c>
      <c r="R249" s="47" t="s">
        <v>236</v>
      </c>
      <c r="S249" s="47" t="s">
        <v>238</v>
      </c>
      <c r="T249" s="47">
        <v>500</v>
      </c>
      <c r="U249" s="47">
        <v>800</v>
      </c>
      <c r="V249" s="47">
        <v>380</v>
      </c>
      <c r="W249" s="38">
        <f t="shared" si="50"/>
        <v>0.152</v>
      </c>
      <c r="X249" s="52"/>
      <c r="Y249" s="47">
        <v>2.4300000000000002</v>
      </c>
      <c r="Z249" s="47">
        <v>32.299999999999997</v>
      </c>
    </row>
    <row r="250" spans="3:26" hidden="1" x14ac:dyDescent="0.2">
      <c r="C250" s="10" t="s">
        <v>351</v>
      </c>
      <c r="P250" s="47">
        <v>30</v>
      </c>
      <c r="R250" s="47" t="s">
        <v>236</v>
      </c>
      <c r="S250" s="47" t="s">
        <v>238</v>
      </c>
      <c r="T250" s="47">
        <v>500</v>
      </c>
      <c r="U250" s="47">
        <v>800</v>
      </c>
      <c r="V250" s="47">
        <v>380</v>
      </c>
      <c r="W250" s="38">
        <f t="shared" si="50"/>
        <v>0.152</v>
      </c>
      <c r="X250" s="52"/>
      <c r="Y250" s="47">
        <v>2.4300000000000002</v>
      </c>
      <c r="Z250" s="47">
        <v>32.299999999999997</v>
      </c>
    </row>
    <row r="251" spans="3:26" hidden="1" x14ac:dyDescent="0.2">
      <c r="C251" s="10" t="s">
        <v>352</v>
      </c>
      <c r="P251" s="47">
        <v>30</v>
      </c>
      <c r="R251" s="47" t="s">
        <v>236</v>
      </c>
      <c r="S251" s="47" t="s">
        <v>238</v>
      </c>
      <c r="T251" s="47">
        <v>500</v>
      </c>
      <c r="U251" s="47">
        <v>800</v>
      </c>
      <c r="V251" s="47">
        <v>380</v>
      </c>
      <c r="W251" s="38">
        <f t="shared" si="50"/>
        <v>0.152</v>
      </c>
      <c r="X251" s="52"/>
      <c r="Y251" s="47">
        <v>2.4300000000000002</v>
      </c>
      <c r="Z251" s="47">
        <v>32.299999999999997</v>
      </c>
    </row>
  </sheetData>
  <autoFilter ref="A4:AX251" xr:uid="{00000000-0009-0000-0000-000000000000}">
    <filterColumn colId="14">
      <filters>
        <filter val="ALGS岡崎"/>
        <filter val="岡崎東工場"/>
      </filters>
    </filterColumn>
  </autoFilter>
  <mergeCells count="7">
    <mergeCell ref="AJ3:AM3"/>
    <mergeCell ref="G3:I3"/>
    <mergeCell ref="J3:K3"/>
    <mergeCell ref="L3:M3"/>
    <mergeCell ref="N3:O3"/>
    <mergeCell ref="T3:W3"/>
    <mergeCell ref="AB3:AE3"/>
  </mergeCells>
  <phoneticPr fontId="6"/>
  <conditionalFormatting sqref="A5:AW5 E229:K232 A6:D232 AJ6:AW232 M229:AI232 E6:AI228 W233:W251">
    <cfRule type="containsBlanks" dxfId="2" priority="3">
      <formula>LEN(TRIM(A5))=0</formula>
    </cfRule>
  </conditionalFormatting>
  <conditionalFormatting sqref="S233">
    <cfRule type="containsBlanks" dxfId="1" priority="2">
      <formula>LEN(TRIM(S233))=0</formula>
    </cfRule>
  </conditionalFormatting>
  <conditionalFormatting sqref="X233:X251">
    <cfRule type="containsBlanks" dxfId="0" priority="1">
      <formula>LEN(TRIM(X233))=0</formula>
    </cfRule>
  </conditionalFormatting>
  <pageMargins left="0.7" right="0.7" top="0.75" bottom="0.75" header="0.3" footer="0.3"/>
  <pageSetup paperSize="9" scale="44" orientation="portrait" r:id="rId1"/>
  <colBreaks count="1" manualBreakCount="1">
    <brk id="49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E3F17D-611F-4EB9-A98E-A3B64899B3AA}">
          <x14:formula1>
            <xm:f>#REF!</xm:f>
          </x14:formula1>
          <xm:sqref>R5:R232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BE92A3B1215E547B6F1E636024D3082" ma:contentTypeVersion="5" ma:contentTypeDescription="新しいドキュメントを作成します。" ma:contentTypeScope="" ma:versionID="d6a1bbdec567a90d713a419da9ee255b">
  <xsd:schema xmlns:xsd="http://www.w3.org/2001/XMLSchema" xmlns:xs="http://www.w3.org/2001/XMLSchema" xmlns:p="http://schemas.microsoft.com/office/2006/metadata/properties" xmlns:ns2="c2914ed9-d40e-4cbf-b23c-034160cff470" xmlns:ns3="5599c875-56fb-4e7f-8b58-4665acd75681" targetNamespace="http://schemas.microsoft.com/office/2006/metadata/properties" ma:root="true" ma:fieldsID="4458b71e1d458f057b9bf5e334c5812f" ns2:_="" ns3:_="">
    <xsd:import namespace="c2914ed9-d40e-4cbf-b23c-034160cff470"/>
    <xsd:import namespace="5599c875-56fb-4e7f-8b58-4665acd756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14ed9-d40e-4cbf-b23c-034160cff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99c875-56fb-4e7f-8b58-4665acd7568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E48A7B-783F-4017-87C7-0516A2E1BB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914ed9-d40e-4cbf-b23c-034160cff470"/>
    <ds:schemaRef ds:uri="5599c875-56fb-4e7f-8b58-4665acd756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19E0AA-5482-4698-A88D-B5D31715E2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まとめ</vt:lpstr>
      <vt:lpstr>DB→</vt:lpstr>
      <vt:lpstr>①荷姿情報</vt:lpstr>
      <vt:lpstr>①荷姿情報!Print_Area</vt:lpstr>
    </vt:vector>
  </TitlesOfParts>
  <Company>AKK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akk1</dc:creator>
  <cp:lastModifiedBy>Deguchi Mayuko／出口　万由子／AI</cp:lastModifiedBy>
  <cp:lastPrinted>2023-06-19T05:38:07Z</cp:lastPrinted>
  <dcterms:created xsi:type="dcterms:W3CDTF">2015-08-18T07:37:13Z</dcterms:created>
  <dcterms:modified xsi:type="dcterms:W3CDTF">2023-12-07T02:11:52Z</dcterms:modified>
</cp:coreProperties>
</file>